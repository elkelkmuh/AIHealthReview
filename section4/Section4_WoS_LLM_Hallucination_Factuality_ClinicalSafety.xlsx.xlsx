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<sst xmlns="http://schemas.openxmlformats.org/spreadsheetml/2006/main" count="29870" uniqueCount="8730">
  <si>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</si>
  <si>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</si>
  <si>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</si>
  <si>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</si>
  <si>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</si>
  <si>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</si>
  <si>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</si>
  <si>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</si>
  <si>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</si>
  <si>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</si>
  <si>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</si>
  <si>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</si>
  <si>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</si>
  <si>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</si>
  <si>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</si>
  <si>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</si>
  <si>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</si>
  <si>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</si>
  <si>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</si>
  <si>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</si>
  <si>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</si>
  <si>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</si>
  <si>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</si>
  <si>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</si>
  <si>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</si>
  <si>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</si>
  <si>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</si>
  <si>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</si>
  <si>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</si>
  <si>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</si>
  <si>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</si>
  <si>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</si>
  <si>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</si>
  <si>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</si>
  <si>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</si>
  <si>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</si>
  <si>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</si>
  <si>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</si>
  <si>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</si>
  <si>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</si>
  <si>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</si>
  <si>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</si>
  <si>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</si>
  <si>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</si>
  <si>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</si>
  <si>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</si>
  <si>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</si>
  <si>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</si>
  <si>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</si>
  <si>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</si>
  <si>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</si>
  <si>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</si>
  <si>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</si>
  <si>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</si>
  <si>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</si>
  <si>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</si>
  <si>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</si>
  <si>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</si>
  <si>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</si>
  <si>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</si>
  <si>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</si>
  <si>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</si>
  <si>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</si>
  <si>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</si>
  <si>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</si>
  <si>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</si>
  <si>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</si>
  <si>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</si>
  <si>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</si>
  <si>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</si>
  <si>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</si>
  <si>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</si>
  <si>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</si>
  <si>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</si>
  <si>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</si>
  <si>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</si>
  <si>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</si>
  <si>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0</t>
  </si>
  <si>
    <t>Zhong, W; Sun, MY; Yao, S; Liu, YF; Peng, DC; Liu, Y; Yang, K; Gao, HM; Yan, HH; Hao, WJ; Yan, YS; Yin, CH</t>
  </si>
  <si>
    <t>Background: Identifying Human Phenotype Ontology (HPO) terms is crucial for diagnosing and managing rare diseases. However, clinicians, especially junior physicians, often face challenges due to the complexity of describing patient phenotypes accurately. Traditional manual search methods using HPO databases are time-consuming and prone to errors. Objective: The aim of the study is to investigate whether the use of multimodal large language models (MLLMs) can improve the accuracy of junior physicians in identifying HPO terms from patient images related to rare diseases. Methods: In total, 20 junior physicians from 10 specialties participated. Each physician evaluated 27 patient images sourced from publicly available literature, with phenotypes relevant to rare diseases listed in the Chinese Rare Disease Catalogue. The study was divided into 2 groups: the manual search group relied on the Chinese Human Phenotype Ontology website, while the MLLM-assisted group used an electronic questionnaire that included HPO terms preidentified by ChatGPT-4o as prompts, followed by a search using the Chinese Human Phenotype Ontology. The primary outcome was the accuracy of HPO identification, defined as the proportion of correctly identified HPO terms compared to a standard set determined by an expert panel. Additionally, the accuracy of outputs from ChatGPT-4o and 2 open-source MLLMs (Llama3.2:11b and Llama3.2:90b) was evaluated using the same criteria, with hallucinations for each model documented separately. Furthermore, participating physicians completed an additional electronic questionnaire regarding their rare disease background to identify factors affecting their ability to accurately describe patient images using standardized HPO terms. Results: A total of 270 descriptions were evaluated per group. The MLLM-assisted group achieved a significantly higher accuracy rate of 67.4% (182/270) compared to 20.4% (55/270) in the manual group (relative risk 3.31, 95% CI 2.58-4.25; P&lt;.001). The MLLM-assisted group demonstrated consistent performance across departments, whereas the manual group exhibited greater variability. Among standalone MLLMs, ChatGPT-4o achieved an accuracy of 48% (13/27), while the open-source models Llama3.2:11b and Llama3.2:90b achieved 15% (4/27) and 18% (5/27), respectively. However, MLLMs exhibited a high hallucination rate, frequently generating HPO terms with incorrect IDs or entirely fabricated content. Specifically, ChatGPT-4o, Llama3.2:11b, and Llama3.2:90b generated incorrect IDs in 57.3% (67/117), 98% (62/63), and 82% (46/56) of cases, respectively, and fabricated terms in 34.2% (40/117), 41% (26/63), and 32% (18/56) of cases, respectively. Additionally, a survey on the rare disease knowledge of junior physicians suggests that participation in rare disease and genetic disease training may enhance the performance of some physicians. Conclusions: The integration of MLLMs into clinical workflows significantly enhances the accuracy of HPO identification by junior physicians, offering promising potential to improve the diagnosis of rare diseases and standardize phenotype descriptions in medical research. However, the notable hallucination rate observed in MLLMs underscores the necessity for further refinement and rigorous validation before widespread adoption in clinical practice.</t>
  </si>
  <si>
    <t>Zhong, Wei; Sun, Mingyue; Yao, Shun; Liu, Yifan; Peng, Dingchuan; Liu, Yan; Yang, Kai; Gao, Huimin; Yan, Huihui; Hao, Wenjing; Yan, Yousheng; Yin, Chenghong</t>
  </si>
  <si>
    <t/>
  </si>
  <si>
    <t>Science Citation Index Expanded (SCI-EXPANDED)</t>
  </si>
  <si>
    <t>Yin, CH (corresponding author), Capital Med Univ, Beijing Obstet &amp; Gynecol Hosp, Beijing Maternal &amp; Child Hlth Care Hosp, Dept Prenatal Diag Ctr,Dept Prenatal Diag, 251 Yaojiayuan Rd, Beijing 100020, Peoples R China.</t>
  </si>
  <si>
    <t>yinchh@ccmu.edu.cn</t>
  </si>
  <si>
    <t>National Key Research and Development Program of China [2023YFC2705600]; Capital Clinical Characteristic Diagnosis and Treatment Technology Research and Transformation Application Project [Z221100007422012]; Beijing Hospital Management Center "Yangfan" Plan 3.0 Clinical Technology Innovation Project [ZLRK202329]; Science and Technology Innovation and Transformation Special Project of Beijing Obstetrics and Gynecology Hospital Affiliated to Capital Medical University/Beijing Maternal and Child Health Hospital [FCYYZH202201]</t>
  </si>
  <si>
    <t>National Key Research and Development Program of China (National Key Research &amp; Development Program of China); Capital Clinical Characteristic Diagnosis and Treatment Technology Research and Transformation Application Project; Beijing Hospital Management Center "Yangfan" Plan 3.0 Clinical Technology Innovation Project; Science and Technology Innovation and Transformation Special Project of Beijing Obstetrics and Gynecology Hospital Affiliated to Capital Medical University/Beijing Maternal and Child Health Hospital</t>
  </si>
  <si>
    <t>The authors are grateful for the support of the following funds: National Key Research and Development Program of China (2023YFC2705600) , Capital Clinical Characteristic Diagnosis and Treatment Technology Research and Transformation Application Project (Z221100007422012) , Beijing Hospital Management Center "Yangfan" Plan 3.0 Clinical Technology Innovation Project (ZLRK202329) , and Science and Technology Innovation and Transformation Special Project of Beijing Obstetrics and Gynecology Hospital Affiliated to Capital Medical University/Beijing Maternal and Child Health Hospital (FCYYZH202201) .</t>
  </si>
  <si>
    <t>[Zhong, Wei; Liu, Yifan; Liu, Yan; Yang, Kai; Gao, Huimin; Yan, Huihui; Hao, Wenjing; Yan, Yousheng; Yin, Chenghong] Capital Med Univ, Beijing Obstet &amp; Gynecol Hosp, Beijing Maternal &amp; Child Hlth Care Hosp, Dept Prenatal Diag Ctr,Dept Prenatal Diag, 251 Yaojiayuan Rd, Beijing 100020, Peoples R China; [Sun, Mingyue] Shijiazhuang Peoples Hosp, Dept Reprod Med, Shijiazhuang, Hebei, Peoples R China; [Yao, Shun] Yijishan Hosp, Wannan Med Coll, Dept Gynecol &amp; Obstet, Wuhu, Anhui, Peoples R China; [Peng, Dingchuan] South China Univ Technol, Sch Med, Guangzhou, Guangdong, Peoples R China</t>
  </si>
  <si>
    <t>Capital Medical University; Wannan Medical College; South China University of Technology</t>
  </si>
  <si>
    <t>J</t>
  </si>
  <si>
    <t>Enhancing the Accuracy of Human Phenotype Ontology Identification: Comparative Evaluation of Multimodal Large Language Models</t>
  </si>
  <si>
    <t>JOURNAL OF MEDICAL INTERNET RESEARCH</t>
  </si>
  <si>
    <t>English</t>
  </si>
  <si>
    <t>Article</t>
  </si>
  <si>
    <t>multimodal large language models; ChatGPT; rare diseases; human phenotype ontology; open-source LLMs; large language model</t>
  </si>
  <si>
    <t>Yan, Huihui/ODL-9818-2025; Zhong, Wei/JAC-1546-2023</t>
  </si>
  <si>
    <t>peng, dingchuan/0009-0000-9588-6809; Yang, Kai/0000-0002-7457-3106; liu, yan/0000-0003-1698-5783; Yin, Chenghong/0000-0002-2503-3285</t>
  </si>
  <si>
    <t>50</t>
  </si>
  <si>
    <t>4</t>
  </si>
  <si>
    <t>5</t>
  </si>
  <si>
    <t>3</t>
  </si>
  <si>
    <t>10</t>
  </si>
  <si>
    <t>JMIR PUBLICATIONS, INC</t>
  </si>
  <si>
    <t>TORONTO</t>
  </si>
  <si>
    <t>130 QUEENS QUAY East, Unit 1100, TORONTO, ON M5A 0P6, CANADA</t>
  </si>
  <si>
    <t>1438-8871</t>
  </si>
  <si>
    <t>J MED INTERNET RES</t>
  </si>
  <si>
    <t>J. Med. Internet Res.</t>
  </si>
  <si>
    <t>JUN 2 2025</t>
  </si>
  <si>
    <t>2025</t>
  </si>
  <si>
    <t>27</t>
  </si>
  <si>
    <t>e73233</t>
  </si>
  <si>
    <t>10.2196/73233</t>
  </si>
  <si>
    <t>http://dx.doi.org/10.2196/73233</t>
  </si>
  <si>
    <t>13</t>
  </si>
  <si>
    <t>Health Care Sciences &amp; Services; Medical Informatics</t>
  </si>
  <si>
    <t>4AS2W</t>
  </si>
  <si>
    <t>40456109</t>
  </si>
  <si>
    <t>WOS:001513537600002</t>
  </si>
  <si>
    <t>View Record in Web of Science</t>
  </si>
  <si>
    <t>gold; Green Submitted</t>
  </si>
  <si>
    <t>2026-08-26</t>
  </si>
  <si>
    <t>Wappi, YK; Cheng, AS; Dymond, A; Baghdadi, S; Oppenheim, W</t>
  </si>
  <si>
    <t>Background/Objectives: Cerebral palsy (CP) hip displacement requires longitudinal surveillance, frequently imposing significant burden on caregivers. While Multimodal Large Language Models (MLLMs) offer a potential solution to the health literacy gap, their accuracy in interpreting pediatric pelvic radiographs remains unproven. This study evaluates the effectiveness and safety of MLLMs in addressing caregiver concerns regarding CP hip management. Methods: Fifteen deidentified pediatric pelvic radiographs representing a spectrum of hip displacement severities were processed through three MLLMs: GPT-4o, Claude 3.5, and Gemini 1.5 Pro. Nine standardized caregiver prompts (n = 95 total responses per model) were utilized to simulate common clinical queries. Outcome measures included response word count, interactive characteristics, frequency of medical disclaimers, and diagnostic accuracy. Results: Quantitative analysis revealed that Claude 3.5 produced significantly shorter responses compared to other models (p &lt; 0.01). GPT-4o demonstrated the highest safety alignment, with a 96.9% disclaimer rate, significantly exceeding Claude (60.0%) and Gemini (76.8%) (p = 0.03). Diagnostic "hallucinations" were observed, notably Claude misidentifying non-operative cases as bilateral hip replacements. While management recommendations were clinically relevant, they remained generic rather than patient-specific, failing to measure or apply migration percentage thresholds. Encouragingly, all models consistently directed users to consult an orthopaedic surgeon. Conclusions: MLLMs represent an opportunity to enhance health literacy by providing accessible management summaries and emphasizing professional consultation. However, significant radiographic hallucinations and a lack of specific, evidence-based guidance preclude their use as standalone diagnostic tools. Currently, MLLMs should be viewed as educational adjuncts requiring expert oversight in the pediatric orthopaedic care continuum.</t>
  </si>
  <si>
    <t>Kamgaing Wappi, Yman; Cheng, Austin; Dymond, Alexander; Baghdadi, Soroush; Oppenheim, William</t>
  </si>
  <si>
    <t>Baghdadi, S (corresponding author), Univ Calif Los Angeles, Dept Orthopaed Surg, Los Angeles, CA 90404 USA.; Baghdadi, S (corresponding author), Luskin Orthopaed Inst Children, Los Angeles, CA 90007 USA.; Baghdadi, S (corresponding author), Univ Calif Los Angeles, David Geffen Sch Med, Los Angeles, CA 90095 USA.</t>
  </si>
  <si>
    <t>austincheng@mednet.ucla.edu; adymond@mednet.ucla.edu; ykamgaingwappi@mednet.ucla.edu; sbaghdadi@mednet.ucla.edu; woppenheim@mednet.ucla.edu</t>
  </si>
  <si>
    <t>This research received no external funding.</t>
  </si>
  <si>
    <t>[Kamgaing Wappi, Yman; Cheng, Austin; Dymond, Alexander; Baghdadi, Soroush; Oppenheim, William] Univ Calif Los Angeles, Dept Orthopaed Surg, Los Angeles, CA 90404 USA; [Kamgaing Wappi, Yman; Cheng, Austin; Baghdadi, Soroush] Luskin Orthopaed Inst Children, Los Angeles, CA 90007 USA; [Dymond, Alexander; Baghdadi, Soroush; Oppenheim, William] Univ Calif Los Angeles, David Geffen Sch Med, Los Angeles, CA 90095 USA</t>
  </si>
  <si>
    <t>University of California System; University of California Los Angeles; University of California System; University of California Los Angeles; University of California Los Angeles Medical Center; David Geffen School of Medicine at UCLA</t>
  </si>
  <si>
    <t>Potential and Pitfalls of Multimodal Large Language Models in Cerebral Palsy Hip Surveillance: A Radiographic Interpretation Study Assessing Educational Utility</t>
  </si>
  <si>
    <t>JOURNAL OF CLINICAL MEDICINE</t>
  </si>
  <si>
    <t>cerebral palsy; hip displacement; multimodal large language models; artificial intelligence; patient education</t>
  </si>
  <si>
    <t>GROSS MOTOR FUNCTION; CHILDREN</t>
  </si>
  <si>
    <t>Oppenheim, William/ABG-4108-2021</t>
  </si>
  <si>
    <t>30</t>
  </si>
  <si>
    <t>MDPI</t>
  </si>
  <si>
    <t>BASEL</t>
  </si>
  <si>
    <t>MDPI AG, Grosspeteranlage 5, CH-4052 BASEL, SWITZERLAND</t>
  </si>
  <si>
    <t>2077-0383</t>
  </si>
  <si>
    <t>J CLIN MED</t>
  </si>
  <si>
    <t>J. Clin. Med.</t>
  </si>
  <si>
    <t>JUL 2026</t>
  </si>
  <si>
    <t>2026</t>
  </si>
  <si>
    <t>15</t>
  </si>
  <si>
    <t>4932</t>
  </si>
  <si>
    <t>10.3390/jcm15134932</t>
  </si>
  <si>
    <t>http://dx.doi.org/10.3390/jcm15134932</t>
  </si>
  <si>
    <t>Medicine, General &amp; Internal</t>
  </si>
  <si>
    <t>General &amp; Internal Medicine</t>
  </si>
  <si>
    <t>KY4ZU</t>
  </si>
  <si>
    <t>42452394</t>
  </si>
  <si>
    <t>WOS:001818612300001</t>
  </si>
  <si>
    <t>Suh, PS; Ko, JS; Shim, WH; Heo, H; Woo, CY; Park, H; Suh, CH</t>
  </si>
  <si>
    <t>Objective: To evaluate the accuracy and reasoning capabilities of large multimodal language models compared with those of neuroradiology subspecialty-trained radiologists in neuroradiology case interpretation. Materials and Methods: This experimental study used custom-made 401 radiologic quizzes derived from articles published in RadioGraphics covering neuroradiology and head and neck topics (October 2020 to February 2024). We prompted the GPT-4 Turbo with Vision (GPT-4V), GPT-4 Omni, Gemini Flash, and Claude models to provide the top three differential diagnoses with a rationale and describe examination characteristics such as imaging modality, sequence, use of contrast, image plane, and body part. The temperature was adjusted to 0 and 1 (T1). Two neuroradiologists answered the same questions. The accuracies of the large language models (LLMs) and the neuroradiologists were compared using generalized estimating equations. Three neuroradiologists assessed the rationale provided by the LLMs for their differential diagnoses using four-point scales, separately for specific lesion locations and imaging findings, and evaluated the presence of hallucinations and the overall acceptability of the responses. Results: Top-3 accuracy (i.e., correct answers present among top-3 differential diagnoses) of LLMs ranged from 29.9% (120 of 401) to 49.4% (198 of 401, obtained with GPT-4V in the T1 setting), while radiologists achieved 80.3% (322 of 401) and 68.3% (274 of 401), respectively (P &lt; 0.001). Regarding the rationale for differential diagnoses, GPT-4V (T1) accurately identified both the specific lesion location and imaging findings in 30.7% (123 of 401) and 12.9% (16 of 124) of cases without textual clinical history. Hallucinations occurred in 4.5% (18 of 401), and only 29.4% (118 of 401) of the LLM-generated analyses were deemed acceptable. GPT-4V (T1) demonstrated high accuracy in identifying the imaging modality (97.4% [800 of 821]) and scanned body parts (92.2% [756 of 820]). Conclusion: LLMs remarkably underperformed compared with neuroradiologists and showed unsatisfactory reasoning for their differential diagnoses, with performance declining further in cases without textual input of clinical history. These findings highlight the limitations of current multimodal LLMs in neuroradiological interpretation and their reliance on text input.</t>
  </si>
  <si>
    <t>Suh, Pae Sun; Ko, Ji Su; Shim, Woo Hyun; Heo, Hwon; Woo, Chang-Yun; Park, Hyungjun; Suh, Chong Hyun</t>
  </si>
  <si>
    <t>Suh, CH (corresponding author), Univ Ulsan, Asan Med Ctr, Dept Radiol, Coll Med, 88 Olymp Ro 43-Gil, Seoul 05505, South Korea.; Suh, CH (corresponding author), Univ Ulsan, Res Inst Radiol, Asan Med Ctr, Coll Med, 88 Olymp Ro 43-Gil, Seoul 05505, South Korea.</t>
  </si>
  <si>
    <t>chonghyunsuh@amc.seoul.kr</t>
  </si>
  <si>
    <t>Asan Institute for Life Sciences, Asan Medical Center, Seoul, Korea [2025IT0007]</t>
  </si>
  <si>
    <t>Asan Institute for Life Sciences, Asan Medical Center, Seoul, Korea</t>
  </si>
  <si>
    <t>Funding Statement This research was supported by a grant (2025IT0007) from the Asan Institute for Life Sciences, Asan Medical Center, Seoul, Korea.</t>
  </si>
  <si>
    <t>[Suh, Pae Sun] Yonsei Univ, Res Inst Radiol Sci, Coll Med, Dept Radiol, Seoul, South Korea; [Suh, Pae Sun] Yonsei Univ, Ctr Clin Imaging Data Sci, Coll Med, Seoul, South Korea; [Ko, Ji Su] Sungkyunkwan Univ, Kangbuk Samsung Hosp, Dept Radiol, Sch Med, Seoul, South Korea; [Shim, Woo Hyun; Suh, Chong Hyun] Univ Ulsan, Asan Med Ctr, Dept Radiol, Coll Med, 88 Olymp Ro 43-Gil, Seoul 05505, South Korea; [Shim, Woo Hyun; Suh, Chong Hyun] Univ Ulsan, Res Inst Radiol, Asan Med Ctr, Coll Med, 88 Olymp Ro 43-Gil, Seoul 05505, South Korea; [Shim, Woo Hyun; Heo, Hwon] Univ Ulsan, Asan Med Inst Convergence Sci &amp; Technol, Asan Med Ctr, Dept Med Sci,Coll Med, Seoul, South Korea; [Woo, Chang-Yun] Univ Ulsan, Asan Med Ctr, Dept Internal Med, Coll Med, Seoul, South Korea; [Park, Hyungjun] Shihwa Med Ctr, Dept Pulmonol, Shihung, South Korea</t>
  </si>
  <si>
    <t>Yonsei University; Yonsei University Health System; Yonsei University; Yonsei University Health System; Sungkyunkwan University (SKKU); Samsung Medical Center; Samsung Kangbuk Hospital; University of Ulsan; Asan Medical Center; University of Ulsan; Asan Medical Center; University of Ulsan; Asan Medical Center; University of Ulsan; Asan Medical Center</t>
  </si>
  <si>
    <t>Evaluating the Accuracy and Diagnostic Reasoning of Multimodal Large Language Models in Interpreting Neuroradiology Cases From RadioGraphics</t>
  </si>
  <si>
    <t>KOREAN JOURNAL OF RADIOLOGY</t>
  </si>
  <si>
    <t>Large language model; Vision capability; Image interpretation; Rationale evaluation</t>
  </si>
  <si>
    <t>Suh, Pae Sun/JFJ-5780-2023; Heo, Hwon/PII-3099-2026</t>
  </si>
  <si>
    <t>35</t>
  </si>
  <si>
    <t>1</t>
  </si>
  <si>
    <t>KOREAN SOCIETY OF RADIOLOGY</t>
  </si>
  <si>
    <t>SEOUL</t>
  </si>
  <si>
    <t>71, YANGJAECHEON-RO, SEOCHO-GU, SEOUL, SOUTH KOREA</t>
  </si>
  <si>
    <t>1229-6929</t>
  </si>
  <si>
    <t>2005-8330</t>
  </si>
  <si>
    <t>KOREAN J RADIOL</t>
  </si>
  <si>
    <t>Korean J. Radiol.</t>
  </si>
  <si>
    <t>MAR 2026</t>
  </si>
  <si>
    <t>214</t>
  </si>
  <si>
    <t>226</t>
  </si>
  <si>
    <t>10.3348/kjr.2025.1045</t>
  </si>
  <si>
    <t>http://dx.doi.org/10.3348/kjr.2025.1045</t>
  </si>
  <si>
    <t>Radiology, Nuclear Medicine &amp; Medical Imaging</t>
  </si>
  <si>
    <t>EE5BE</t>
  </si>
  <si>
    <t>41735814</t>
  </si>
  <si>
    <t>WOS:001699173100005</t>
  </si>
  <si>
    <t>hybrid; Green Submitted</t>
  </si>
  <si>
    <t>Campo-Beamud, C; Ruiz, AA; Quijano, JB; Beamud, EC; Gómez-Romero, FJ; Ruíz, AJF; Copete, S</t>
  </si>
  <si>
    <t>Background/aims Ocular surface infections remain a major cause of visual loss worldwide, yet diagnosis often relies on slow or insensitive microbiological techniques. Artificial intelligence may complement emerging molecular tools by supporting rapid triage and diagnostic reasoning. This study benchmarked publicly available multimodal large language models (LLMs) against corneal specialists for the diagnosis, treatment and urgency triage of infectious keratitis and conjunctivitis.Methods A single-centre diagnostic-accuracy study included 60 microbiologically confirmed infectious keratitis and conjunctivitis cases, each comprising a slit-lamp photograph and a paired clinical vignette. Six multimodal LLMs (GPT-4o, GPT-5, Gemini, Claude, Perplexity and Grok) were evaluated for diagnosis, treatment and urgency triage under three input conditions (image-only, text-only and image+text). Outputs were compared with two corneal specialists.Results LLM performance depended strongly on input modality. Image-only accuracy was lowest (best GPT-5, 61.4%; kappa=0.38) with frequent misclassification of fungal and Acanthamoeba keratitis and hallucinations confined to this setting. Text input improved results (GPT-5, 83.3%; kappa=0.78), though accuracy remained below specialists (87-90%; kappa approximate to 0.8). Combined image+text achieved near-human accuracy without consistently surpassing corneal specialists (Perplexity 96.7%; kappa=0.95; GPT-5 91.7%; kappa=0.87). Treatment accuracy remained lower (81-85% vs 90-98%), while urgency triage matched experts in multimodal input.Conclusion Publicly accessible multimodal LLMs can approach expert-level performance in diagnosis and triage when provided with clinical context and slit-lamp images. Gaps in therapeutic reasoning and rare pathogen recognition underscore the need for targeted refinement and validation. These models may complement specialist care, supporting rapid triage and integration with molecular or metagenomic diagnostics, especially in resource-limited settings.</t>
  </si>
  <si>
    <t>Campo-Beamud, Carlos; Ruiz, Antonio Adan; Quijano, Jesus Bastante; Beamud, Esther Campo; Gomez-Romero, Francisco Javier; Ruiz, Alfredo Julian Fernandez; Copete, Sergio</t>
  </si>
  <si>
    <t>Campo-Beamud, C (corresponding author), Hosp Gen Univ Ciudad Real, Ophthalmol Dept, Ciudad Real, Spain.</t>
  </si>
  <si>
    <t>jbastantequijano@gmail.com; ccampob@sescam.jccm.es; fjgomezr@sescam.jccm.es; ajfernandezr@sescam.jccm.com; esthercampobeamud@gmail.com; adan_990@hotmail.com; sergiocp.ab@gmail.com</t>
  </si>
  <si>
    <t>[Campo-Beamud, Carlos; Ruiz, Antonio Adan; Quijano, Jesus Bastante; Beamud, Esther Campo; Ruiz, Alfredo Julian Fernandez] Hosp Gen Univ Ciudad Real, Ophthalmol Dept, Ciudad Real, Spain; [Gomez-Romero, Francisco Javier] Hosp Gen Univ Ciudad Real, Translat Res Unit, Ciudad Real, Spain; [Gomez-Romero, Francisco Javier] Univ Castilla La Mancha, Fac Med, Ciudad Real, Spain; [Copete, Sergio] Complejo Hosp Univ Albacete, Ophthalmol Deparment, Albacete, Spain</t>
  </si>
  <si>
    <t>Universidad de Castilla-La Mancha</t>
  </si>
  <si>
    <t>Publicly available multimodal large language models for ocular surface infections: benchmarking against corneal specialists in triage, diagnosis and treatment</t>
  </si>
  <si>
    <t>BRITISH JOURNAL OF OPHTHALMOLOGY</t>
  </si>
  <si>
    <t>Article; Early Access</t>
  </si>
  <si>
    <t>Infection; Cornea; Imaging; Microbiology; Artificial Intelligence</t>
  </si>
  <si>
    <t>gomez-romero, francisco javier/JDM-2403-2023</t>
  </si>
  <si>
    <t>29</t>
  </si>
  <si>
    <t>BMJ PUBLISHING GROUP</t>
  </si>
  <si>
    <t>LONDON</t>
  </si>
  <si>
    <t>BRITISH MED ASSOC HOUSE, TAVISTOCK SQUARE, LONDON WC1H 9JR, ENGLAND</t>
  </si>
  <si>
    <t>0007-1161</t>
  </si>
  <si>
    <t>1468-2079</t>
  </si>
  <si>
    <t>BRIT J OPHTHALMOL</t>
  </si>
  <si>
    <t>Br. J. Ophthalmol.</t>
  </si>
  <si>
    <t>10.1136/bjo-2025-328867</t>
  </si>
  <si>
    <t>http://dx.doi.org/10.1136/bjo-2025-328867</t>
  </si>
  <si>
    <t>APR 2026</t>
  </si>
  <si>
    <t>8</t>
  </si>
  <si>
    <t>Ophthalmology</t>
  </si>
  <si>
    <t>GG8EJ</t>
  </si>
  <si>
    <t>41946559</t>
  </si>
  <si>
    <t>WOS:001736055100001</t>
  </si>
  <si>
    <t>Kim, C; Cho, S; Yoon, JH</t>
  </si>
  <si>
    <t>Objectives: Large language models (LLMs) are increasingly used in clinical practice, but their performance can deteriorate when radiology reports are incomplete. We evaluated whether multimodal LLMs (integrating text and images) could enhance accuracy and interpretability in chest radiography reports, thereby improving their utility for clinical decision support. Specifically, we aimed to assess the robustness of LLMs in generating accurate impressions from chest radiography reports when provided with incomplete data, and whether multimodal input could mitigate performance loss. Methods: We analyzed 300 radiology image-report pairs from the MIMIC-CXR database. Three LLMs-OpenFlamingo, MedFlamingo, IDEFICS-were tested in text-only and multimodal formats. Chest X-ray impressions were generated from complete text reports and then regenerated after systematically removing 20%, 50%, and 80% of the text. The effect of adding images was evaluated using chest X-rays, and model performance was compared using three statistical methods. Hallucination rates were quantified. Results: In the text-only setting, OpenFlamingo, MedFlamingo, and IDEFICS demonstrated comparable performance (ROUGE-L: 0.23 vs. 0.21 vs. 0.21; F1RadGraph: 0.20 vs. 0.16 vs. 0.16; F1CheXbert: 0.49 vs. 0.41 vs. 0.41), with OpenFlamingo performing best on complete text (p &lt; 0.001). All models exhibited performance decline with incomplete data. However, multimodal input significantly improved the performance of MedFlamingo and IDEFICS (p &lt; 0.001), equaling or surpassing OpenFlamingo even under incomplete text conditions. Regarding hallucination, MedFlamingo showed a lower false-negative rate in multimodal compared with unimodal use, while false-positive rates were similar. Conclusions: LLMs may produce suboptimal outputs when radiology data are incomplete, but multimodal LLMs enhance reliability and may strengthen clinical decision-making support.</t>
  </si>
  <si>
    <t>Kim, Choonghan; Cho, Seonhee; Yoon, Joo Heung</t>
  </si>
  <si>
    <t>Emerging Sources Citation Index (ESCI)</t>
  </si>
  <si>
    <t>Yoon, JH (corresponding author), UPMC Montefiore, Dept Med, Div Pulm Allergy &amp; Crit Care Med, NW628,3459 Fifth Ave, Pittsburgh, PA 15213 USA.</t>
  </si>
  <si>
    <t>yoonjh@upmc.edu</t>
  </si>
  <si>
    <t>National Institute of Health of the United States [NIH R35GM159939, NIH K23GM138984]; Korea Health Industry Development Institute [RS-2024-00439677]; Institute of Information &amp; communications Technology Planning &amp; Evaluation (IITP) grant - Korea government (MSIT) [RS-2022-00143911]</t>
  </si>
  <si>
    <t>National Institute of Health of the United States; Korea Health Industry Development Institute; Institute of Information &amp; communications Technology Planning &amp; Evaluation (IITP) grant - Korea government (MSIT)</t>
  </si>
  <si>
    <t>This study was supported by the National Institute of Health (Grant No. NIH R35GM159939, NIH K23GM138984) , of the United States, and the Korea Health Industry Development Institute (No. RS-2024-00439677) to Joo Heung Yoon.This study was also supported by Institute of Information &amp; communications Technology Planning &amp; Evaluation (IITP) grant funded by the Korea government (MSIT) (RS-2022-00143911, AI Excellence Global Innovative Leader Education Program.</t>
  </si>
  <si>
    <t>[Kim, Choonghan; Cho, Seonhee] Korea Adv Inst Sci &amp; Technol KAIST, Kim Jaechul Grad Sch AI, Daejeon, South Korea; [Yoon, Joo Heung] Univ Pittsburgh, Dept Med, Div Pulm Allergy Crit Care &amp; Sleep Med, Pittsburgh, PA USA</t>
  </si>
  <si>
    <t>Korea Advanced Institute of Science &amp; Technology (KAIST); Pennsylvania Commonwealth System of Higher Education (PCSHE); University of Pittsburgh</t>
  </si>
  <si>
    <t>Utility of Multimodal Large Language Models in Analyzing Chest X-Rays with Incomplete Contextual Information</t>
  </si>
  <si>
    <t>HEALTHCARE INFORMATICS RESEARCH</t>
  </si>
  <si>
    <t>Large Language Models; Information Integration; Semantics; Radiography; Clinical Decision Support Systems</t>
  </si>
  <si>
    <t>ERROR</t>
  </si>
  <si>
    <t>Yoon, Joo Heung/ABE-1612-2022</t>
  </si>
  <si>
    <t>Yoon, Joo Heung/0000-0002-0127-8384</t>
  </si>
  <si>
    <t>KOREAN SOC MEDICAL INFORMATICS</t>
  </si>
  <si>
    <t>1618 KYUNGHEEGUNG ACHIM BLDG 3, 72 NAESOO-DONG CHONGRO-KU, SEOUL, 110-872, SOUTH KOREA</t>
  </si>
  <si>
    <t>2093-3681</t>
  </si>
  <si>
    <t>2093-369X</t>
  </si>
  <si>
    <t>HEALTHC INFORM RES</t>
  </si>
  <si>
    <t>Healthc. Inform. Res.</t>
  </si>
  <si>
    <t>OCT 2025</t>
  </si>
  <si>
    <t>31</t>
  </si>
  <si>
    <t>416</t>
  </si>
  <si>
    <t>425</t>
  </si>
  <si>
    <t>10.4258/hir.2025.31.4.416</t>
  </si>
  <si>
    <t>http://dx.doi.org/10.4258/hir.2025.31.4.416</t>
  </si>
  <si>
    <t>Medical Informatics</t>
  </si>
  <si>
    <t>C2126</t>
  </si>
  <si>
    <t>41265427</t>
  </si>
  <si>
    <t>WOS:001620298200010</t>
  </si>
  <si>
    <t>Güler, I; Grieb, G; Kraus, A; Lautenbach, M; Stelling, H</t>
  </si>
  <si>
    <t>Background/Objectives: Multimodal large language models (MLLMs) offer potential for automated fracture detection, yet their diagnostic stability under repeated inference remains underexplored. This study evaluates the diagnostic accuracy, stability, and intra-model consistency of four MLLMs in detecting hand fractures on plain radiographs. Methods: In total, images of hand radiographs of 65 adult patients with confirmed hand fractures (30 phalangeal, 30 metacarpal, 5 scaphoid) were evaluated by four models: GPT-5 Pro, Gemini 2.5 Pro, Claude Sonnet 4.5, and Mistral Medium 3.1. Each image was independently analyzed five times per model using identical zero-shot prompts (1300 total inferences). Diagnostic accuracy, inter-run reliability (Fleiss' kappa), case-level agreement profiles, subgroup performance, and exploratory demographic inference (age, sex) were assessed. Results: GPT-5 Pro achieved the highest accuracy (64.3%) and consistency (kappa = 0.71), followed by Gemini 2.5 Pro (56.9%, kappa = 0.57). Mistral Medium 3.1 exhibited high agreement (kappa = 0.88) despite low accuracy (38.5%), indicating systematic error ("confident hallucination"). Claude Sonnet 4.5 showed low accuracy (33.8%) and consistency (kappa = 0.33), reflecting instability. While phalangeal fractures were reliably detected by top models, scaphoid fractures remained challenging. Demographic analysis revealed poor capabilities, with age estimation errors exceeding 12 years and sex prediction accuracy near random chance. Conclusions: Diagnostic accuracy and consistency are distinct performance dimensions; high intra-model agreement does not imply correctness. While GPT-5 Pro demonstrated the most favorable balance of accuracy and stability, other models exhibited critical failure modes ranging from systematic bias to random instability. At present, MLLMs should be regarded as experimental diagnostic reasoning systems rather than reliable standalone tools for clinical fracture detection.</t>
  </si>
  <si>
    <t>Guler, Ibrahim; Grieb, Gerrit; Kraus, Armin; Lautenbach, Martin; Stelling, Henrik</t>
  </si>
  <si>
    <t>Güler, I (corresponding author), Otto von Guericke Univ, Dept Plast Aesthet &amp; Hand Surg, D-39120 Magdeburg, Germany.; Güler, I (corresponding author), Friedrich Alexander Univ Erlangen Nurnberg FAU, Dept Hlth Management, Lange Gasse 20, D-90403 Nurnberg, Germany.</t>
  </si>
  <si>
    <t>ibrahim.gueler@med.ovgu.de; henrikstelling@googlemail.com; m.lautenbach@waldfriede.de; gerritgrieb@gmx.de; armin.kraus@med.ovgu.de</t>
  </si>
  <si>
    <t>[Guler, Ibrahim; Kraus, Armin] Otto von Guericke Univ, Dept Plast Aesthet &amp; Hand Surg, D-39120 Magdeburg, Germany; [Guler, Ibrahim] Friedrich Alexander Univ Erlangen Nurnberg FAU, Dept Hlth Management, Lange Gasse 20, D-90403 Nurnberg, Germany; [Grieb, Gerrit] Gemeinschaftskrankenhaus Havelhoehe, Dept Plast Surg &amp; Hand Surg, Kladower Damm 221, D-14089 Berlin, Germany; [Grieb, Gerrit] Rhein Westfal TH Aachen, Med Fac, Burn Ctr, Dept Plast Surg &amp; Hand Surg, Pauwelsstr 30, D-52074 Aachen, Germany; [Lautenbach, Martin] Waldfriede Hosp, Dept Hand Surg Orthoped &amp; Trauma Surg, Argentin Allee 40, D-14163 Berlin, Germany; [Stelling, Henrik] Pract Nucl Med, Rubensstr 125, D-12157 Berlin, Germany</t>
  </si>
  <si>
    <t>Otto von Guericke University; University of Erlangen Nuremberg; RWTH Aachen University</t>
  </si>
  <si>
    <t>Diagnostic Accuracy and Stability of Multimodal Large Language Models for Hand Fracture Detection: A Multi-Run Evaluation on Plain Radiographs</t>
  </si>
  <si>
    <t>DIAGNOSTICS</t>
  </si>
  <si>
    <t>multimodal large language models; hand fractures; radiography; diagnostic accuracy; inter-run reliability; artificial intelligence; fracture detection; medical imaging; exploratory analysis; hand surgery</t>
  </si>
  <si>
    <t>AGREEMENT</t>
  </si>
  <si>
    <t>Lautenbach, Martin/IUQ-4118-2023</t>
  </si>
  <si>
    <t>Kraus, Armin/0000-0001-6557-2163; Stelling, Henrik/0009-0006-9391-3918</t>
  </si>
  <si>
    <t>37</t>
  </si>
  <si>
    <t>2075-4418</t>
  </si>
  <si>
    <t>Diagnostics</t>
  </si>
  <si>
    <t>FEB 1 2026</t>
  </si>
  <si>
    <t>16</t>
  </si>
  <si>
    <t>424</t>
  </si>
  <si>
    <t>10.3390/diagnostics16030424</t>
  </si>
  <si>
    <t>http://dx.doi.org/10.3390/diagnostics16030424</t>
  </si>
  <si>
    <t>DO5XN</t>
  </si>
  <si>
    <t>41681742</t>
  </si>
  <si>
    <t>WOS:001688358400001</t>
  </si>
  <si>
    <t>Li, WJ; Zhang, YJ; Sun, HR; Li, YQ; Zhang, FR; Xu, MZ; Clausich, VB; Mellin, S; Yang, RH; Wang, CR; Wang, JZS; Yao, SY; Li, G; Xu, YD; Wang, HY; Huang, YL; Wang, AL; Shi, C; Zhang, Y; Guo, JN; Yang, LQ; Li, RX; Xu, Y; Liu, JW; Zhang, Y; Liu, L; Sanromán, CG; Wang, L</t>
  </si>
  <si>
    <t>Chest X-ray (CXR) imaging is one of the most widely used diagnostic modalities in clinical practice, encompassing a broad spectrum of diagnostic tasks. Recent advancements have seen the extensive application of reasoning-based multimodal large language models (MLLMs) in medical imaging to enhance diagnostic efficiency and interpretability. However, existing multimodal models predominantly rely on "one-time" diagnostic approaches, lacking verifiable supervision of the reasoning process. This leads to challenges in multi-task CXR diagnosis, including lengthy reasoning, sparse rewards, and frequent hallucinations. To address these issues, we propose CX-Mind, the first generative model to achieve interleaved "think-answer" reasoning for CXR tasks, driven by curriculum-based reinforcement learning and verifiable process rewards (CuRL-VPR). Specifically, we constructed an instruction-tuning dataset, CX-Set, comprising 708,473 images and 2,619,148 samples, and generated 42,828 high-quality interleaved reasoning data points supervised by clinical reports. Optimization was conducted in two stages under the Group Relative Policy Optimization framework: initially stabilizing basic reasoning with closed-domain tasks, followed by transfer to open-domain diagnostics, incorporating rule-based conditional process rewards to bypass the need for pretrained reward models. Extensive experimental results demonstrate that CX-Mind significantly outperforms existing medical and general-domain MLLMs in visual understanding, text generation, and spatiotemporal alignment, achieving an average performance improvement of 25.1 % over comparable CXR-specific models. On a real-world clinical dataset (Rui-CXR), CX-Mind achieves a mean recall@1 across 14 diseases that substantially surpasses the second-best results, with multi-center expert evaluations further confirming its clinical utility across multiple dimensions. CX-Mind establishes a new paradigm for constructing interpretable, and high-performing medical MLLMs.</t>
  </si>
  <si>
    <t>Li, Wenjie; Zhang, Yujie; Sun, Haoran; Li, Yueqi; Zhang, Fanrui; Xu, Mengzhe; Clausich, Victoria Borja; Mellin, Sade; Yang, Renhao; Wang, Chenrun; Wang, Jethro Zih-Shuo; Yao, Shiyi; Li, Gen; Xu, Yidong; Wang, Hanyu; Huang, Yilin; Wang, Angela Lin; Shi, Chen; Zhang, Yin; Guo, Jianan; Yang, Luqi; Li, Renxuan; Xu, Yang; Liu, Jiawei; Zhang, Yao; Liu, Lei; Sanroman, Carlos Gutierrez; Wang, Lei</t>
  </si>
  <si>
    <t>Wang, L (corresponding author), Shanghai Jiao Tong Univ, Sch Med, Coll Hlth Sci &amp; Technol, Shanghai, Peoples R China.; Wang, L (corresponding author), Shanghai Jiao Tong Univ, Ruijin Hosp, Clin Ctr Sports Med, Dept Orthopaed,Sch Med, Shanghai, Peoples R China.</t>
  </si>
  <si>
    <t>ray_wangs@hotmail.com</t>
  </si>
  <si>
    <t>Key Research and Development Plan of the Ministry of Science and Technology [2023YFC2410705]; National Natural Science Foundation of China [32171317, GS50110000180982472419]; Shanghai Municipal Science and Technology Commission Project [25ZR1402348]</t>
  </si>
  <si>
    <t>Key Research and Development Plan of the Ministry of Science and Technology; National Natural Science Foundation of China (National Natural Science Foundation of China (NSFC)); Shanghai Municipal Science and Technology Commission Project (Shanghai Municipal Science &amp; Technology Major Project)</t>
  </si>
  <si>
    <t>The work was supported by Key Research and Development Plan of the Ministry of Science and Technology (2023YFC2410705) , the National Natural Science Foundation of China (32171317 and GS50110000180982472419) and Shanghai Municipal Science and Technology Commission Project (25ZR1402348) . We gratefully acknowledge the Shanghai Key Laboratory of Intelligent Information Processing at the School of Computer Science, Fudan University, and Professor Bo Yan for their invaluable support.</t>
  </si>
  <si>
    <t>[Li, Wenjie; Yang, Renhao; Wang, Lei] Shanghai Jiao Tong Univ, Sch Med, Coll Hlth Sci &amp; Technol, Shanghai, Peoples R China; [Li, Wenjie; Zhang, Yujie] Shanghai Innovat Inst, Shanghai, Peoples R China; [Li, Wenjie; Yang, Renhao; Yao, Shiyi; Li, Gen; Xu, Yidong; Wang, Hanyu; Huang, Yilin; Wang, Angela Lin; Shi, Chen; Zhang, Yin; Guo, Jianan; Yang, Luqi; Li, Renxuan; Xu, Yang; Wang, Lei] Shanghai Jiao Tong Univ, Ruijin Hosp, Clin Ctr Sports Med, Dept Orthopaed,Sch Med, Shanghai, Peoples R China; [Sun, Haoran; Liu, Lei] Fudan Univ, Intelligent Med Inst, Sch Basic Med Sci, Shanghai, Peoples R China; [Li, Yueqi] Zhejiang Univ, Affiliated Hosp 1, Coll Med, Dept Hematol, Hangzhou, Peoples R China; [Zhang, Fanrui; Liu, Jiawei] Univ Sci &amp; Technol China, MoE Key Lab Brain Inspired Intelligent Percept &amp; C, Hefei, Peoples R China; [Xu, Mengzhe] Univ Cambridge, Dept Publ Hlth &amp; Primary Care, Cambridge, England; [Clausich, Victoria Borja] Univ CEU Cardenal Herrera, Fac Hlth Sci, Dept Med, Valencia, Spain; [Mellin, Sade] Univ Helsinki, Fac Med, Helsinki, Finland; [Wang, Chenrun] Shanghai Jiao Tong Univ, Sch Comp Sci, X LANCE Lab, Shanghai, Peoples R China; [Wang, Jethro Zih-Shuo] Chinese Acad Med Sci &amp; Peking Union Med Coll, Natl Canc Ctr, Natl Clin Res Ctr Canc, Dept Hepatobiliary Surg,Canc Hosp, Beijing, Peoples R China; [Wang, Jethro Zih-Shuo] Ohio State Univ, Wexner Med Ctr, James Comprehens Canc Ctr, Dept Surg, Columbus, OH USA; [Xu, Yidong] Beihang Univ, Ningbo Inst Technol, Ningbo, Peoples R China; [Zhang, Yao] UCL, Dept Mech Engn, London, England; [Liu, Lei; Sanroman, Carlos Gutierrez] Hosp Univ &amp; Politecn La Fe, Dept Pediat Surg, Serv Cirugia Pediat, Valencia, Spain</t>
  </si>
  <si>
    <t>Shanghai Jiao Tong University; Shanghai Jiao Tong University; Fudan University; Zhejiang University; Chinese Academy of Sciences; University of Science &amp; Technology of China, CAS; University of Cambridge; Universidad CEU Cardenal Herrera; University of Helsinki; Shanghai Jiao Tong University; Chinese Academy of Medical Sciences - Peking Union Medical College; Cancer Institute &amp; Hospital - CAMS; Peking Union Medical College; James Cancer Hospital &amp; Solove Research Institute; Ohio State University; University System of Ohio; Ohio State University; Beihang University; University College London; University of London; University College London; Hospital Universitari i Politecnic La Fe</t>
  </si>
  <si>
    <t>CX-Mind: a pioneering multimodal large language model for interleaved reasoning in chest X-ray via curriculum-guided reinforcement learning</t>
  </si>
  <si>
    <t>INFORMATION FUSION</t>
  </si>
  <si>
    <t>Medical reasoning; Multimodal large language models; Chest X-ray; Reinforcement learning; Curriculum learning</t>
  </si>
  <si>
    <t>zhang, yujie/LXU-8925-2024; Li, Wenjie/POU-6588-2026; yangyang, yang/GRO-2293-2022</t>
  </si>
  <si>
    <t>Xu, Mengzhe/0009-0009-8461-8396; Mellin, Sade/0009-0002-0432-6051; Liu, Lei/0000-0001-9987-7758; Zhang, Fanrui/0000-0002-1078-430X; haoran, Sun/0009-0007-7817-1773; yang, renhao/0000-0002-0983-3709; Wang, Chenrun/0009-0000-1926-0011</t>
  </si>
  <si>
    <t>46</t>
  </si>
  <si>
    <t>ELSEVIER</t>
  </si>
  <si>
    <t>AMSTERDAM</t>
  </si>
  <si>
    <t>RADARWEG 29, 1043 NX AMSTERDAM, NETHERLANDS</t>
  </si>
  <si>
    <t>1566-2535</t>
  </si>
  <si>
    <t>1872-6305</t>
  </si>
  <si>
    <t>INFORM FUSION</t>
  </si>
  <si>
    <t>Inf. Fusion</t>
  </si>
  <si>
    <t>MAY 2026</t>
  </si>
  <si>
    <t>129</t>
  </si>
  <si>
    <t>104027</t>
  </si>
  <si>
    <t>10.1016/j.inffus.2025.104027</t>
  </si>
  <si>
    <t>http://dx.doi.org/10.1016/j.inffus.2025.104027</t>
  </si>
  <si>
    <t>DEC 2025</t>
  </si>
  <si>
    <t>23</t>
  </si>
  <si>
    <t>Computer Science, Artificial Intelligence; Computer Science, Theory &amp; Methods</t>
  </si>
  <si>
    <t>Computer Science</t>
  </si>
  <si>
    <t>AM9JJ</t>
  </si>
  <si>
    <t>WOS:001651923100001</t>
  </si>
  <si>
    <t>hybrid</t>
  </si>
  <si>
    <t>Draelos, RL; Afreen, S; Blasko, B; Brazile, TL; Chase, N; Desai, DP; Evert, J; Gardner, HL; Herrmann, L; House, AV; Kass, S; Kavan, M; Khemani, K; Koire, A; McDonald, LM; Rabeeah, Z; Shah, A</t>
  </si>
  <si>
    <t>Millions of patients are regularly using large language model (LLM) chatbots for medical advice, raising patient safety concerns. This physician-led red-teaming study compares the safety of four publicly available chatbots-Claude by Anthropic, Gemini by Google, GPT-4o by OpenAI, and Llama-3.0/3.1-70B by Meta-on a new dataset, HealthAdvice, using an evaluation framework that enables quantitative and qualitative analysis. In total, 888 chatbot responses are evaluated for 222 patient-posed advice-seeking medical questions on primary care topics spanning internal medicine, women's health, and pediatrics. We find statistically significant differences between chatbots. The rate of problematic responses varies from 21.6% (Claude) to 43.2% (Llama), with unsafe responses varying from 5% (Claude) to 13% (GPT-4o, Llama). Qualitative results reveal chatbot responses with the potential to lead to serious patient harm. This study suggests that millions of patients could be receiving unsafe medical advice from publicly available chatbots, and further work is needed to improve the clinical safety of these powerful tools.</t>
  </si>
  <si>
    <t>Draelos, Rachel L.; Afreen, Samina; Blasko, Barbara; Brazile, Tiffany L.; Chase, Natasha; Desai, Dimple Patel; Evert, Jessica; Gardner, Heather L.; Herrmann, Lauren; House, Aswathy Vaikom; Kass, Stephanie; Kavan, Marianne; Khemani, Kirshma; Koire, Amanda; McDonald, Lauren M.; Rabeeah, Zahraa; Shah, Amy</t>
  </si>
  <si>
    <t>Draelos, RL (corresponding author), Glass Box Med, Durham, NC 27710 USA.</t>
  </si>
  <si>
    <t>rachel.draelos@glassboxmedicine.com</t>
  </si>
  <si>
    <t>R.L.D</t>
  </si>
  <si>
    <t>Thank you to Ebtihal Ahmed, Harkesh Arora, Elana Pearl Ben-Joseph, Sandra Lukic Graba, B. Sophia Ford-Glanton, Sujin Lee, Yaolin Zhou, and Megan Alyssa Gayeski for helpful discussion. This research received no external funding. IRB and research costs were supported by personal funds from R.L.D.</t>
  </si>
  <si>
    <t>[Draelos, Rachel L.] Glass Box Med, Durham, NC 27710 USA; [Afreen, Samina] Univ Virginia, Charlottesville, VA USA; [Blasko, Barbara] Riverside Community Hosp, Riverside, CA USA; [Brazile, Tiffany L.] Inova Fairfax Med Campus, Inova Schar Heart &amp; Vasc, Falls Church, VA USA; [Chase, Natasha] Cooper Univ Hosp, Camden, NJ USA; [Desai, Dimple Patel] South Texas Res Inst, Brownsville, TX USA; [Evert, Jessica] Univ Calif San Francisco, San Francisco, CA USA; [Gardner, Heather L.] Valley View Hosp, Glenwood Springs, CO USA; [Herrmann, Lauren] Univ Louisville, Louisville, KY USA; [House, Aswathy Vaikom] Univ Oklahoma, Hlth Sci Ctr, Oklahoma City, OK USA; [Kass, Stephanie] Northwell Hlth, Manhasset, NY USA; [Khemani, Kirshma] Emory Univ, Atlanta, GA USA; [Koire, Amanda] Brigham &amp; Womens Hosp, Boston, MA USA; [McDonald, Lauren M.] Castilleja Sch, Palo Alto, CA USA; [Rabeeah, Zahraa] Piedmont Healthcare, Athens, GA USA; [Shah, Amy] AmyMD Wellness, Scottsdale, AZ USA</t>
  </si>
  <si>
    <t>University of Virginia; Inova Fairfax Hospital; Cooper University Hospital; University of California System; University of California San Francisco; University of Louisville; University of Oklahoma System; University of Oklahoma Health Sciences Center; Northwell Health; Emory University; Harvard University; Harvard University Medical Affiliates; Brigham &amp; Women's Hospital</t>
  </si>
  <si>
    <t>Large language models provide unsafe answers to patient-posed medical questions</t>
  </si>
  <si>
    <t>NPJ DIGITAL MEDICINE</t>
  </si>
  <si>
    <t>Vaikom House, Aswathy/ABC-7883-2021</t>
  </si>
  <si>
    <t>26</t>
  </si>
  <si>
    <t>11</t>
  </si>
  <si>
    <t>NATURE PORTFOLIO</t>
  </si>
  <si>
    <t>BERLIN</t>
  </si>
  <si>
    <t>HEIDELBERGER PLATZ 3, BERLIN, 14197, GERMANY</t>
  </si>
  <si>
    <t>2398-6352</t>
  </si>
  <si>
    <t>NPJ DIGIT MED</t>
  </si>
  <si>
    <t>npj Digit. Med.</t>
  </si>
  <si>
    <t>FEB 13 2026</t>
  </si>
  <si>
    <t>9</t>
  </si>
  <si>
    <t>241</t>
  </si>
  <si>
    <t>10.1038/s41746-026-02428-5</t>
  </si>
  <si>
    <t>http://dx.doi.org/10.1038/s41746-026-02428-5</t>
  </si>
  <si>
    <t>FM7PX</t>
  </si>
  <si>
    <t>41688533</t>
  </si>
  <si>
    <t>WOS:001722447300002</t>
  </si>
  <si>
    <t>Seki, T; Kawazoe, Y; Ito, H; Akagi, Y; Takiguchi, T; Ohe, K</t>
  </si>
  <si>
    <t>Large Language Models (LLM) are increasingly multimodal, and Zero-Shot Visual Question Answering (VQA) shows promise for image interpretation. If zero-shot VQA can be applied to a 12-lead electrocardiogram (ECG), a prevalent diagnostic tool in the medical field, the potential benefits to the field would be substantial. This study evaluated the diagnostic performance of zero-shot VQA with multimodal LLMs on 12-lead ECG images. The results revealed that multimodal LLM tended to make more errors in extracting and verbalizing image features than in describing preconditions and making logical inferences. Even when the answers were correct, erroneous descriptions of image features were common. These findings suggest a need for improved control over image hallucination and indicate that performance evaluation using the percentage of correct answers to multiple-choice questions may not be sufficient for performance assessment in VQA tasks.</t>
  </si>
  <si>
    <t>Seki, Tomohisa; Kawazoe, Yoshimasa; Ito, Hiromasa; Akagi, Yu; Takiguchi, Toru; Ohe, Kazuhiko</t>
  </si>
  <si>
    <t>Seki, T (corresponding author), Univ Tokyo Hosp, Dept Healthcare Informat Management, Tokyo, Japan.</t>
  </si>
  <si>
    <t>seki@m.u-tokyo.ac.jp</t>
  </si>
  <si>
    <t>JSPS KAKENHI [23K11865]; Cross-ministerial Strategic Innovation Promotion Program (SIP) on "Integrated Health Care System" [JPJ012425]; Grants-in-Aid for Scientific Research [23K11865, 20K17877, 23K15620] Funding Source: KAKEN</t>
  </si>
  <si>
    <t>JSPS KAKENHI (Ministry of Education, Culture, Sports, Science and Technology, Japan (MEXT), Japan Society for the Promotion of Science, Grants-in-Aid for Scientific Research (KAKENHI)); Cross-ministerial Strategic Innovation Promotion Program (SIP) on "Integrated Health Care System"; Grants-in-Aid for Scientific Research (Ministry of Education, Culture, Sports, Science and Technology, Japan (MEXT), Japan Society for the Promotion of Science, Grants-in-Aid for Scientific Research (KAKENHI))</t>
  </si>
  <si>
    <t>The author(s) declare financial support was received for the research, authorship, and/or publication of this article. This work was supported by JSPS KAKENHI on Grant Number 23K11865 and Cross-ministerial Strategic Innovation Promotion Program (SIP) on "Integrated Health Care System" (Grant Number JPJ012425).</t>
  </si>
  <si>
    <t>[Seki, Tomohisa; Kawazoe, Yoshimasa; Ito, Hiromasa; Takiguchi, Toru; Ohe, Kazuhiko] Univ Tokyo Hosp, Dept Healthcare Informat Management, Tokyo, Japan; [Kawazoe, Yoshimasa] Univ Tokyo, Grad Sch Med, Artificial Intelligence &amp; Digital Twin Healthcare, Tokyo, Japan; [Akagi, Yu; Ohe, Kazuhiko] Univ Tokyo, Grad Sch Med, Dept Biomed Informat, Tokyo, Japan</t>
  </si>
  <si>
    <t>University of Tokyo; University of Tokyo; University of Tokyo</t>
  </si>
  <si>
    <t>Assessing the performance of zero-shot visual question answering in multimodal large language models for 12-lead ECG image interpretation</t>
  </si>
  <si>
    <t>FRONTIERS IN CARDIOVASCULAR MEDICINE</t>
  </si>
  <si>
    <t>large language model; electrocardiography; visual question answering; hallucination; zero-shot learning</t>
  </si>
  <si>
    <t>CONFIDENCE-INTERVALS</t>
  </si>
  <si>
    <t>Kawazoe, Yoshimasa/GYU-2868-2022; Seki, Tomohisa/L-3524-2013</t>
  </si>
  <si>
    <t>Kawazoe, Yoshimasa/0000-0002-7277-0827</t>
  </si>
  <si>
    <t>41</t>
  </si>
  <si>
    <t>20</t>
  </si>
  <si>
    <t>FRONTIERS MEDIA SA</t>
  </si>
  <si>
    <t>LAUSANNE</t>
  </si>
  <si>
    <t>AVENUE DU TRIBUNAL FEDERAL 34, LAUSANNE, CH-1015, SWITZERLAND</t>
  </si>
  <si>
    <t>2297-055X</t>
  </si>
  <si>
    <t>FRONT CARDIOVASC MED</t>
  </si>
  <si>
    <t>Front. Cardiovasc. Med.</t>
  </si>
  <si>
    <t>FEB 6 2025</t>
  </si>
  <si>
    <t>12</t>
  </si>
  <si>
    <t>1458289</t>
  </si>
  <si>
    <t>10.3389/fcvm.2025.1458289</t>
  </si>
  <si>
    <t>http://dx.doi.org/10.3389/fcvm.2025.1458289</t>
  </si>
  <si>
    <t>Cardiac &amp; Cardiovascular Systems</t>
  </si>
  <si>
    <t>Cardiovascular System &amp; Cardiology</t>
  </si>
  <si>
    <t>X5L9G</t>
  </si>
  <si>
    <t>39981353</t>
  </si>
  <si>
    <t>WOS:001425772800001</t>
  </si>
  <si>
    <t>Shi, TY; Ma, J; Yu, ZH; Xu, HW; Yang, RX; Xiong, MQ; Xiao, MR; Li, YL; Zhao, HY; Kong, GL</t>
  </si>
  <si>
    <t>Background: With the rapid development of artificial intelligence, large language models (LLMs) have shown strong capabilities in natural language understanding, reasoning, and generation, attracting much research interest in applying LLMs to health and medicine. Critical care medicine (CCM) provides diagnosis and treatment for patients with critical illness who often require intensive monitoring and interventions in intensive care units (ICUs). Whether LLMs can be applied to CCM, and whether they can operate as ICU experts in assisting clinical decision-making rather than "stochastic parrots," remains uncertain. Objective: This scoping review aims to provide a panoramic portrait of the application of LLMs in CCM, identifying the advantages, challenges, and future potential of LLMs in this field. Methods: This study was conducted in accordance with the PRISMA-ScR (Preferred Reporting Items for Systematic Reviews and Meta-Analyses extension for Scoping Reviews) guidelines. Literature was searched across 7 databases, including PubMed, Embase, Scopus, Web of Science, CINAHL, IEEE Xplore, and ACM Digital Library, from the first available paper to August 22, 2025. Results: From an initial 2342 retrieved papers, 41 were selected for final review. LLMs played an important role in CCM through the following 3 main channels: clinical decision support, medical documentation and reporting, and medical education and doctor-patient communication. Compared to traditional artificial intelligence models, LLMs have advantages in handling unstructured data and do not require manual feature engineering. Meanwhile, applying LLMs to CCM has faced challenges, including hallucinations and poor interpretability, sensitivity to prompts, bias and alignment challenges, and privacy and ethical issues. Conclusions:Although LLMs are not yet ICU experts, they have the potential to become valuable tools in CCM, helping to improve patient outcomes and optimize health care delivery. Future research should enhance model reliability and interpretability, improve model training and deployment scalability, integrate up-to-date medical knowledge, and strengthen privacy and ethical guidelines, paving the way for LLMs to fully realize their impact in critical care. Trial Registration: OSF Registries yn328; https://osf.io/yn328/</t>
  </si>
  <si>
    <t>Shi, Tongyue; Ma, Jun; Yu, Zihan; Xu, Haowei; Yang, Rongxin; Xiong, Minqi; Xiao, Meirong; Li, Yilin; Zhao, Huiying; Kong, Guilan</t>
  </si>
  <si>
    <t>Kong, GL (corresponding author), Peking Univ, Natl Inst Hlth Data Sci, 38 Xueyuan Rd, Beijing 100191, Peoples R China.</t>
  </si>
  <si>
    <t>guilan.kong@hsc.pku.edu.cn</t>
  </si>
  <si>
    <t>National Natural Science Foundation of China [82372095]; Humanities and Social Science Project of the Chinese Ministry of Education [22YJA630036]; Zhejiang Provincial Natural Science Foundation of China [LZ22F020014]; Beijing Natural Science Foundation of China [7212201, QY23066]</t>
  </si>
  <si>
    <t>National Natural Science Foundation of China (National Natural Science Foundation of China (NSFC)); Humanities and Social Science Project of the Chinese Ministry of Education; Zhejiang Provincial Natural Science Foundation of China (Natural Science Foundation of Zhejiang Province); Beijing Natural Science Foundation of China (Beijing Natural Science Foundation)</t>
  </si>
  <si>
    <t>Acknowledgments This work was supported by Grants from the National Natural Science Foundation of China (No. 82372095) , the Humanities and Social Science Project of the Chinese Ministry of Education (No. 22YJA630036) , the Zhejiang Provincial Natural Science Foundation of China (No. LZ22F020014) , and the Beijing Natural Science Foundation of China (No. 7212201, QY23066) .</t>
  </si>
  <si>
    <t>[Shi, Tongyue; Xu, Haowei; Yang, Rongxin; Xiao, Meirong; Kong, Guilan] Peking Univ, Natl Inst Hlth Data Sci, 38 Xueyuan Rd, Beijing 100191, Peoples R China; [Shi, Tongyue; Yang, Rongxin; Xiao, Meirong; Kong, Guilan] Peking Univ, Inst Artificial Intelligence, Beijing, Peoples R China; [Shi, Tongyue; Yang, Rongxin; Xiao, Meirong; Kong, Guilan] Peking Univ, Inst Med Technol, Hlth Sci Ctr, Beijing, Peoples R China; [Shi, Tongyue; Xu, Haowei; Yang, Rongxin; Xiao, Meirong; Kong, Guilan] Peking Univ, Adv Inst Informat Technol, Hangzhou, Peoples R China; [Ma, Jun] Peking Univ Third Hosp, Beijing, Peoples R China; [Yu, Zihan] Univ Liverpool, Dept Comp Sci, Liverpool, England; [Xiong, Minqi] Johns Hopkins Univ, Sch Med, Baltimore, MD USA; [Li, Yilin] Univ Calif Los Angeles, Fielding Sch Publ Hlth, Los Angeles, CA USA; [Zhao, Huiying] Peking Univ, Dept Crit Care Med, Peoples Hosp, Beijing, Peoples R China</t>
  </si>
  <si>
    <t>Peking University; Peking University; Peking University; Peking University; Peking University; University of Liverpool; Johns Hopkins University; Johns Hopkins Medicine; University of California System; University of California Los Angeles; Peking University</t>
  </si>
  <si>
    <t>Large Language Models in Critical Care Medicine: Scoping Review</t>
  </si>
  <si>
    <t>JMIR MEDICAL INFORMATICS</t>
  </si>
  <si>
    <t>artificial intelligence; large language model; ChatGPT; critical care; intensive care; clinical decision support; intensive care unit</t>
  </si>
  <si>
    <t>MORTALITY; BIAS</t>
  </si>
  <si>
    <t>Xiao, Meirong/LXU-4035-2024; Xu, Haowei/GMW-4346-2022; Kong, Guilan/GQQ-8841-2022; Shi, Tongyue/HLX-8838-2023</t>
  </si>
  <si>
    <t>Xiao, Meirong/0000-0002-6300-1938; Xiong, Minqi/0009-0001-0289-148X; ma, jun/0000-0003-3058-4660; , Yu/0009-0003-8787-7699; Kong, Guilan/0000-0002-0851-1644</t>
  </si>
  <si>
    <t>160</t>
  </si>
  <si>
    <t>7</t>
  </si>
  <si>
    <t>2291-9694</t>
  </si>
  <si>
    <t>JMIR MED INF</t>
  </si>
  <si>
    <t>JMIR Med. Inf.</t>
  </si>
  <si>
    <t>e76326</t>
  </si>
  <si>
    <t>10.2196/76326</t>
  </si>
  <si>
    <t>http://dx.doi.org/10.2196/76326</t>
  </si>
  <si>
    <t>25</t>
  </si>
  <si>
    <t>Q3556</t>
  </si>
  <si>
    <t>41284992</t>
  </si>
  <si>
    <t>WOS:001634505900001</t>
  </si>
  <si>
    <t>Imrie, F; Rauba, P; van der Schaar, M</t>
  </si>
  <si>
    <t>Digital health tools have the potential to significantly improve the delivery of healthcare services. However, their adoption remains comparatively limited due, in part, to challenges surrounding usability and trust. Large Language Models (LLMs) have emerged as general-purpose models with the ability to process complex information and produce human-quality text, presenting a wealth of potential applications in healthcare. Directly applying LLMs in clinical settings is not straightforward, however, as LLMs are susceptible to providing inconsistent or nonsensical answers. We demonstrate how LLM-based systems, with LLMs acting as agents, can utilize external tools and provide a novel interface between clinicians and digital technologies. This enhances the utility and practical impact of digital healthcare tools and AI models while addressing current issues with using LLMs in clinical settings, such as hallucinations. We illustrate LLM-based interfaces with examples of cardiovascular disease and stroke risk prediction, quantitatively assessing their performance and highlighting the benefit compared to traditional interfaces for digital tools.</t>
  </si>
  <si>
    <t>Imrie, Fergus; Rauba, Paulius; van der Schaar, Mihaela</t>
  </si>
  <si>
    <t>Imrie, F (corresponding author), Univ Oxford, Dept Stat, Oxford, England.; van der Schaar, M (corresponding author), Univ Cambridge, Dept Appl Math &amp; Theoret Phys, Cambridge, England.</t>
  </si>
  <si>
    <t>mv472@cam.ac.uk; fergus.imrie@stats.ox.ac.uk</t>
  </si>
  <si>
    <t>BHF [SP/18/3/33801]</t>
  </si>
  <si>
    <t>BHF</t>
  </si>
  <si>
    <t>The author(s) declare that financial support was received for the research and/or publication of this article. MS is funded, in part, by the BHF (SP/18/3/33801). FI conducted part of this work while at the University of California, Los Angeles.</t>
  </si>
  <si>
    <t>[Imrie, Fergus] Univ Oxford, Dept Stat, Oxford, England; [Rauba, Paulius; van der Schaar, Mihaela] Univ Cambridge, Dept Appl Math &amp; Theoret Phys, Cambridge, England</t>
  </si>
  <si>
    <t>University of Oxford; University of Cambridge</t>
  </si>
  <si>
    <t>Redefining digital health interfaces with large language models</t>
  </si>
  <si>
    <t>FRONTIERS IN ARTIFICIAL INTELLIGENCE</t>
  </si>
  <si>
    <t>large language model (LLM); risk score; cardiovascular disease; LLM agents; digital health</t>
  </si>
  <si>
    <t>PREDICTING STROKE; PRIMARY-CARE; VALIDATION</t>
  </si>
  <si>
    <t>Imrie, Fergus/GPX-9474-2022</t>
  </si>
  <si>
    <t>59</t>
  </si>
  <si>
    <t>2624-8212</t>
  </si>
  <si>
    <t>FRONT ARTIF INTELL</t>
  </si>
  <si>
    <t>Front. Artif. Intell.</t>
  </si>
  <si>
    <t>SEP 26 2025</t>
  </si>
  <si>
    <t>1623339</t>
  </si>
  <si>
    <t>10.3389/frai.2025.1623339</t>
  </si>
  <si>
    <t>http://dx.doi.org/10.3389/frai.2025.1623339</t>
  </si>
  <si>
    <t>Computer Science, Artificial Intelligence; Computer Science, Information Systems</t>
  </si>
  <si>
    <t>8JW1C</t>
  </si>
  <si>
    <t>41079555</t>
  </si>
  <si>
    <t>WOS:001590402600001</t>
  </si>
  <si>
    <t>Wang, L; Tang, KQ; Yang, ZC; Wang, Y; Zhang, P; Wu, BW; Zhao, WB; Chen, J; Gong, JM; Du, SY; Li, S</t>
  </si>
  <si>
    <t>Large language models (LLMs) show promise for supporting Traditional Chinese Medicine (TCM) practice, but their clinical utility is limited by domain-specific knowledge gaps, hallucinations, and weak multi-turn reasoning. We present GastroTCM, a specialised LLM assistant for TCM gastroenterology that we built by fine-tuning a Llama3-8B model and augmenting it with a Retrieval-Augmented Generation (RAG) and an agent framework. GastroTCM targets key shortcomings in current TCM diagnostic support through three components: (1) a dedicated TCM gastroenterology vector database for efficient retrieval of high-value, peer-reviewed knowledge; (2) ShareGPT-style multi-turn dialogue optimisation to preserve clinical context across rounds; and (3) an intelligent agent that dynamically adapts its responses to evolving symptom profiles and user intent.GastroTCM was trained on approximately 20 million tokens of de-identified clinical records, guideline-based content, and expert-curated TCM question-answer pairs and evaluated against strong Chinese LLM baselines (ChatGLM-6B, Qwen-2). In automatic evaluations, GastroTCM outperformed all baselines in single-turn dialogue (BLEU: 0.334 vs. 0.172-0.246) and multi-turn consultations, where it achieved a substantially higher rate of proactive, clinically appropriate interactions (27/60 vs. &lt;= 2/60 cases). Expert review by TCM gastroenterologists further confirmed higher diagnostic accuracy and safety, with the RAG module markedly reducing unsupported or hallucinated statements. These findings suggest that domain-specific, retrieval-enhanced LLMs can meaningfully augment-rather than replace-TCM practitioners in gastroenterology, with the potential to improve access to high-quality, explainable decision support in real-world settings.</t>
  </si>
  <si>
    <t>Wang, Lan; Tang, Kaiqiang; Yang, Zhichuan; Wang, Yan; Zhang, Peng; Wu, Bowen; Zhao, Weibo; Chen, Jun; Gong, Jiamin; Du, Shiyu; Li, Shao</t>
  </si>
  <si>
    <t>Li, S (corresponding author), Tsinghua Univ, Inst TCM X, Dept Automat, Bioinformat Div,MOE Key Lab Bioinformat,BNRist, Beijing, Peoples R China.; Du, SY (corresponding author), China Japan Friendship Hosp, Dept Gastroenterol, Beijing, Peoples R China.</t>
  </si>
  <si>
    <t>dushiyu1975@126.com; shaoli@mail.tsinghua.edu.cn</t>
  </si>
  <si>
    <t>Pilot Project for Disciplinary Breakthroughs of Ministry of Education [Prevention and Treatment of Multi-System Comorbid Diseases with Traditional Chinese Medicine]; National Natural Science Foundation of China [Grant Nos. 82305047]; the National Natural Science Foundation of China [(Grant Nos. T2341008)]; Innovation Team and Talents Cultivation Program of National Administration of Traditional Chinese Medicine [ZYYCXTD-D-202405]</t>
  </si>
  <si>
    <t>Pilot Project for Disciplinary Breakthroughs of Ministry of Education; National Natural Science Foundation of China (National Natural Science Foundation of China (NSFC)); the National Natural Science Foundation of China (National Natural Science Foundation of China (NSFC)); Innovation Team and Talents Cultivation Program of National Administration of Traditional Chinese Medicine</t>
  </si>
  <si>
    <t>This study was funded by: National Natural Science Foundation of China (Grant Nos. T2341008), National Natural Science Foundation of China (Grant Nos. 82305047), Innovation Team and Talents Cultivation Program of National Administration of Traditional Chinese Medicine (ZYYCXTD-D-202405), and Pilot Project for Disciplinary Breakthroughs of Ministry of Education ('Prevention and Treatment of Multi-System Comorbid Diseases with Traditional Chinese Medicine').</t>
  </si>
  <si>
    <t>[Wang, Lan; Zhang, Peng; Wu, Bowen; Zhao, Weibo; Li, Shao] Tsinghua Univ, Inst TCM X, Dept Automat, Bioinformat Div,MOE Key Lab Bioinformat,BNRist, Beijing, Peoples R China; [Tang, Kaiqiang] Nanjing Univ, Ctr Adv Control &amp; Smart Operat CACSO, Sch Robot &amp; Automat, Suzhou, Peoples R China; [Yang, Zhichuan] Xi An Jiao Tong Univ, Dept Software, Xian, Peoples R China; [Wang, Yan] China Agr Univ, Dept Clin Med, Beijing, Peoples R China; [Chen, Jun; Gong, Jiamin] Fujian Med Univ, Sch Publ Hlth, Dept Epidemiol &amp; Hlth Stat, Fuzhou, Peoples R China; [Du, Shiyu] China Japan Friendship Hosp, Dept Gastroenterol, Beijing, Peoples R China</t>
  </si>
  <si>
    <t>Tsinghua University; Nanjing University; Xi'an Jiaotong University; China Agricultural University; Fujian Medical University; China-Japan Friendship Hospital</t>
  </si>
  <si>
    <t>GastroTCM: a large language model assistant for gastroenterology in traditional Chinese medicine</t>
  </si>
  <si>
    <t>CHINESE MEDICINE</t>
  </si>
  <si>
    <t>Large language models; Traditional Chinese medicine; Retrieval-augmented generation; Gastrointestinal diagnostic</t>
  </si>
  <si>
    <t>Peng, Zhang/IUP-6492-2023; Gong, Jiamin/HPC-4556-2023</t>
  </si>
  <si>
    <t>22</t>
  </si>
  <si>
    <t>BMC</t>
  </si>
  <si>
    <t>CAMPUS, 4 CRINAN ST, LONDON N1 9XW, ENGLAND</t>
  </si>
  <si>
    <t>1749-8546</t>
  </si>
  <si>
    <t>CHIN MED-UK</t>
  </si>
  <si>
    <t>Chin. Med.</t>
  </si>
  <si>
    <t>JAN 22 2026</t>
  </si>
  <si>
    <t>21</t>
  </si>
  <si>
    <t>10.1186/s13020-025-01295-8</t>
  </si>
  <si>
    <t>http://dx.doi.org/10.1186/s13020-025-01295-8</t>
  </si>
  <si>
    <t>Integrative &amp; Complementary Medicine; Pharmacology &amp; Pharmacy</t>
  </si>
  <si>
    <t>CJ2GI</t>
  </si>
  <si>
    <t>41566401</t>
  </si>
  <si>
    <t>WOS:001667077000001</t>
  </si>
  <si>
    <t>6</t>
  </si>
  <si>
    <t>Wang, QX; Wang, ZQ; Li, MH; Ni, XY; Tan, R; Zhang, WW; Wubulaishan, M; Wang, W; Yuan, ZY; Zhang, Z; Liu, C</t>
  </si>
  <si>
    <t>Objective. Radiotherapy planning requires significant expertise to balance tumor control and organ-at-risk (OAR) sparing. Automated planning can improve both efficiency and quality. This study introduces GPT-Plan, a novel multi-agent system powered by the GPT-4 family of large language models (LLMs), for automating the iterative radiotherapy plan optimization. Approach. GPT-Plan uses LLM-driven agents, mimicking the collaborative clinical workflow of a dosimetrist and physicist, to iteratively generate and evaluate text-based radiotherapy plans based on predefined criteria. Supporting tools assist the agents by leveraging historical plans, mitigating LLM hallucinations, and balancing exploration and exploitation. Performance was evaluated on 12 lung (IMRT) and 5 cervical (VMAT) cancer cases, benchmarked against the ECHO auto-planning method and manual plans. The impact of historical plan retrieval on efficiency was also assessed. Results. For IMRT lung cancer cases, GPT-Plan generated high-quality plans, demonstrating superior target coverage and homogeneity compared to ECHO while maintaining comparable or better OAR sparing. For VMAT cervical cancer cases, plan quality was comparable to a senior physicist and consistently superior to a junior physicist, particularly for OAR sparing. Retrieving historical plans significantly reduced the number of required optimization iterations for lung cases (p &lt; 0.01) and yielded iteration counts comparable to those of the senior physicist for cervical cases (p = 0.313). Occasional LLM hallucinations have been mitigated by self-reflection mechanisms. One limitation was the inaccuracy of vision-based LLMs in interpreting dose images. Significance. This pioneering study demonstrates the feasibility of automating radiotherapy planning using LLM-powered agents for complex treatment decision-making tasks. While challenges remain in addressing LLM limitations, ongoing advancements hold potential for further refining and expanding GPT-Plan's capabilities.</t>
  </si>
  <si>
    <t>Wang, Qingxin; Wang, Zhongqiu; Li, Minghua; Ni, Xinye; Tan, Rong; Zhang, Wenwen; Wubulaishan, Maitudi; Wang, Wei; Yuan, Zhiyong; Zhang, Zhen; Liu, Cong</t>
  </si>
  <si>
    <t>Liu, C (corresponding author), Nanjing Med Univ, Affiliated Changzhou 2 Peoples Hosp, Radiat Oncol Ctr, Changzhou 213003, Jiangsu, Peoples R China.; Liu, C (corresponding author), Nanjing Med Univ, Ctr Med Phys, Changzhou 213003, Jiangsu, Peoples R China.; Liu, C (corresponding author), Shanghai Business Sch, Fac Business Informat, Shanghai 201499, Peoples R China.</t>
  </si>
  <si>
    <t>tjcongliu@gmail.com</t>
  </si>
  <si>
    <t>National Natural Science Foundation of Chinahttp://dx.doi.org/10.13039/501100001809 [62371243, 82272734, 81872472]; National Natural Science Foundation of China [TJYXZDXK-009A]; Tianjin Key Medical Discipline (Specialty) Construction Project [2022KY689]; Zhejiang Provincial Medical and Health Science and Technology Plan</t>
  </si>
  <si>
    <t>National Natural Science Foundation of Chinahttp://dx.doi.org/10.13039/501100001809; National Natural Science Foundation of China (National Natural Science Foundation of China (NSFC)); Tianjin Key Medical Discipline (Specialty) Construction Project; Zhejiang Provincial Medical and Health Science and Technology Plan</t>
  </si>
  <si>
    <t>We would like to express our gratitude to Dr Jonathan Yao, Yao Ju, and Qianqian Wang for their valuable assistance with treatment planning. This work was supported by the National Natural Science Foundation of China (Nos. 62371243, 82272734, and 81872472), the Tianjin Key Medical Discipline (Specialty) Construction Project (No. TJYXZDXK-009A), and the Zhejiang Provincial Medical and Health Science and Technology Plan (2022KY689).</t>
  </si>
  <si>
    <t>[Wang, Qingxin; Wang, Zhongqiu; Zhang, Wenwen; Wubulaishan, Maitudi; Wang, Wei; Yuan, Zhiyong] Tianjin Med Univ Canc Inst &amp; Hosp, Natl Clin Res Ctr Canc, Tianjins Clin Res Ctr Canc, Dept Radiat Oncol,Key Lab Cancer Prevent &amp; Therapy, Tianjin 300060, Peoples R China; [Wang, Qingxin] Tianjin Univ, Sch Precis Instrument &amp; Optoelect Engn, Tianjin 300072, Peoples R China; [Wang, Qingxin; Wubulaishan, Maitudi] Hetian Dist Peoples Hosp, Dept Med Oncol, Hetian 848000, Xinjiang, Peoples R China; [Li, Minghua; Zhang, Zhen] Maastricht Univ, Med Ctr, GROW Sch Oncol &amp; Reprod, Dept Radiat Oncol Maastro, NL-6229 ET Maastricht, Netherlands; [Ni, Xinye; Liu, Cong] Nanjing Med Univ, Affiliated Changzhou 2 Peoples Hosp, Radiat Oncol Ctr, Changzhou 213003, Jiangsu, Peoples R China; [Ni, Xinye; Liu, Cong] Nanjing Med Univ, Ctr Med Phys, Changzhou 213003, Jiangsu, Peoples R China; [Tan, Rong; Liu, Cong] Shanghai Business Sch, Fac Business Informat, Shanghai 201499, Peoples R China; [Zhang, Zhen] Chinese Acad Sci, Zhejiang Canc Hosp, Hangzhou Inst Med HIM, Hangzhou 310022, Zhejiang, Peoples R China</t>
  </si>
  <si>
    <t>Tianjin Medical University; Tianjin University; Maastricht University; Maastricht University Medical Centre (MUMC); Nanjing Medical University; Nanjing Medical University; Shanghai Business School; Zhejiang Cancer Hospital; Chinese Academy of Sciences; Hangzhou Institute of Medicine, CAS</t>
  </si>
  <si>
    <t>A feasibility study of automating radiotherapy planning with large language model agents</t>
  </si>
  <si>
    <t>PHYSICS IN MEDICINE AND BIOLOGY</t>
  </si>
  <si>
    <t>radiotherapy treatment auto-planning; artificial intelligence; large language models; multi-agent systems</t>
  </si>
  <si>
    <t>DOSE PREDICTION; ADAPTATION; DISTRIBUTIONS</t>
  </si>
  <si>
    <t>Yuan, Zhiyong/ODM-9792-2025; Wang, Zhong-Qiu/ABC-5782-2021; Wang, Qingxin/PKG-7570-2026; Wang, Wei/HHS-5286-2022; Zhang, Wenwen/PBX-0484-2025; Zhang, Zhen/GXH-3666-2022</t>
  </si>
  <si>
    <t>Wang, Qingxin/0009-0001-9549-2321; Ni, Xinye/0000-0002-2402-9719</t>
  </si>
  <si>
    <t>58</t>
  </si>
  <si>
    <t>IOP Publishing Ltd</t>
  </si>
  <si>
    <t>Bristol</t>
  </si>
  <si>
    <t>No.2 The Distillery, Glassfields, Avon Street, Bristol, ENGLAND</t>
  </si>
  <si>
    <t>0031-9155</t>
  </si>
  <si>
    <t>1361-6560</t>
  </si>
  <si>
    <t>PHYS MED BIOL</t>
  </si>
  <si>
    <t>Phys. Med. Biol.</t>
  </si>
  <si>
    <t>APR 6 2025</t>
  </si>
  <si>
    <t>70</t>
  </si>
  <si>
    <t>075007</t>
  </si>
  <si>
    <t>10.1088/1361-6560/adbff1</t>
  </si>
  <si>
    <t>http://dx.doi.org/10.1088/1361-6560/adbff1</t>
  </si>
  <si>
    <t>Engineering, Biomedical; Radiology, Nuclear Medicine &amp; Medical Imaging</t>
  </si>
  <si>
    <t>Engineering; Radiology, Nuclear Medicine &amp; Medical Imaging</t>
  </si>
  <si>
    <t>1NV2K</t>
  </si>
  <si>
    <t>40073507</t>
  </si>
  <si>
    <t>WOS:001469440600001</t>
  </si>
  <si>
    <t>Balel, Y; Sagtas, K; Teke, F; Kurt, MA</t>
  </si>
  <si>
    <t>Large language models (LLMs) show potential in clinical reporting, yet current multimodal systems remain unreliable for interpreting panoramic radiographs due to limited visual diagnostic accuracy and high hallucination rates. This study introduces a hybrid framework that integrates a deep learning-based image analysis model with LLM-driven reporting to enhance reliability in dental radiology. A YOLOv12 model was trained on 30,954 panoramic radiographs (70% training, 15% validation, 15% testing) for tooth detection and 14-category segmentation. Detection and segmentation outputs were converted into structured JSON data and processed by locally hosted LLMs (DeepSeek R1, Mistral, Llama 3.2, Gemma 3, Qwen3, SmolLM3). Performance metrics included structural validity, consistency, response latency, and token length. Reporting accuracy was evaluated on 50 unseen radiographs, with expert assessment serving as the gold standard. The tooth-numbering model achieved Precision = 0.651, Recall = 0.699, and F1 = 0.674. The segmentation model achieved overall Precision = 0.816, Recall = 0.626, and F1 = 0.708, with highest F1-scores for ectopic/supernumerary teeth (0.994), impacted teeth (0.990), and implants (0.984). All hybrid LLMs produced structurally valid JSON outputs (100%). DeepSeek R1 showed the highest reporting accuracy (466 True findings), followed by Mistral (462), Llama 3.2 (442), and Gemma 3 (436). Hallucination counts were lowest in DeepSeek R1 (30) and highest in Gemma 3 (60). Commercial LLMs (ChatGPT-5, Gemini 2.5 Pro, DeepSeek R1-cloud) exhibited hallucinations in 100% of reports. Integrating structured image-derived findings with LLM reasoning markedly improves reporting accuracy and minimizes hallucinations. The hybrid framework outperforms commercial LLMs and represents a promising, reliable solution for AI-assisted dental radiographic interpretation.</t>
  </si>
  <si>
    <t>Balel, Yunus; Sagtas, Kaan; Teke, Fatih; Kurt, Mehmet Ali</t>
  </si>
  <si>
    <t>Balel, Y (corresponding author), Sivas Cumhuriyet Univ, Fac Dent, Dept Oral &amp; Maxillofacial Surg, Sivas, Turkiye.</t>
  </si>
  <si>
    <t>yunusbalel@hotmail.com</t>
  </si>
  <si>
    <t>[Balel, Yunus] Sivas Cumhuriyet Univ, Fac Dent, Dept Oral &amp; Maxillofacial Surg, Sivas, Turkiye; [Sagtas, Kaan; Teke, Fatih; Kurt, Mehmet Ali] SEMRUK Technol Inc, Cumhuriyet Teknokent, Sivas, Turkiye; [Teke, Fatih] Yildiz Tech Univ, Dept Comp Engn, Istanbul, Turkiye; [Kurt, Mehmet Ali] Sivas Cumhuriyet Univ, Dept Machine Engn, Sivas, Turkiye</t>
  </si>
  <si>
    <t>Cumhuriyet University; Yildiz Technical University; Cumhuriyet University</t>
  </si>
  <si>
    <t>A Novel Hybrid Large Language Model Approach for Reporting Panoramic Radiographs and Performance Comparison with Current Large Language Models</t>
  </si>
  <si>
    <t>JOURNAL OF IMAGING INFORMATICS IN MEDICINE</t>
  </si>
  <si>
    <t>Hybrid large language model; Panoramic dental radiography; YOLOv12 segmentation; Radiology report generation; Dental artificial intelligence</t>
  </si>
  <si>
    <t>BALEL, YUNUS/AAU-8755-2021; TEKE, Fatih/OPO-0849-2025</t>
  </si>
  <si>
    <t>TEKE, Fatih/0000-0001-7718-7705</t>
  </si>
  <si>
    <t>SPRINGER</t>
  </si>
  <si>
    <t>NEW YORK</t>
  </si>
  <si>
    <t>ONE NEW YORK PLAZA, SUITE 4600, NEW YORK, NY, UNITED STATES</t>
  </si>
  <si>
    <t>2948-2925</t>
  </si>
  <si>
    <t>2948-2933</t>
  </si>
  <si>
    <t>J IMAGING INFORM MED</t>
  </si>
  <si>
    <t>J. Imaging Inform. Med.</t>
  </si>
  <si>
    <t>10.1007/s10278-026-01880-9</t>
  </si>
  <si>
    <t>http://dx.doi.org/10.1007/s10278-026-01880-9</t>
  </si>
  <si>
    <t>FEB 2026</t>
  </si>
  <si>
    <t>14</t>
  </si>
  <si>
    <t>EE3WJ</t>
  </si>
  <si>
    <t>41741852</t>
  </si>
  <si>
    <t>WOS:001699093000001</t>
  </si>
  <si>
    <t>Giancotti, R; Fani, R; Al Attrach, R; Veltri, P; Pollard, T</t>
  </si>
  <si>
    <t>Objectives Reuse of shared datasets is often limited by incomplete or inconsistent documentation, hindering interpretation and secondary analysis. We developed DataAtlas, an open-source system for automated generation of data dictionaries from tabular datasets.Materials and Methods DataAtlas combines deterministic structural profiling with large language model (LLM)-based semantic inference to generate human-readable descriptions of datasets, tables, and variables. The system integrates column metadata, statistical summaries, and representative sample values to produce concise, context-aware descriptions. We evaluated the approach on 3 heterogeneous clinical datasets using structural validation, blinded LLM-based comparison with official documentation, human expert review, and downstream task evaluation.Results Generated descriptions were frequently preferred over official documentation, particularly when existing descriptions were incomplete or ambiguous. Human expert review showed strong agreement with high-performing models, with most descriptions rated as correct and low rates of hallucination. The system accurately reconstructed schema elements and flagged inconsistencies in existing documentation. In a text-to-SQL benchmark, augmenting database schemas with generated data dictionaries improved execution accuracy from 0.52 to 0.88.Discussion Automated data dictionary generation improved both dataset interpretability and downstream analytical performances. Results highlight the importance of column-level metadata, particularly representative sample values, in grounding LLM-generated descriptions. Limitations include sensitivity to sample quality, potential domain-specific misinterpretation, and variability across model architectures, indicating that generated outputs should augment rather than replace expert curation.Conclusion DataAtlas provides a practical approach for generating structured data dictionaries, enhancing the accessibility, reproducibility, and reuse of clinical data.Many publicly shared datasets are difficult to use because the information describing their content is incomplete or inconsistent. This makes it hard for researchers to understand the data and reuse it for new studies. We developed DataAtlas, a free, open-source tool that automatically creates clear, easy-to-read descriptions of datasets, including information about each table and column. DataAtlas works by examining the structure of the data and using advanced language models to interpret and summarize it. It combines basic statistics, sample values, and metadata to produce descriptions that are both accurate and understandable. We tested the system on 3 different clinical datasets and found that its descriptions were often preferred over the official documentation. Experts agreed that the generated descriptions were mostly correct and highlighted inconsistencies in existing dataset documentation. Using these generated descriptions also improved the performance of automated data analysis tasks. Overall, DataAtlas makes datasets easier to understand and use, helping researchers explore and reuse clinical data more effectively. It supports reproducibility and reduces the effort needed to interpret complex datasets, while still benefiting from expert oversight.</t>
  </si>
  <si>
    <t>Giancotti, Raffaele; Fani, Rajna; Al Attrach, Rafi; Veltri, Pierangelo; Pollard, Tom</t>
  </si>
  <si>
    <t>Giancotti, R (corresponding author), Univ Calabria, Dept Comp Engn Modeling Elect &amp; Syst Engn, Via P Bucci,Cube 42D,Ground Floor, I-87036 Arcavacata Di Rende, CS, Italy.</t>
  </si>
  <si>
    <t>raffaele.giancotti@unical.it</t>
  </si>
  <si>
    <t>National Institutes for Health [NIH-R01EB030362, NIH-OT2OD032701, NIH-U24EB037545]; Ministry of Health &amp; Welfare, Republic of Korea [RS-2024-00403047]; NTIS [2460003034]; Boston-Korea Innovative Research Project through the Korea Health Industry Development Institute (KHIDI); Advancing Lung Cancer Screening: Artificial Intelligence, Multimodal Imaging and Cutting-Edge Technologies for Early Detection and Characterization; NextGeneration EU [PNRR-MCNT2-2023-12377755, H53C24000320007]; KILOWATT; PNRR</t>
  </si>
  <si>
    <t>National Institutes for Health; Ministry of Health &amp; Welfare, Republic of Korea (Ministry of Health &amp; Welfare (MOHW), Republic of Korea); NTIS; Boston-Korea Innovative Research Project through the Korea Health Industry Development Institute (KHIDI) (Korea Health Industry Development Institute (KHIDI)); Advancing Lung Cancer Screening: Artificial Intelligence, Multimodal Imaging and Cutting-Edge Technologies for Early Detection and Characterization; NextGeneration EU; KILOWATT; PNRR</t>
  </si>
  <si>
    <t>R.G. is partially funded by the PNRR Project Advancing Lung Cancer Screening: Artificial Intelligence, Multimodal Imaging and Cutting-Edge Technologies for Early Detection and Characterization-NextGeneration EU, PNRR-MCNT2-2023-12377755-CUP H53C24000320007, and by the KILOWATT project. TP is supported by the National Institutes for Health (NIH-R01EB030362, NIH-OT2OD032701, NIH-U24EB037545), and by a grant of the Boston-Korea Innovative Research Project through the Korea Health Industry Development Institute (KHIDI), funded by the Ministry of Health &amp; Welfare, Republic of Korea (grant no.: RS-2024-00403047, NTIS no.: 2460003034). No specific funding was received for this study.</t>
  </si>
  <si>
    <t>[Giancotti, Raffaele; Fani, Rajna; Al Attrach, Rafi; Pollard, Tom] MIT, Lab Computat Physiol, MIT Inst Med Engn &amp; Sci, Cambridge, MA 02139 USA; [Giancotti, Raffaele; Veltri, Pierangelo] Univ Calabria, Dept Comp Engn Modeling Elect &amp; Syst Engn, Via P Bucci,Cube 42D,Ground Floor, I-87036 Arcavacata Di Rende, CS, Italy; [Fani, Rajna; Al Attrach, Rafi] Tech Univ Munich, TUM Sch Computat Informat &amp; Technol, D-80333 Munich, Bavaria, Germany</t>
  </si>
  <si>
    <t>Massachusetts Institute of Technology (MIT); Technical University of Munich</t>
  </si>
  <si>
    <t>DataAtlas: automatic generation of data dictionaries using large language models</t>
  </si>
  <si>
    <t>JAMIA OPEN</t>
  </si>
  <si>
    <t>data dictionary; large language models; generative AI; clinical data</t>
  </si>
  <si>
    <t>19</t>
  </si>
  <si>
    <t>OXFORD UNIV PRESS</t>
  </si>
  <si>
    <t>OXFORD</t>
  </si>
  <si>
    <t>GREAT CLARENDON ST, OXFORD OX2 6DP, ENGLAND</t>
  </si>
  <si>
    <t>2574-2531</t>
  </si>
  <si>
    <t>JAMIA Open</t>
  </si>
  <si>
    <t>JUN 2026</t>
  </si>
  <si>
    <t>ooag119</t>
  </si>
  <si>
    <t>10.1093/jamiaopen/ooag119</t>
  </si>
  <si>
    <t>http://dx.doi.org/10.1093/jamiaopen/ooag119</t>
  </si>
  <si>
    <t>KE1JD</t>
  </si>
  <si>
    <t>42369827</t>
  </si>
  <si>
    <t>WOS:001804794600001</t>
  </si>
  <si>
    <t>Cui, HQ; Yang, YY; Lai, TC; Zhang, XM; Xiao, KH; Liu, L; Qi, ZY; Jan, C; Wang, YQ; Zhang, B; Liu, JH; Zhu, ZT; Huang, Y; Li, L</t>
  </si>
  <si>
    <t>Objective To systematically evaluate the diagnostic, classification, and treatment decision-making performance of large language models (LLMs) in dry eye disease (DED) and compare their performance with that of junior ophthalmologists to assess their feasibility as clinical support tools. Methods One hundred standardized DED cases from Fuzhou University Affiliated Provincial Hospital (Aug 2023-Aug 2025) were analyzed. Four LLMs (ChatGPT-4o, DeepSeek-V3, Gemini-2.5-Pro, and ERNIE Bot-4.5-turbo) underwent an initial 20-item test with a 95% accuracy threshold. Only models meeting this criterion advanced to case-based evaluation. Diagnostic and therapeutic outputs were rated by senior ophthalmologists using the Global Quality Score (GQS) and a clinical safety score. Meanwhile, the response times of both the LLMs and the junior ophthalmologists were recorded to evaluate their respective efficiency. Results ChatGPT-4o, DeepSeek-V3, and Gemini-2.5-Pro met the screening threshold. In determining treatment necessity, the accuracies of the LLMs (96-99%) were comparable to those of junior ophthalmologists (97%). For DED classification, DeepSeek-V3 achieved the highest accuracy (92%) and agreement with experts (kappa = 0.80), outperforming ChatGPT-4o and junior ophthalmologists (71%, kappa approximate to 0.53; p &lt; 0.01). Gemini-2.5-Pro showed strong performance (accuracy 89%), the highest GQS (4.87 +/- 0.37), and the best safety rating, with 89% of its outputs rated as "good". The decision efficiency of the LLMs was significantly higher (p &lt;= 0.001), with response times (16-36 s) much shorter than those of junior ophthalmologists (315 +/- 57 s). Conclusions Gemini-2.5-Pro and DeepSeek-V3 demonstrated high accuracy, safety, and efficiency in case-based DED management, showing strong potential as auxiliary tools to enhance clinical decision-making and support less experienced clinicians.</t>
  </si>
  <si>
    <t>Cui, Haoqiang; Yang, Yuyang; Lai, Taichen; Zhang, Xuemei; Xiao, Kunhong; Liu, Li; Qi, Ziyi; Jan, Catherine; Wang, Yuqing; Zhang, Beiou; Liu, Jiahao; Zhu, Zhuoting; Huang, Yan; Li, Li</t>
  </si>
  <si>
    <t>Huang, Y (corresponding author), Fujian Med Univ, Dept Ophthalmol &amp; Optometry, Fuzhou, Peoples R China.; Li, L (corresponding author), Fujian Med Univ, Fuzhou Univ, Shengli Clin Med Coll, Dept Ophthalmol,Affiliated Prov Hosp, Fuzhou, Peoples R China.; Li, L (corresponding author), Royal Victorian Eye &amp; Ear Hosp, Ctr Eye Res Australia, East Melbourne, Vic, Australia.; Li, L (corresponding author), Univ Melbourne, Dept Surg, Ophthalmol, Melbourne, Vic, Australia.</t>
  </si>
  <si>
    <t>fjhyan-1988@fjmu.edu.cn; lili_js@fjsl.com.cn</t>
  </si>
  <si>
    <t>Fujian Provincial Natural Science Foundation of China [2025J011399, 2024J011019]; Fujian Provincial Science and Technology Innovation Joint Fund Project [2025Y9036]</t>
  </si>
  <si>
    <t>Fujian Provincial Natural Science Foundation of China; Fujian Provincial Science and Technology Innovation Joint Fund Project</t>
  </si>
  <si>
    <t>The authors disclose receipt of the following financial support for the research, authorship, and/or publication of this article: This work was supported by the Fujian Provincial Natural Science Foundation of China (grant number 2024J011019 to Li Li) and the Fujian Provincial Natural Science Foundation of China (grant number 2025J011399 to Li Liu), as well as the Fujian Provincial Science and Technology Innovation Joint Fund Project (grant number 2025Y9058 to Yuyang Yang).</t>
  </si>
  <si>
    <t>[Cui, Haoqiang; Xiao, Kunhong; Huang, Yan] Fujian Med Univ, Dept Ophthalmol &amp; Optometry, Fuzhou, Peoples R China; [Yang, Yuyang; Lai, Taichen; Zhang, Xuemei; Li, Li] Fujian Med Univ, Fuzhou Univ, Shengli Clin Med Coll, Dept Ophthalmol,Affiliated Prov Hosp, Fuzhou, Peoples R China; [Liu, Li] Putian Eye Hosp, Huaxia Eye Hosp Grp, Putian, Peoples R China; [Qi, Ziyi] Shanghai Jiao Tong Univ, Shanghai Gen Hosp, Natl Clin Res Ctr Eye Dis, Dept Ophthalmol,Sch Med, Shanghai, Peoples R China; [Jan, Catherine; Liu, Jiahao; Zhu, Zhuoting; Li, Li] Royal Victorian Eye &amp; Ear Hosp, Ctr Eye Res Australia, East Melbourne, Vic, Australia; [Jan, Catherine; Liu, Jiahao; Zhu, Zhuoting; Li, Li] Univ Melbourne, Dept Surg, Ophthalmol, Melbourne, Vic, Australia; [Wang, Yuqing] Fujian Med Univ, Sch Basic Med Sci, Fuzhou, Peoples R China; [Zhang, Beiou] Victoria Univ, Inst Hlth &amp; Sport, City Tower, Melbourne, Vic, Australia</t>
  </si>
  <si>
    <t>Fujian Medical University; Fuzhou University; Fujian Medical University; Shanghai Jiao Tong University; Royal Victorian Eye &amp; Ear Hospital; Centre for Eye Research Australia; University of Melbourne; Fujian Medical University; Victoria University</t>
  </si>
  <si>
    <t>Application of large language models in clinical decision-making for dry eye disease</t>
  </si>
  <si>
    <t>BMC MEDICAL INFORMATICS AND DECISION MAKING</t>
  </si>
  <si>
    <t>Large language model; Dry eye disease; Treatment decision-making; Clinical safety</t>
  </si>
  <si>
    <t>Jan, Catherine/0000-0001-7383-8208</t>
  </si>
  <si>
    <t>40</t>
  </si>
  <si>
    <t>2</t>
  </si>
  <si>
    <t>1472-6947</t>
  </si>
  <si>
    <t>BMC MED INFORM DECIS</t>
  </si>
  <si>
    <t>BMC Med. Inform. Decis. Mak.</t>
  </si>
  <si>
    <t>MAY 26 2026</t>
  </si>
  <si>
    <t>229</t>
  </si>
  <si>
    <t>10.1186/s12911-026-03586-y</t>
  </si>
  <si>
    <t>http://dx.doi.org/10.1186/s12911-026-03586-y</t>
  </si>
  <si>
    <t>KH8NS</t>
  </si>
  <si>
    <t>42192438</t>
  </si>
  <si>
    <t>WOS:001807315200001</t>
  </si>
  <si>
    <t>Volkmer, S; Meyer-Lindenberg, A; Schwarz, E</t>
  </si>
  <si>
    <t>The ability of Large Language Models (LLMs) to analyze and respond to freely written text is causing increasing excitement in the field of psychiatry; the application of such models presents unique opportunities and challenges for psychiatric applications. This review article seeks to offer a comprehensive overview of LLMs in psychiatry, their model architecture, potential use cases, and clinical considerations. LLM frameworks such as ChatGPT/ GPT-4 are trained on huge amounts of text data that are sometimes fine-tuned for specific tasks. This opens up a wide range of possible psychiatric applications, such as accurately predicting individual patient risk factors for specific disorders, engaging in therapeutic intervention, and analyzing therapeutic material, to name a few. However, adoption in the psychiatric setting presents many challenges, including inherent limitations and biases in LLMs, concerns about explainability and privacy, and the potential damage resulting from produced misinformation. This review covers potential opportunities and limitations and highlights potential considerations when these models are applied in a real-world psychiatric context.</t>
  </si>
  <si>
    <t>Volkmer, Sebastian; Meyer-Lindenberg, Andreas; Schwarz, Emanuel</t>
  </si>
  <si>
    <t>Science Citation Index Expanded (SCI-EXPANDED); Social Science Citation Index (SSCI)</t>
  </si>
  <si>
    <t>Schwarz, E (corresponding author), Heidelberg Univ, Hector Inst Artificial Intelligence Psychiat, Cent Inst Mental Hlth, Med Fac Mannheim, Mannheim, Germany.</t>
  </si>
  <si>
    <t>emanuel.schwarz@zi-mannheim.de</t>
  </si>
  <si>
    <t>Hector II foundation; German Federal Ministry of Education and Research (BEST project) [01EK2101B]</t>
  </si>
  <si>
    <t>Hector II foundation; German Federal Ministry of Education and Research (BEST project)</t>
  </si>
  <si>
    <t>This work was supported by the Hector II foundation, and the German Federal Ministry of Education and Research (BEST project, grant 01EK2101B) , and was endorsed by the German Center for Mental Health (DZPG) .</t>
  </si>
  <si>
    <t>[Volkmer, Sebastian; Schwarz, Emanuel] Heidelberg Univ, Hector Inst Artificial Intelligence Psychiat, Cent Inst Mental Hlth, Med Fac Mannheim, Mannheim, Germany; [Volkmer, Sebastian; Meyer-Lindenberg, Andreas; Schwarz, Emanuel] Heidelberg Univ, Cent Inst Mental Hlth, Med Fac Mannheim, Dept Psychiat &amp; Psychotherapy, Mannheim, Germany</t>
  </si>
  <si>
    <t>Ruprecht Karls University Heidelberg; Central Institute of Mental Health; Ruprecht Karls University Heidelberg; Central Institute of Mental Health</t>
  </si>
  <si>
    <t>Large language models in psychiatry: Opportunities and challenges</t>
  </si>
  <si>
    <t>PSYCHIATRY RESEARCH</t>
  </si>
  <si>
    <t>Transformer; BERT; GPT; Llama; PaLM; Hallucination; Therapy; Medical question answering</t>
  </si>
  <si>
    <t>Meyer-Lindenberg, Andreas/H-1076-2011</t>
  </si>
  <si>
    <t>88</t>
  </si>
  <si>
    <t>45</t>
  </si>
  <si>
    <t>47</t>
  </si>
  <si>
    <t>33</t>
  </si>
  <si>
    <t>ELSEVIER IRELAND LTD</t>
  </si>
  <si>
    <t>CLARE</t>
  </si>
  <si>
    <t>ELSEVIER HOUSE, BROOKVALE PLAZA, EAST PARK SHANNON, CO, CLARE, 00000, IRELAND</t>
  </si>
  <si>
    <t>0165-1781</t>
  </si>
  <si>
    <t>1872-7123</t>
  </si>
  <si>
    <t>PSYCHIAT RES</t>
  </si>
  <si>
    <t>Psychiatry Res.</t>
  </si>
  <si>
    <t>SEP 2024</t>
  </si>
  <si>
    <t>2024</t>
  </si>
  <si>
    <t>339</t>
  </si>
  <si>
    <t>116026</t>
  </si>
  <si>
    <t>10.1016/j.psychres.2024.116026</t>
  </si>
  <si>
    <t>http://dx.doi.org/10.1016/j.psychres.2024.116026</t>
  </si>
  <si>
    <t>JUN 2024</t>
  </si>
  <si>
    <t>Psychiatry</t>
  </si>
  <si>
    <t>XC8P7</t>
  </si>
  <si>
    <t>38909412</t>
  </si>
  <si>
    <t>WOS:001259580300001</t>
  </si>
  <si>
    <t>N</t>
  </si>
  <si>
    <t>Y</t>
  </si>
  <si>
    <t>135</t>
  </si>
  <si>
    <t>489</t>
  </si>
  <si>
    <t>Singhal, K; Azizi, S; Tu, T; Mahdavi, SS; Wei, JS; Chung, HW; Scales, N; Tanwani, A; Cole-Lewis, H; Pfohl, S; Payne, P; Seneviratne, M; Gamble, P; Kelly, C; Babiker, A; Schärli, N; Chowdhery, A; Mansfield, P; Demner-Fushman, D; Arcas, BAY; Webster, D; Corrado, GS; Matias, Y; Chou, K; Gottweis, J; Tomasev, N; Liu, Y; Rajkomar, A; Barral, J; Semturs, C; Karthikesalingam, A; Natarajan, V</t>
  </si>
  <si>
    <t>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Model(1) (PaLM, a 540-billion parameter LLM) and its instruction-tuned variant, Flan-PaLM2 on MultiMedQA. Using a combination of prompting strategies, Flan-PaLM achieves state-of-the-art accuracy on every MultiMedQA multiple-choice dataset (MedQA(3), MedMCQA(4), PubMedQA(5) and Measuring Massive Multitask Language Understanding (MMLU) clinical topics(6)), including 67.6% accuracy on MedQA (US Medical Licensing Exam-style questions), surpassing the prior state of the art by more than 17%. However, human evaluation reveals key gaps. To resolve this, we introduce instruction prompt tuning, a parameter-efficient approach for aligning LLMs to new domains using a few exemplars. The resulting model, Med-PaLM, performs encouragingly, but remains inferior to clinicians. We show that comprehension, knowledge recall and reasoning improve with model scale and instruction prompt tuning, suggesting the potential utility of LLMs in medicine. Our human evaluations reveal limitations of today's models, reinforcing the importance of both evaluation frameworks and method development in creating safe, helpful LLMs for clinical applications.</t>
  </si>
  <si>
    <t>Singhal, Karan; Azizi, Shekoofeh; Tu, Tao; Mahdavi, S. Sara; Wei, Jason; Chung, Hyung Won; Scales, Nathan; Tanwani, Ajay; Cole-Lewis, Heather; Pfohl, Stephen; Payne, Perry; Seneviratne, Martin; Gamble, Paul; Kelly, Chris; Babiker, Abubakr; Schaerli, Nathanael; Chowdhery, Aakanksha; Mansfield, Philip; Demner-Fushman, Dina; Arcas, Blaise Aguera y; Webster, Dale; Corrado, Greg S.; Matias, Yossi; Chou, Katherine; Gottweis, Juraj; Tomasev, Nenad; Liu, Yun; Rajkomar, Alvin; Barral, Joelle; Semturs, Christopher; Karthikesalingam, Alan; Natarajan, Vivek</t>
  </si>
  <si>
    <t>Singhal, K; Azizi, S; Karthikesalingam, A; Natarajan, V (corresponding author), Google Res, Mountain View, CA 94043 USA.</t>
  </si>
  <si>
    <t>karansinghal@google.com; shekazizi@google.com; alankarthi@google.com; natviv@google.com</t>
  </si>
  <si>
    <t>Alphabet Inc.</t>
  </si>
  <si>
    <t>This study was funded by Alphabet Inc. and/or a subsidiary thereof (Alphabet). K.S., S.A., T.T., V.N., A.K., S.S.M., C.S., J.W., H.W.C., N. Scales, A.T., H.C.-L., S.P., P.P., M.S., P.G., C.K., A.B., N. Schaerli, A.C., P.M., B.A.A., D.W., G.S.C., Y.M., K.C., J.G., A.R., N.T., J.B. and Y.L. are employees of Alphabet and may own stock as part of the standard compensation package. D.D.-F. is affiliated with the US National Library of Medicine.</t>
  </si>
  <si>
    <t>[Singhal, Karan; Azizi, Shekoofeh; Tu, Tao; Mahdavi, S. Sara; Wei, Jason; Chung, Hyung Won; Scales, Nathan; Tanwani, Ajay; Cole-Lewis, Heather; Pfohl, Stephen; Payne, Perry; Seneviratne, Martin; Gamble, Paul; Kelly, Chris; Babiker, Abubakr; Schaerli, Nathanael; Chowdhery, Aakanksha; Mansfield, Philip; Arcas, Blaise Aguera y; Webster, Dale; Corrado, Greg S.; Matias, Yossi; Chou, Katherine; Gottweis, Juraj; Liu, Yun; Rajkomar, Alvin; Barral, Joelle; Semturs, Christopher; Karthikesalingam, Alan; Natarajan, Vivek] Google Res, Mountain View, CA 94043 USA; [Demner-Fushman, Dina] Natl Lib Med, Bethesda, MD USA; [Tomasev, Nenad] DeepMind, London, England</t>
  </si>
  <si>
    <t>Alphabet Inc.; Google Incorporated; National Institutes of Health (NIH) - USA; NIH National Library of Medicine (NLM); Alphabet Inc.; DeepMind</t>
  </si>
  <si>
    <t>Large language models encode clinical knowledge</t>
  </si>
  <si>
    <t>NATURE</t>
  </si>
  <si>
    <t>HARM</t>
  </si>
  <si>
    <t>Demner, Dina/OAI-8953-2025; Lee, Jason Kai Wei/GMX-3030-2022; Natarajan, Vivek/AAG-4944-2021; Azizi, Shekoofeh/T-5465-2019</t>
  </si>
  <si>
    <t>Aguera y Arcas, Blaise/0000-0003-2256-9823; Pfohl, Stephen/0000-0003-0551-9664; Azizi, Shekoofeh/0000-0002-7447-6031; Kelly, Christopher John/0000-0002-1246-844X</t>
  </si>
  <si>
    <t>94</t>
  </si>
  <si>
    <t>2645</t>
  </si>
  <si>
    <t>3112</t>
  </si>
  <si>
    <t>85</t>
  </si>
  <si>
    <t>718</t>
  </si>
  <si>
    <t>0028-0836</t>
  </si>
  <si>
    <t>1476-4687</t>
  </si>
  <si>
    <t>Nature</t>
  </si>
  <si>
    <t>AUG 3 2023</t>
  </si>
  <si>
    <t>2023</t>
  </si>
  <si>
    <t>620</t>
  </si>
  <si>
    <t>7972</t>
  </si>
  <si>
    <t>172</t>
  </si>
  <si>
    <t>+</t>
  </si>
  <si>
    <t>10.1038/s41586-023-06291-2</t>
  </si>
  <si>
    <t>http://dx.doi.org/10.1038/s41586-023-06291-2</t>
  </si>
  <si>
    <t>JUL 2023</t>
  </si>
  <si>
    <t>28</t>
  </si>
  <si>
    <t>Multidisciplinary Sciences</t>
  </si>
  <si>
    <t>Science &amp; Technology - Other Topics</t>
  </si>
  <si>
    <t>O2JI9</t>
  </si>
  <si>
    <t>37438534</t>
  </si>
  <si>
    <t>WOS:001028865500001</t>
  </si>
  <si>
    <t>Richter-Pechanski, P; Seiferling, M; Kiriakou, C; Schwab, DM; Geis, NA; Dieterich, C; Frank, A</t>
  </si>
  <si>
    <t>Objective: Medication information is crucial for clinical routine and research. However, a vast amount is stored in unstructured text, such as doctor's letters, requiring manual extraction - a resource-intensive, error-prone task. Automating this process comes with significant constraints in a clinical setup, including the demand for clinical expertise, limited time-resources, restricted IT infrastructure, and the demand for transparent predictions. Recent advances in generative large language models (LLMs) and parameter-efficient fine-tuning methods show potential to address these challenges. Methods: We evaluated local LLMs for end-to-end extraction of medication information, combining named entity recognition and relation extraction. We used format-restricting instructions and developed an innovative feedback pipeline to facilitate automated evaluation. We applied token-level Shapley values to visualize and quantify token contributions, to improve transparency of model predictions. Results: Two open-source LLMs - one general (Llama) and one domain-specific (OpenBioLLM) - were evaluated on the English n2c2 2018 corpus and the German CARDIO:DE corpus. OpenBioLLM frequently struggled with structured outputs and hallucinations. Fine-tuned Llama models achieved new state-of-the-art results, improving F1-score by up to 10 percentage points (pp.) for adverse drug events and 6 pp. for medication reasons on English data. On the German dataset, Llama established a new benchmark, outperforming traditional machine learning methods by up to 16 pp. micro average F1-score. Conclusion: Our findings show that fine-tuned local open-source generative LLMs outperform SOTA methods for medication information extraction, delivering high performance with limited time and IT resources in a realworld clinical setup, and demonstrate their effectiveness on both English and German data. Applying Shapley values improved prediction transparency, supporting informed clinical decision-making.</t>
  </si>
  <si>
    <t>Richter-Pechanski, Phillip; Seiferling, Marvin; Kiriakou, Christina; Schwab, Dominic M.; Geis, Nicolas A.; Dieterich, Christoph; Frank, Anette</t>
  </si>
  <si>
    <t>Richter-Pechanski, P (corresponding author), Klaus Tschira Inst Integrat Computat Cardiol, Sect Bioinformat &amp; Syst Cardiol, Neuenheimer Feld 669, D-69120 Heidelberg, DE, Germany.</t>
  </si>
  <si>
    <t>phillip.richter-pechanski@med.uni-heidelberg.de</t>
  </si>
  <si>
    <t>DFG (German Research Foundation) [DFG D1501/14-1]; Klaus Tschira Foundation; BMBF-funded HiGHmed consortium</t>
  </si>
  <si>
    <t>DFG (German Research Foundation) (German Research Foundation (DFG)); Klaus Tschira Foundation; BMBF-funded HiGHmed consortium</t>
  </si>
  <si>
    <t>The authors disclosed receipt of the following financial support for the research, authorship, and/or publication of this article: The work of PR-P, NG and CD was kindly supported by the DFG (German Research Foundation, DFG D1501/14-1) and Informatics for Life funded by the Klaus Tschira Foundation and for PR-P and CD by the BMBF-funded HiGHmed consortium (https://www.highmed.org, consortium of the Medical Informatics Initiative Germany).</t>
  </si>
  <si>
    <t>[Richter-Pechanski, Phillip; Seiferling, Marvin; Dieterich, Christoph] Klaus Tschira Inst Integrat Computat Cardiol, Sect Bioinformat &amp; Syst Cardiol, Neuenheimer Feld 669, D-69120 Heidelberg, DE, Germany; [Richter-Pechanski, Phillip; Seiferling, Marvin; Kiriakou, Christina; Schwab, Dominic M.; Geis, Nicolas A.; Dieterich, Christoph] Univ Hosp, Dept Internal Med 3, Neuenheimer Feld 410, D-69120 Heidelberg, DE, Germany; [Richter-Pechanski, Phillip; Dieterich, Christoph] German Ctr Cardiovasc Res DZHK, Partner Site Heidelberg Mannheim, Neuenheimer Feld 669, D-69120 Heidelberg, DE, Germany; [Richter-Pechanski, Phillip; Geis, Nicolas A.; Dieterich, Christoph] Informat Life, Neuenheimer Feld 669, D-69120 Heidelberg, DE, Germany; [Richter-Pechanski, Phillip; Frank, Anette] Heidelberg Univ, Dept Computat Linguist, Neuenheimer Feld 325, D-69120 Heidelberg, DE, Germany</t>
  </si>
  <si>
    <t>Ruprecht Karls University Heidelberg; German Centre for Cardiovascular Research; Ruprecht Karls University Heidelberg</t>
  </si>
  <si>
    <t>Medication information extraction using local large language models</t>
  </si>
  <si>
    <t>JOURNAL OF BIOMEDICAL INFORMATICS</t>
  </si>
  <si>
    <t>Medication information extraction; Large language models; Llama; Clinical NLP; Fine-tuning; Interpretability</t>
  </si>
  <si>
    <t>Dieterich, Christoph/ABF-8459-2021; Richter-Pechanski, Phillip/OPN-4026-2025</t>
  </si>
  <si>
    <t>Dieterich, Christoph/0000-0001-9468-6311</t>
  </si>
  <si>
    <t>62</t>
  </si>
  <si>
    <t>ACADEMIC PRESS INC ELSEVIER SCIENCE</t>
  </si>
  <si>
    <t>SAN DIEGO</t>
  </si>
  <si>
    <t>525 B ST, STE 1900, SAN DIEGO, CA 92101-4495 USA</t>
  </si>
  <si>
    <t>1532-0464</t>
  </si>
  <si>
    <t>1532-0480</t>
  </si>
  <si>
    <t>J BIOMED INFORM</t>
  </si>
  <si>
    <t>J. Biomed. Inform.</t>
  </si>
  <si>
    <t>SEP 2025</t>
  </si>
  <si>
    <t>169</t>
  </si>
  <si>
    <t>104898</t>
  </si>
  <si>
    <t>10.1016/j.jbi.2025.104898</t>
  </si>
  <si>
    <t>http://dx.doi.org/10.1016/j.jbi.2025.104898</t>
  </si>
  <si>
    <t>32</t>
  </si>
  <si>
    <t>Computer Science, Interdisciplinary Applications; Medical Informatics</t>
  </si>
  <si>
    <t>Computer Science; Medical Informatics</t>
  </si>
  <si>
    <t>6SY2R</t>
  </si>
  <si>
    <t>40849053</t>
  </si>
  <si>
    <t>WOS:001561264800001</t>
  </si>
  <si>
    <t>Goodell, AJ; Chu, SN; Rouholiman, D; Chu, LF</t>
  </si>
  <si>
    <t>Large language models (LLMs) can answer expert-level questions in medicine but are prone to hallucinations and arithmetic errors. Early evidence suggests LLMs cannot reliably perform clinical calculations, limiting their potential integration into clinical workflows. We evaluated ChatGPT's performance across 48 medical calculation tasks, finding incorrect responses in one-third of trials (n = 212). We then assessed three forms of agentic augmentation: retrieval-augmented generation, a code interpreter tool, and a set of task-specific calculation tools (OpenMedCalc) across 10,000 trials. Models with access to task-specific tools showed the greatest improvement, with LLaMa and GPT-based models demonstrating a 5.5-fold (88% vs 16%) and 13-fold (64% vs 4.8%) reduction in incorrect responses, respectively, compared to the unimproved models. Our findings suggest that integration of machine-readable, task-specific tools may help overcome LLMs' limitations in medical calculations.</t>
  </si>
  <si>
    <t>Goodell, Alex J.; Chu, Simon N.; Rouholiman, Dara; Chu, Larry F.</t>
  </si>
  <si>
    <t>Goodell, AJ (corresponding author), Stanford Univ, Sch Med, Dept Anesthesiol Pain &amp; Perioperat Med, Stanford, CA 94305 USA.</t>
  </si>
  <si>
    <t>agoodell@stanford.edu</t>
  </si>
  <si>
    <t>Stanford University Research in Anesthesia Training (ReAP) Program; National Institutes of Health [5T32AI125222-08]; UCSF Filling a Void of Research Training for Transplant Surgeons</t>
  </si>
  <si>
    <t>Stanford University Research in Anesthesia Training (ReAP) Program; National Institutes of Health (United States Department of Health &amp; Human Services, National Institutes of Health (NIH) - USA, Office of the Administrator (NIH)); UCSF Filling a Void of Research Training for Transplant Surgeons</t>
  </si>
  <si>
    <t>This study received no dedicated funding. AG was supported by the Stanford University Research in Anesthesia Training (ReAP) Program and the National Institutes of Health Grant #GM089626. SC was supported by the UCSF Filling a Void of Research Training for Transplant Surgeons (FAVOR) Program and the National Institutes of Health Grant #5T32AI125222-08. Funders played no role in research design or execution. Lastly, the authors thank Graham Walker of MDCalc for discussion of concepts presented in paper.</t>
  </si>
  <si>
    <t>[Goodell, Alex J.; Rouholiman, Dara; Chu, Larry F.] Stanford Univ, Sch Med, Dept Anesthesiol Pain &amp; Perioperat Med, Stanford, CA 94305 USA; [Chu, Simon N.] Univ Calif San Francisco, Sch Med, Dept Surg, San Francisco, CA USA</t>
  </si>
  <si>
    <t>Stanford Medicine; Stanford University; University of California San Francisco; University of California System; University of California San Francisco</t>
  </si>
  <si>
    <t>Large language model agents can use tools to perform clinical calculations</t>
  </si>
  <si>
    <t>Chu, Larry/B-5324-2008; Rouholiman, Dara/I-7222-2016; Goodell, Alex/Q-6224-2019</t>
  </si>
  <si>
    <t>Chu, Larry/0000-0003-0814-6402; Rouholiman, Dara/0000-0002-1188-6877; Goodell, Alex/0000-0003-0229-8843</t>
  </si>
  <si>
    <t>42</t>
  </si>
  <si>
    <t>MAR 17 2025</t>
  </si>
  <si>
    <t>163</t>
  </si>
  <si>
    <t>10.1038/s41746-025-01475-8</t>
  </si>
  <si>
    <t>http://dx.doi.org/10.1038/s41746-025-01475-8</t>
  </si>
  <si>
    <t>0GQ5U</t>
  </si>
  <si>
    <t>40097720</t>
  </si>
  <si>
    <t>WOS:001446915600001</t>
  </si>
  <si>
    <t>Cai, LZ; Shaheen, A; Jin, AD; Fukui, R; Yi, JS; Yannuzzi, N; Alabiad, C</t>
  </si>
  <si>
    <t>&amp; BULL; PURPOSE: To investigate the ability of generative artifi-cial intelligence models to answer ophthalmology board-style questions.&amp; BULL; DESIGN: Experimental study.&amp; BULL; METHODS: This study evaluated 3 large language mod -els (LLMs) with chat interfaces, Bing Chat (Microsoft) and ChatGPT 3.5 and 4.0 (OpenAI), using 250 ques-tions from the Basic Science and Clinical Science Self-Assessment Program. Although ChatGPT is trained on information last updated in 2021, Bing Chat incorporates a more recently indexed internet search to generate its answers. Performance was compared with human respon-dents. Questions were categorized by complexity and pa-tient care phase, and instances of information fabrication or nonlogical reasoning were documented.&amp; BULL; MAIN OUTCOME MEASURES: Primary outcome was re-sponse accuracy. Secondary outcomes were performance in question subcategories and hallucination frequency.&amp; BULL; RESULTS: Human respondents had an average ac-curacy of 72.2%. ChatGPT-3.5 scored the lowest (58.8%), whereas ChatGPT-4.0 (71.6%) and Bing Chat (71.2%) performed comparably. ChatGPT-4.0 excelled in workup-type questions (odds ratio [OR], 3.89, 95% CI, 1.19-14.73, P = .03) compared with diagnostic ques-tions, but struggled with image interpretation (OR, 0.14, 95% CI, 0.05-0.33, P &lt; . 01) when compared with single-step reasoning questions. Against single-step ques-tions, Bing Chat also faced difficulties with image in-terpretation (OR, 0.18, 95% CI, 0.08-0.44, P &lt; . 01) and multi-step reasoning (OR, 0.30, 95% CI, 0.11-0.84, P = .02). ChatGPT-3.5 had the highest rate of halluci-nations and nonlogical reasoning (42.4%), followed by ChatGPT-4.0 (18.0%) and Bing Chat (25.6%).&amp; BULL; CONCLUSIONS: LLMs (particularly ChatGPT-4.0 and Bing Chat) can perform similarly with human respon-dents answering questions from the Basic Science and Clinical Science Self-Assessment Program. The fre-quency of hallucinations and nonlogical reasoning sug-gests room for improvement in the performance of con-versational agents in the medical domain. (Am J Oph-thalmol 2023;254: 141-149.&amp; COPY; 2023 Elsevier Inc. All rights reserved.)</t>
  </si>
  <si>
    <t>Cai, Louis Z.; Shaheen, Abdulla; Jin, Andrew; Fukui, Riya; Yi, Jonathan S.; Yannuzzi, Nicolas; Alabiad, Chrisfouad</t>
  </si>
  <si>
    <t>Cai, LZ (corresponding author), Bascom Palmer Eye Inst, Retina &amp; Vitreous Dis, 900 NW 17th St, Miami, FL 33136 USA.</t>
  </si>
  <si>
    <t>louiezcai@gmail.com</t>
  </si>
  <si>
    <t>[Cai, Louis Z.; Shaheen, Abdulla; Yi, Jonathan S.; Yannuzzi, Nicolas; Alabiad, Chrisfouad] Bascom Palmer Eye Inst, Miami, FL USA; [Jin, Andrew] Yale Eye Ctr, New Haven, CT USA; [Fukui, Riya] Houston Rehabil Grp, Houston, TX USA; [Cai, Louis Z.] Bascom Palmer Eye Inst, Retina &amp; Vitreous Dis, 900 NW 17th St, Miami, FL 33136 USA</t>
  </si>
  <si>
    <t>Bascom Palmer Eye Institute; Yale University; Bascom Palmer Eye Institute</t>
  </si>
  <si>
    <t>Performance of Generative Large Language Models on Ophthalmology Board-Style Questions</t>
  </si>
  <si>
    <t>AMERICAN JOURNAL OF OPHTHALMOLOGY</t>
  </si>
  <si>
    <t>Shaheen, Abdulla/KCL-1879-2024</t>
  </si>
  <si>
    <t>Shaheen, Abdulla/0000-0003-4448-2104; Cai, Louis/0000-0003-2212-4787</t>
  </si>
  <si>
    <t>124</t>
  </si>
  <si>
    <t>132</t>
  </si>
  <si>
    <t>57</t>
  </si>
  <si>
    <t>ELSEVIER SCIENCE INC</t>
  </si>
  <si>
    <t>STE 800, 230 PARK AVE, NEW YORK, NY 10169 USA</t>
  </si>
  <si>
    <t>0002-9394</t>
  </si>
  <si>
    <t>1879-1891</t>
  </si>
  <si>
    <t>AM J OPHTHALMOL</t>
  </si>
  <si>
    <t>Am. J. Ophthalmol.</t>
  </si>
  <si>
    <t>OCT 2023</t>
  </si>
  <si>
    <t>254</t>
  </si>
  <si>
    <t>141</t>
  </si>
  <si>
    <t>149</t>
  </si>
  <si>
    <t>10.1016/j.ajo.2023.05.024</t>
  </si>
  <si>
    <t>http://dx.doi.org/10.1016/j.ajo.2023.05.024</t>
  </si>
  <si>
    <t>O6BC3</t>
  </si>
  <si>
    <t>37339728</t>
  </si>
  <si>
    <t>WOS:001044630000001</t>
  </si>
  <si>
    <t>Usuyama, N; Wong, CF; Zhang, S; Naumann, T; Poon, H</t>
  </si>
  <si>
    <t>Biomedicine has rapidly digitized over recent decades, from genomic sequencing to electronic medical records. Now, the rise of large language models (LLMs) is driving a generative artificial intelligence (AI) revolution in natural language processing (NLP). Together, these trends create unprecedented possibilities to optimize patient care and accelerate biomedical discovery. Biomedical NLP already boosts productivity by automating labor-intensive tasks such as knowledge extraction and medical abstraction. Emerging approaches promise creativity gain, surpassing standard healthcare practices and uncovering emergent capabilities through Web-scale biomedical knowledge and population-level patient data. However, LLMs remain prone to hallucinations and omissions, and ensuring compliance and safety is vital in order to do no harm. Incorporating diverse modalities such as imaging and genomics is also essential for comprehensive solutions. We review these challenges and opportunities in biomedical NLP, offering historical context, surveying the current state of the art, and exploring frontiers for AI researchers and biomedical practitioners.</t>
  </si>
  <si>
    <t>Usuyama, Naoto; Wong, Cliff; Zhang, Sheng; Naumann, Tristan; Poon, Hoifung</t>
  </si>
  <si>
    <t>Poon, H (corresponding author), Microsoft Res, Redmond, WA 98052 USA.</t>
  </si>
  <si>
    <t>hoifung@microsoft.com</t>
  </si>
  <si>
    <t>[Usuyama, Naoto; Wong, Cliff; Zhang, Sheng; Naumann, Tristan; Poon, Hoifung] Microsoft Res, Redmond, WA 98052 USA</t>
  </si>
  <si>
    <t>Microsoft</t>
  </si>
  <si>
    <t>Biomedical Natural Language Processing in the Era of Large Language Models</t>
  </si>
  <si>
    <t>ANNUAL REVIEW OF BIOMEDICAL DATA SCIENCE</t>
  </si>
  <si>
    <t>biomedical NLP; large language models; generative AI; precision health; real-world evidence; learning health system</t>
  </si>
  <si>
    <t>TEXT; CHATGPT</t>
  </si>
  <si>
    <t>Usuyama, Naoto/NCV-1655-2025</t>
  </si>
  <si>
    <t>133</t>
  </si>
  <si>
    <t>ANNUAL REVIEWS</t>
  </si>
  <si>
    <t>PALO ALTO</t>
  </si>
  <si>
    <t>4139 EL CAMINO WAY, PO BOX 10139, PALO ALTO, CA 94303-0139 USA</t>
  </si>
  <si>
    <t>2574-3414</t>
  </si>
  <si>
    <t>ANNU REV BIOMED DA S</t>
  </si>
  <si>
    <t>Annu. Rev. Biomed. Data Sci.</t>
  </si>
  <si>
    <t>471</t>
  </si>
  <si>
    <t>490</t>
  </si>
  <si>
    <t>10.1146/annurev-biodatasci-103123-095406</t>
  </si>
  <si>
    <t>http://dx.doi.org/10.1146/annurev-biodatasci-103123-095406</t>
  </si>
  <si>
    <t>Mathematical &amp; Computational Biology</t>
  </si>
  <si>
    <t>9BU8L</t>
  </si>
  <si>
    <t>40245359</t>
  </si>
  <si>
    <t>WOS:001602604800022</t>
  </si>
  <si>
    <t>Hou, Y; Patel, J; Dai, LY; Zhang, EMY; Liu, Y; Zhan, ZF; Gangwani, P; Zhang, R</t>
  </si>
  <si>
    <t>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in text-based tasks but underperformed in areas requiring critical thinking and reasoning. Thematic analysis identified key challenges, including difficulties with stepwise problem-solving, transferring knowledge, comprehending intricate questions, and hallucinations, particularly on advanced items. Conclusions: While LLMs show potential for reinforcing factual knowledge and supporting learners, their limitations in handling higher-order cognitive tasks and image-based reasoning underscore the need for judicious integration with instructor-led guidance and targeted practice. This study provides valuable insights into the capabilities and limitations of current LLMs in preparing prospective dental students and highlights pathways for future innovations to improve performance across all cognitive skills assessed by the DAT.</t>
  </si>
  <si>
    <t>Hou, Yu; Patel, Jay; Dai, Liya; Zhang, Emily; Liu, Yang; Zhan, Zaifu; Gangwani, Pooja; Zhang, Rui</t>
  </si>
  <si>
    <t>Zhang, R (corresponding author), Univ Minnesota, Dept Surg, Div Computat Hlth Sci, Minneapolis, MN 55455 USA.; Zhang, R (corresponding author), Univ Minnesota, Ctr Learning Hlth Syst Sci, Minneapolis, MN 55455 USA.</t>
  </si>
  <si>
    <t>ruizhang@umn.edu</t>
  </si>
  <si>
    <t>National Institutes of Health's National Center for Complementary and Integrative Health [R01AT009457]; National Institute on Aging [R01AG078154]; National Cancer Institute [R01CA287413]</t>
  </si>
  <si>
    <t>National Institutes of Health's National Center for Complementary and Integrative Health; National Institute on Aging (United States Department of Health &amp; Human Services, National Institutes of Health (NIH) - USA, NIH National Institute on Aging (NIA)); National Cancer Institute (United States Department of Health &amp; Human Services, National Institutes of Health (NIH) - USA, NIH National Cancer Institute (NCI))</t>
  </si>
  <si>
    <t>This work was partially supported by the National Institutes of Health's National Center for Complementary and Integrative Health under grant number R01AT009457, National Institute on Aging under grant number R01AG078154, and National Cancer Institute under grant number R01CA287413. The content is solely the responsibility of the authors and does not represent the official views of the National Institutes of Health.</t>
  </si>
  <si>
    <t>[Hou, Yu; Zhang, Rui] Univ Minnesota, Dept Surg, Div Computat Hlth Sci, Minneapolis, MN 55455 USA; [Hou, Yu; Zhang, Rui] Univ Minnesota, Ctr Learning Hlth Syst Sci, Minneapolis, MN 55455 USA; [Patel, Jay; Gangwani, Pooja] Temple Univ, Kornberg Sch Dent, Oral Hlth Sci Dept, Philadelphia, PA 19140 USA; [Dai, Liya; Zhang, Emily] Wayzata High Sch, Plymouth, MN 55446 USA; [Liu, Yang] Syracuse Univ, Sch Educ, Syracuse, NY 13244 USA; [Zhan, Zaifu] Univ Minnesota, Dept Elect &amp; Comp Engn, Minneapolis, MN USA</t>
  </si>
  <si>
    <t>University of Minnesota System; University of Minnesota Twin Cities; University of Minnesota System; University of Minnesota Twin Cities; Pennsylvania Commonwealth System of Higher Education (PCSHE); Temple University; Syracuse University; University of Minnesota System; University of Minnesota Twin Cities</t>
  </si>
  <si>
    <t>Benchmarking of Large Language Models for the Dental Admission Test</t>
  </si>
  <si>
    <t>HEALTH DATA SCIENCE</t>
  </si>
  <si>
    <t>BLOOMS TAXONOMY</t>
  </si>
  <si>
    <t>Hou, Yu/0009-0009-7184-6592</t>
  </si>
  <si>
    <t>AMER ASSOC ADVANCEMENT SCIENCE</t>
  </si>
  <si>
    <t>WASHINGTON</t>
  </si>
  <si>
    <t>1200 NEW YORK AVE, NW, WASHINGTON, DC 20005 USA</t>
  </si>
  <si>
    <t>2765-8783</t>
  </si>
  <si>
    <t>HEALTH DATA SCI</t>
  </si>
  <si>
    <t>Health Data Sci.</t>
  </si>
  <si>
    <t>APR 1 2025</t>
  </si>
  <si>
    <t>0250</t>
  </si>
  <si>
    <t>10.34133/hds.0250</t>
  </si>
  <si>
    <t>http://dx.doi.org/10.34133/hds.0250</t>
  </si>
  <si>
    <t>Computer Science, Interdisciplinary Applications; Health Care Sciences &amp; Services</t>
  </si>
  <si>
    <t>Computer Science; Health Care Sciences &amp; Services</t>
  </si>
  <si>
    <t>5YS2U</t>
  </si>
  <si>
    <t>40170799</t>
  </si>
  <si>
    <t>WOS:001547513100002</t>
  </si>
  <si>
    <t>Liang, YL; Zhang, GB; Sun, ED; Idnay, B; Fang, YL; Chen, FY; Ta, C; Peng, YF; Weng, CH</t>
  </si>
  <si>
    <t>Objective: Research profiles highlight scientists' research focus, enabling talent discovery and fostering collaborations, but they are often outdated. Automated, scalable methods are urgently needed to keep these profiles current. Methods: In this study, we design and evaluate two Large Language Models (LLMs)-based methods to generate scientific interest profiles-one summarizing researchers' PubMed abstracts and the other generating a summary using their publications' Medical Subject Headings (MeSH) terms-and compare these machine-generated profiles with researchers' self-summarized interests. We collected the titles, MeSH terms, and abstracts of PubMed publications for 595 faculty members affiliated with Columbia University Irving Medical Center (CUIMC), for 167 of whom we obtained human-written online research profiles. Subsequently, GPT-4o-mini, a state-of-the-art LLM, was prompted to summarize each researcher's interests. Both manual and automated evaluations were conducted to characterize the similarities and differences between the machine-generated and self-written research profiles. Results: The similarity study showed low ROUGE-L, BLEU, and METEOR scores, reflecting little overlap between terminologies used in machine-generated and self-written profiles. BERTScore analysis revealed moderate semantic similarity between machine-generated and reference summaries (F1: 0.542 for MeSH-based, 0.555 for abstract-based), despite low lexical overlap. In validation, paraphrased summaries achieved a higher F1 of 0.851. A further comparison between the original and paraphrased manually written summaries indicates the limitations of such metrics. Kullback-Leibler (KL) Divergence of term frequency-inverse document frequency (TF-IDF) values (8.56 and 8.58 for profiles derived from MeSH terms and abstracts, respectively) suggests that machinegenerated summaries employ different keywords than human-written summaries. Manual reviews further showed that 77.78% rated the overall impression of MeSH-based profiling as "good" or "excellent," with readability receiving favorable ratings in 93.44% of cases, though granularity and factual accuracy varied. Overall, panel reviews favored 67.86% of machine-generated profiles derived from MeSH terms over those derived from abstracts. Conclusion: LLMs promise to automate scientific interest profiling at scale. Profiles derived from MeSH terms have better readability than profiles derived from abstracts. Overall, machine-generated summaries differ from human-written ones in their choice of concepts, with the latter initiating more novel ideas.</t>
  </si>
  <si>
    <t>Liang, Yilun; Zhang, Gongbo; Sun, Edward; Idnay, Betina; Fang, Yilu; Chen, Fangyi; Ta, Casey; Peng, Yifan; Weng, Chunhua</t>
  </si>
  <si>
    <t>Weng, CH (corresponding author), Columbia Univ, Dept Biomed Informat, New York, NY 10027 USA.; Peng, YF (corresponding author), Weill Cornell Med, Dept Populat Hlth Sci, New York, NY 10065 USA.</t>
  </si>
  <si>
    <t>yip4002@med.cornell.edu; cw2384@cumc.columbia.edu</t>
  </si>
  <si>
    <t>National Center for Advancing Translational Sciences (NCATS) of the National Institutes of Health (NIH) [UL1TR001873, UL1TR002384]; NIH [R01LM014344, R01LM014573]; National Library of Medicine [T15LM007079]</t>
  </si>
  <si>
    <t>National Center for Advancing Translational Sciences (NCATS) of the National Institutes of Health (NIH); NIH (United States Department of Health &amp; Human Services, National Institutes of Health (NIH) - USA, Office of the Administrator (NIH)); National Library of Medicine</t>
  </si>
  <si>
    <t>This work was supported by the National Center for Advancing Translational Sciences (NCATS) of the National Institutes of Health (NIH) under grant numbers UL1TR001873 and UL1TR002384. This research was funded by NIH grants R01LM014344 and R01LM014573, and National Library of Medicine grant T15LM007079.</t>
  </si>
  <si>
    <t>[Liang, Yilun] NYU, Tandon Sch Engn, Brooklyn, NY USA; [Zhang, Gongbo; Idnay, Betina; Fang, Yilu; Chen, Fangyi; Ta, Casey; Weng, Chunhua] Columbia Univ, Dept Biomed Informat, New York, NY 10027 USA; [Sun, Edward] Univ Calif Los Angeles, Henry Samueli Sch Engn &amp; Appl Sci, Los Angeles, CA USA; [Peng, Yifan] Weill Cornell Med, Dept Populat Hlth Sci, New York, NY 10065 USA</t>
  </si>
  <si>
    <t>New York University; New York University Tandon School of Engineering; Columbia University; University of California System; University of California Los Angeles; Cornell University; Weill Cornell Medicine</t>
  </si>
  <si>
    <t>Scalable scientific interest profiling using large language models</t>
  </si>
  <si>
    <t>Researcher Profiling; Large Language Models; Natural Language Generation; Kullback-Leibler Divergence</t>
  </si>
  <si>
    <t>Peng, Yifan/AAX-1862-2021; Zhang, Gongbo/LCD-8624-2024</t>
  </si>
  <si>
    <t>Sun, Edward/0009-0000-7788-3567; , Daniel Liang/0009-0007-8775-134X; Weng, Chunhua/0000-0002-9624-0214</t>
  </si>
  <si>
    <t>56</t>
  </si>
  <si>
    <t>104949</t>
  </si>
  <si>
    <t>10.1016/j.jbi.2025.104949</t>
  </si>
  <si>
    <t>http://dx.doi.org/10.1016/j.jbi.2025.104949</t>
  </si>
  <si>
    <t>NOV 2025</t>
  </si>
  <si>
    <t>9TQ7C</t>
  </si>
  <si>
    <t>41177243</t>
  </si>
  <si>
    <t>WOS:001614755400001</t>
  </si>
  <si>
    <t>Green Submitted</t>
  </si>
  <si>
    <t>Chang, CT; Srivathsa, N; Bou-Khalil, C; Swaminathan, A; Lunn, MR; Mishra, K; Koyejo, S; Daneshjou, R</t>
  </si>
  <si>
    <t>Large Language Models (LLMs) are increasingly deployed in clinical settings for tasks ranging from patient communication to decision support. While these models demonstrate race-based and binary gender biases, anti-LGBTQIA+ bias remains understudied despite documented healthcare disparities affecting these populations. In this work, we evaluated the potential of LLMs to propagate anti-LGBTQIA+ medical bias and misinformation. We prompted 4 LLMs (Gemini 1.5 Flash, Claude 3 Haiku, GPT-4o, Stanford Medicine Secure GPT [GPT-4.0]) with 38 prompts consisting of explicit questions and synthetic clinical notes created by medically-trained reviewers and LGBTQIA+ health experts. The prompts consisted of pairs of prompts with and without LGBTQIA+ identity terms and explored clinical situations across two axes: (i) situations where historical bias has been observed versus not observed, and (ii) situations where LGBTQIA+ identity is relevant to clinical care versus not relevant. Medically-trained reviewers evaluated LLM responses for appropriateness (safety, privacy, hallucination/accuracy, and bias) and clinical utility. We found that all 4 LLMs generated inappropriate responses for prompts with and without LGBTQIA+ identity terms. The proportion of inappropriate responses ranged from 43-62% for prompts mentioning LGBTQIA+ identities versus 47-65% for those without. The most common reason for inappropriate classification tended to be hallucination/accuracy, followed by bias or safety. Qualitatively, we observed differential bias patterns, with LGBTQIA+ prompts eliciting more severe bias. Average clinical utility score for inappropriate responses was lower than for appropriate responses (2.6 versus 3.7 on a 5-point Likert scale). Future work should focus on tailoring output formats to stated use cases, decreasing sycophancy and reliance on extraneous information in the prompt, and improving accuracy and decreasing bias for LGBTQIA+ patients. We present our prompts and annotated responses as a benchmark for evaluation of future models. Content warning: This paper includes prompts and model-generated responses that may be offensive.</t>
  </si>
  <si>
    <t>Chang, Crystal T.; Srivathsa, Neha; Bou-Khalil, Charbel; Swaminathan, Akshay; Lunn, Mitchell R.; Mishra, Kavita; Koyejo, Sanmi; Daneshjou, Roxana</t>
  </si>
  <si>
    <t>Daneshjou, R (corresponding author), Stanford Univ, Dept Dermatol, Stanford, CA 94305 USA.; Koyejo, S (corresponding author), Stanford Univ, Dept Comp Sci, Stanford, CA 94305 USA.; Daneshjou, R (corresponding author), Stanford Univ, Sch Med, Stanford, CA 94305 USA.</t>
  </si>
  <si>
    <t>sanmi@cs.stanford.edu; roxanad@stanford.edu</t>
  </si>
  <si>
    <t>MacArthur Foundation [2046795, 2205329]; Schmidt Sciences, Stanford HAI, and Google</t>
  </si>
  <si>
    <t>MacArthur Foundation; Schmidt Sciences, Stanford HAI, and Google</t>
  </si>
  <si>
    <t>SK acknowledges support by NSF 2046795 and 2205329, ARPA-H, the MacArthur Foundation, Schmidt Sciences, Stanford HAI, and Google.</t>
  </si>
  <si>
    <t>[Chang, Crystal T.; Daneshjou, Roxana] Stanford Univ, Dept Dermatol, Stanford, CA 94305 USA; [Srivathsa, Neha; Koyejo, Sanmi] Stanford Univ, Dept Comp Sci, Stanford, CA 94305 USA; [Bou-Khalil, Charbel; Swaminathan, Akshay; Daneshjou, Roxana] Stanford Univ, Sch Med, Stanford, CA 94305 USA; [Lunn, Mitchell R.] Stanford Univ, Sch Med, Dept Med, Div Nephrol, Stanford, CA USA; [Lunn, Mitchell R.] Stanford Univ, Sch Med, Dept Epidemiol &amp; Populat Hlth, Stanford, CA USA; [Lunn, Mitchell R.] Stanford Univ, Sch Med, PRIDE Study PRIDEnet, Stanford, CA USA; [Mishra, Kavita] Stanford Univ, Dept Obstet &amp; Gynecol, Stanford, CA USA</t>
  </si>
  <si>
    <t>Stanford Medicine; Stanford University; Stanford University; Stanford Medicine; Stanford University; Stanford Medicine; Stanford University; Stanford Medicine; Stanford University; Stanford University; Stanford Medicine; Stanford University</t>
  </si>
  <si>
    <t>Evaluating anti-LGBTQIA plus medical bias in large language models</t>
  </si>
  <si>
    <t>PLOS DIGITAL HEALTH</t>
  </si>
  <si>
    <t>Bou Khalil, Charbel/MNO-3819-2025; Daneshjou, Roxana/ABE-7764-2021; Srivathsa, Neha/AAW-4764-2021</t>
  </si>
  <si>
    <t>Chang, Crystal/0000-0002-0647-7040; Lunn, Mitchell Ryan/0000-0002-0068-0814; Daneshjou, Roxana/0000-0001-7988-9356; Swaminathan, Akshay/0000-0003-3426-9289</t>
  </si>
  <si>
    <t>38</t>
  </si>
  <si>
    <t>PUBLIC LIBRARY SCIENCE</t>
  </si>
  <si>
    <t>SAN FRANCISCO</t>
  </si>
  <si>
    <t>1160 BATTERY STREET, STE 100, SAN FRANCISCO, CA 94111 USA</t>
  </si>
  <si>
    <t>2767-3170</t>
  </si>
  <si>
    <t>PLOS DIGIT HEALTH</t>
  </si>
  <si>
    <t>PLOS Digit. Health</t>
  </si>
  <si>
    <t>e0001001</t>
  </si>
  <si>
    <t>10.1371/journal.pdig.0001001</t>
  </si>
  <si>
    <t>http://dx.doi.org/10.1371/journal.pdig.0001001</t>
  </si>
  <si>
    <t>7AH3K</t>
  </si>
  <si>
    <t>40920790</t>
  </si>
  <si>
    <t>WOS:001566263500003</t>
  </si>
  <si>
    <t>Livieratos, A; Lin, JJ; Chasani, P; Gaga, M; Fousekis, FS; Gogos, C; Akinosoglou, K; Katsanos, KH; Gamalo, M</t>
  </si>
  <si>
    <t>Large language models (LLMs) have rapidly advanced natural language processing and are increasingly used to analyze clinical narratives. Their ability to extract information, summarize records, and support clinical workflows makes them potential tools for enhancing documentation efficiency and the secondary application in the analysis of electronic health record (EHR) data. The aim of this work is to synthesize recent evidence on methodological approaches and applications of LLMs for clinical narrative processing, and to assess their performance, benefits, limitations, and implications for clinical practice. Across 2022-2026 studies, LLMs demonstrated strong performance in information extraction, summarization, triage prediction, section classification, and synthetic text generation, often surpassing traditional machine-learning models. Overall, LLMs improved the conversion of unstructured notes into actionable clinical insights, reduced documentation burden, and supported decision-making tasks. Key challenges included hallucinations, variable reproducibility, sensitivity to prompting, domain adaptation gaps, and limited transparency. Our findings indicate that LLMs show substantial promise for transforming clinical narrative processing, but safe adoption requires rigorous evaluation and continuous model auditing. This work provides a structured, non-systematic synthesis of representative studies and is intended as a high-level overview of emerging applications rather than a comprehensive systematic review.</t>
  </si>
  <si>
    <t>Livieratos, Achilleas; Lin, Junjing; Chasani, Paraskevi; Gaga, Mina; Fousekis, Fotios S.; Gogos, Charalambos; Akinosoglou, Karolina; Katsanos, Konstantinos H.; Gamalo, Margaret</t>
  </si>
  <si>
    <t>Lin, JJ (corresponding author), Takeda Pharmaceut USA Inc, 500 E Kendall St, Cambridge, MA 02142 USA.</t>
  </si>
  <si>
    <t>achilleas.livieratos@gmail.com</t>
  </si>
  <si>
    <t>[Lin, Junjing] Takeda Pharmaceut USA Inc, 500 E Kendall St, Cambridge, MA 02142 USA; [Chasani, Paraskevi] Friedrich Alexander Univ Erlangen Nurn berg FAU, Dept Neuropathol, Univ Klinikum Erlangen, Schwabachanlage 6, D-91054 Erlangen, Germany; [Gaga, Mina] Hygeia Hosp, Dept Resp Med 1, Athens 15123, Greece; [Fousekis, Fotios S.; Katsanos, Konstantinos H.] Univ Ioannina, Fac Med, Sch Hlth Sci, Div Gastroenterol,Dept Internal Med, Ioannina 45110, Greece; [Gogos, Charalambos; Akinosoglou, Karolina] Univ Patras, Dept Med, Patras 26504, Greece; [Akinosoglou, Karolina] Univ Gen Hosp Patras, Dept Internal Med &amp; Infect Dis, Patras 26504, Greece; [Gamalo, Margaret] Pfizer Inc, 500 Arcola Rd, Collegeville, PA 19426 USA</t>
  </si>
  <si>
    <t>Takeda Pharmaceutical Company Ltd; Takeda Pharmaceuticals USA Inc. (TPUSA); University of Erlangen Nuremberg; University of Ioannina; University of Patras; University of Patras; Pfizer; Pfizer USA</t>
  </si>
  <si>
    <t>Large Language Models for Clinical Narrative Processing: Methods, Applications, and Challenges</t>
  </si>
  <si>
    <t>METHODS AND PROTOCOLS</t>
  </si>
  <si>
    <t>large language models; clinical practice; electronic health records; medical informatics</t>
  </si>
  <si>
    <t>CHATGPT</t>
  </si>
  <si>
    <t>Gamalo, Margaret/AAW-1087-2021; Gaga, Mina/AAP-8348-2020</t>
  </si>
  <si>
    <t>83</t>
  </si>
  <si>
    <t>2409-9279</t>
  </si>
  <si>
    <t>METHOD PROTOCOL</t>
  </si>
  <si>
    <t>Methods Protoc.</t>
  </si>
  <si>
    <t>MAY 1 2026</t>
  </si>
  <si>
    <t>69</t>
  </si>
  <si>
    <t>10.3390/mps9030069</t>
  </si>
  <si>
    <t>http://dx.doi.org/10.3390/mps9030069</t>
  </si>
  <si>
    <t>Biochemical Research Methods</t>
  </si>
  <si>
    <t>Biochemistry &amp; Molecular Biology</t>
  </si>
  <si>
    <t>KE0AT</t>
  </si>
  <si>
    <t>42201162</t>
  </si>
  <si>
    <t>WOS:001804705200001</t>
  </si>
  <si>
    <t>Inooka, T; Ota, H; Taki, Y; Yasuda, S; Sajiki, A; Suzumura, A; Shimizu, H; Takeuchi, J; Tomita, R; Kominami, T; Ushida, H; Yuki, K; Nishiguchi, KM</t>
  </si>
  <si>
    <t>Objective: Artificial intelligence-powered large language models (LLMs) are increasingly applied in health care. However, studies in ophthalmology assessing whether LLMs can improve the accuracy of complex differential diagnoses in clinical cases, or which levels of clinical experience benefit most from their use, remain lacking. This study assessed the effectiveness of ChatGPT-4o, an LLM-driven chatbot, in enhancing ophthalmologists' clinical reasoning using original scenarios. Design: Prospective study. Subjects: Ten original ophthalmic clinical scenarios with open-ended questions were developed, covering the following subspecialties: oculoplastic and orbital disease, glaucoma, inherited retinal disease, macular disease, neuroophthalmology, ocular surface, pediatric ophthalmology, retinal vascular disease, strabismus, and uveitis. Methods: Responses to each clinical scenario were collected from 20 ophthalmologists (10 residents and 10 board-certified ophthalmologists) and ChatGPT-4o. Ophthalmologists subsequently revised their answers with assistance from ChatGPT-4o. All responses were anonymized and independently evaluated by 3 attending ophthalmologists based on 4 metrics: coherency, factuality, comprehensiveness, and safety (each on a 5-point scale). Main Outcome Measures: The median total scores for each group in coherency, factuality, comprehensiveness, and safety (maximum of 15 points each). Results: Assistance from ChatGPT-4o significantly improved evaluation scores for coherency, comprehensiveness, and safety among both residents and board-certified ophthalmologists (all, P &lt; 0.001). However, factuality scores showed no significant improvements (P = 0.114 and 0.839, respectively). Although ChatGPT-4o assistance increased citation frequency (residents: 0.24-0.98 per response, board-certified ophthalmologists: 0.12-0.68 per response, both P &lt; 0.05), approximately 44% of these additional citations were identified as hallucinated references, nonexistent, or incorrect citations. Notably, ChatGPT-4o assistance led to a significant increase in variability for factuality and safety scores in both groups (Brown-Forsythe test, all P &lt; 0.05), whereas it decreased variability for coherency and comprehensiveness, with the reduction statistically significant among residents (P = 0.008 and P = 0.006, respectively). Conclusions: ChatGPT-4o effectively enhanced diagnostic reasoning and response quality, particularly among ophthalmology residents. However, successful integration into clinical education and practice requires careful management of increased variability in factuality and safety. This issue could be addressed by implementing strategies such as advanced retrieval-augmented generation systems to ensure the provision of accurate and safe clinical information. Financial Disclosure(s): Proprietary or commercial disclosure may be found in the Footnotes and Disclosures at the end of this article. (c) 2025 by the American Academy of Ophthalmology. This is an open access article under the CC BY license (http://creativecommons.org/licenses/by/4.0/).</t>
  </si>
  <si>
    <t>Inooka, Taiga; Ota, Hikaru; Taki, Yosuke; Yasuda, Sayuri; Sajiki, Ai Fujita; Suzumura, Ayana; Shimizu, Hideyuki; Takeuchi, Jun; Tomita, Ryo; Kominami, Taro; Ushida, Hiroaki; Yuki, Kenya; Nishiguchi, Koji M.</t>
  </si>
  <si>
    <t>Taki, Y (corresponding author), Nagoya Univ, Grad Sch Med, Dept Ophthalmol, 65 Tsuruma Cho,Showa Ku, Nagoya 4668550, Japan.</t>
  </si>
  <si>
    <t>yosuke444@gmail.com</t>
  </si>
  <si>
    <t>JSPS KAKENHI [25K20200]</t>
  </si>
  <si>
    <t>JSPS KAKENHI</t>
  </si>
  <si>
    <t>ThisstudywassupportedbygrantsfromaGrant-in-AidforYoungSci-entists (toT.I.; grantno.: 25K20200) from JSPS KAKENHI (http://www.jsps.go.jp/).</t>
  </si>
  <si>
    <t>[Inooka, Taiga; Ota, Hikaru; Taki, Yosuke; Yasuda, Sayuri; Sajiki, Ai Fujita; Suzumura, Ayana; Shimizu, Hideyuki; Takeuchi, Jun; Tomita, Ryo; Kominami, Taro; Ushida, Hiroaki; Yuki, Kenya; Nishiguchi, Koji M.] Nagoya Univ, Grad Sch Med, Dept Ophthalmol, 65 Tsuruma Cho,Showa Ku, Nagoya 4668550, Japan</t>
  </si>
  <si>
    <t>Nagoya University</t>
  </si>
  <si>
    <t>Evolving Consultation: Enhancing Ophthalmic Diagnostic Performance Using Large Language Model</t>
  </si>
  <si>
    <t>OPHTHALMOLOGY SCIENCE</t>
  </si>
  <si>
    <t>Artificial intelligence; Clinical decision support systems; Large language models; Medical education; Problem solving</t>
  </si>
  <si>
    <t>Inooka, Taiga/0000-0003-1912-5316; SAJIKI, AI/0000-0001-7474-9194</t>
  </si>
  <si>
    <t>2666-9145</t>
  </si>
  <si>
    <t>OPHTHALMOL SCI</t>
  </si>
  <si>
    <t>Ophthalmol. Sci.</t>
  </si>
  <si>
    <t>101004</t>
  </si>
  <si>
    <t>10.1016/j.xops.2025.101004</t>
  </si>
  <si>
    <t>http://dx.doi.org/10.1016/j.xops.2025.101004</t>
  </si>
  <si>
    <t>AB7YB</t>
  </si>
  <si>
    <t>41725833</t>
  </si>
  <si>
    <t>WOS:001644388100001</t>
  </si>
  <si>
    <t>Wang, C; Liu, YY; Guo, TZ; Li, DP; He, T; Li, Z; Yang, QW; Wang, HH; Wen, YY</t>
  </si>
  <si>
    <t>Large language model (LLM) is an important direction in the development of AGI, but its technology is still in rapid change, and its capabilities still have obvious deficiencies and imbalances, with persistent problems such as hallucination, value non-alignment, weak specialization, and black-box effect. In this case, how to apply LLM to different professional fields and develop high-quality AIGC industry applications has become a great challenge for ISVs. Building AIGC industry applications based on LLM is not simply a matter of functional realization. Although researchers and open-source communities have proposed numerous application development frameworks or tool components, there is a lack of overall architecture design for systems engineering and a lack of discussion on theories and methods of LLM application development in large-scale industry domains, such as healthcare, government affairs, finance, and media. This paper analyzes the basic ideas of LLM industry applications development, defines the functional requirements and feature requirements of LLM industry applications, puts forward the concept of Large Language Model Systems Engineering (LLM-SE), and develops an AI assisted clinical risk prediction system for amyloidosis disease based on the architecture of LLM-SE, which adopt knowledge engineering, quality engineering, etc., and verifies the LLM-SE development architecture and methodology.</t>
  </si>
  <si>
    <t>Wang, Chen; Liu, Yan-yi; Guo, Tie-zheng; Li, Da-peng; He, Tao; Li, Zhi; Yang, Qing-wen; Wang, Hui-han; Wen, Ying-you</t>
  </si>
  <si>
    <t>Wen, YY (corresponding author), Northeastern Univ, Sch Comp Sci &amp; Engn, Shenyang, Peoples R China.</t>
  </si>
  <si>
    <t>wenyingyou@mail.neu.edu.cn</t>
  </si>
  <si>
    <t>Shenyang Science and Technology Plan Project [RC210469]; Liaoning Provincial Science and Technology Innovation Project in the Field of Artificial Intelligence</t>
  </si>
  <si>
    <t>Shenyang Science and Technology Plan Project; Liaoning Provincial Science and Technology Innovation Project in the Field of Artificial Intelligence</t>
  </si>
  <si>
    <t>This study was supported by Shenyang Science and Technology Plan Project (Grant No. RC210469) and in part by Grants from Liaoning Provincial Science and Technology Innovation Project in the Field of Artificial Intelligence (Project name:Research on key technologies for systems engineering of large language model) .</t>
  </si>
  <si>
    <t>[Wang, Chen; Liu, Yan-yi; Guo, Tie-zheng; Yang, Qing-wen; Wen, Ying-you] Northeastern Univ, Sch Comp Sci &amp; Engn, Shenyang, Peoples R China; [Wang, Chen; Guo, Tie-zheng; Li, Da-peng; Li, Zhi; Yang, Qing-wen; Wen, Ying-you] Neusoft AI Mag Technol Res, Shenyang, Peoples R China; [He, Tao; Li, Zhi; Wen, Ying-you] Neusoft Inst Intelligent Med Res, Shenyang, Peoples R China; [Wang, Hui-han] China Med Univ, Shengjing Hosp, Dept Hematol, Shenyang, Peoples R China</t>
  </si>
  <si>
    <t>Northeastern University - China; China Medical University</t>
  </si>
  <si>
    <t>Systems engineering issues for industry applications of large language model</t>
  </si>
  <si>
    <t>APPLIED SOFT COMPUTING</t>
  </si>
  <si>
    <t>LLM; AIGC; Systems engineering; CDSS; Industry application</t>
  </si>
  <si>
    <t>Liu, Yanyi/KGK-4029-2024; Guo, Tiezheng/AGC-8304-2022; yang, qingwen/HKW-6720-2023</t>
  </si>
  <si>
    <t>Guo, Tiezheng/0009-0009-2240-6830</t>
  </si>
  <si>
    <t>310</t>
  </si>
  <si>
    <t>1568-4946</t>
  </si>
  <si>
    <t>1872-9681</t>
  </si>
  <si>
    <t>APPL SOFT COMPUT</t>
  </si>
  <si>
    <t>Appl. Soft. Comput.</t>
  </si>
  <si>
    <t>JAN 2024</t>
  </si>
  <si>
    <t>151</t>
  </si>
  <si>
    <t>111165</t>
  </si>
  <si>
    <t>10.1016/j.asoc.2023.111165</t>
  </si>
  <si>
    <t>http://dx.doi.org/10.1016/j.asoc.2023.111165</t>
  </si>
  <si>
    <t>DEC 2023</t>
  </si>
  <si>
    <t>Computer Science, Artificial Intelligence; Computer Science, Interdisciplinary Applications</t>
  </si>
  <si>
    <t>FB9V9</t>
  </si>
  <si>
    <t>WOS:001143416400001</t>
  </si>
  <si>
    <t>Gopalakrishnan, S; Garbayo, L; Zadrozny, W</t>
  </si>
  <si>
    <t>This study explores the potential of natural language models, including large language models, to extract causal relations from medical texts, specifically from clinical practice guidelines (CPGs). The outcomes of causality extraction from clinical practice guidelines for gestational diabetes are presented, marking a first in the field. The results are reported on a set of experiments using variants of BERT (BioBERT, DistilBERT, and BERT) and using newer large language models (LLMs), namely, GPT-4 and LLAMA2. Our experiments show that BioBERT performed better than other models, including the large language models, with an average F1-score of 0.72. The GPT-4 and LLAMA2 results show similar performance but less consistency. The code and an annotated corpus of causal statements within the clinical practice guidelines for gestational diabetes are released. Extracting causal structures might help identify LLMs' hallucinations and possibly prevent some medical errors if LLMs are used in patient settings. Some practical extensions of extracting causal statements from medical text would include providing additional diagnostic support based on less frequent cause-effect relationships, identifying possible inconsistencies in medical guidelines, and evaluating the evidence for recommendations.</t>
  </si>
  <si>
    <t>Gopalakrishnan, Seethalakshmi; Garbayo, Luciana; Zadrozny, Wlodek</t>
  </si>
  <si>
    <t>Zadrozny, W (corresponding author), Univ North Carolina Charlotte, Dept Comp Sci, Charlotte, NC 28223 USA.</t>
  </si>
  <si>
    <t>lusgarbayo@gmail.com; wzadrozn@charlotte.edu; sgopala4@charlotte.edu</t>
  </si>
  <si>
    <t>National Science Foundation (NSF)</t>
  </si>
  <si>
    <t>National Science Foundation (NSF) (National Science Foundation (NSF))</t>
  </si>
  <si>
    <t>This research was partly funded by the National Science Foundation (NSF) grant number 2141124.</t>
  </si>
  <si>
    <t>[Gopalakrishnan, Seethalakshmi; Zadrozny, Wlodek] Univ North Carolina Charlotte, Dept Comp Sci, Charlotte, NC 28223 USA; [Garbayo, Luciana] Harvard Med Sch, Brigham &amp; Womens Hosp, Natl Sch Publ Hlth, Loscalzo Lab,FIOCRUZ, Boston, MA 02215 USA</t>
  </si>
  <si>
    <t>University of North Carolina; University of North Carolina Charlotte; Harvard University; Harvard Medical School; Harvard University Medical Affiliates; Brigham &amp; Women's Hospital</t>
  </si>
  <si>
    <t>Causality Extraction from Medical Text Using Large Language Models (LLMs)</t>
  </si>
  <si>
    <t>INFORMATION</t>
  </si>
  <si>
    <t>causality extraction; large language models (LLMs); GPT-4; LLAMA2; medical text</t>
  </si>
  <si>
    <t>/AAZ-3972-2020</t>
  </si>
  <si>
    <t>72</t>
  </si>
  <si>
    <t>2078-2489</t>
  </si>
  <si>
    <t>Information</t>
  </si>
  <si>
    <t>JAN 2025</t>
  </si>
  <si>
    <t>10.3390/info16010013</t>
  </si>
  <si>
    <t>http://dx.doi.org/10.3390/info16010013</t>
  </si>
  <si>
    <t>Computer Science, Information Systems</t>
  </si>
  <si>
    <t>T3T1O</t>
  </si>
  <si>
    <t>WOS:001404263700001</t>
  </si>
  <si>
    <t>Melcher, P; Henkelmann, R; Schleif, S; Youssef, S</t>
  </si>
  <si>
    <t>Background/Objectives: Digitalization of medical knowledge has improved access to information but also increased the spread of imprecise content. Repeated exposure to incorrect descriptions may lead to their normalization over time. This is particularly evident for the Hornblower sign, which is frequently conflated with the Patte test in the literature, online sources, and large language model outputs. This study systematically evaluates these descriptions and quantifies related inaccuracies. Methods: A three-step approach was applied to answer the question "What is the Hornblower sign?". First, primary publications referring to the original description by Arthuis were analyzed. Second, the first 35 Google search results were systematically reviewed. Third, responses from five widely used LLMs (ChatGPT 5.1, Grok 4.1, Gemini 3 Pro, Perplexity, and DeepSeek-R1) were evaluated. All descriptions were assessed using a standardized 4-point scoring system (0-3 points) capturing content accuracy and correct differentiation between the Hornblower sign and the Patte test. Results: Fourteen original publications were included, yielding a mean score of 2.07. Correct descriptions were found in 50%, while 43% described only the Patte test. Among 34 evaluable Google search results, the mean score was 1.17, with 77% scoring &lt;= 1 point. The five LLMs achieved a mean score of 1.8, demonstrating substantial variability and overall incomplete conceptual accuracy. Conclusions: Descriptions of the Hornblower sign show substantial heterogeneity and frequent inaccuracies across the scientific literature, online sources, and LLM outputs. Conflation with the Patte test undermines diagnostic reliability and limits study comparability. Critical source appraisal and adherence to original test descriptions are essential to maintain clinical and scientific rigor.</t>
  </si>
  <si>
    <t>Melcher, Peter; Henkelmann, Ralf; Schleif, Susanne; Youssef, Salim</t>
  </si>
  <si>
    <t>Youssef, S (corresponding author), Univ Leipzig, Dept Orthoped Trauma &amp; Plast Surg, D-04103 Leipzig, Germany.</t>
  </si>
  <si>
    <t>peter.melcher@helios-gesundheit.de; ralf.henkelmann@medizin.uni-leipzig.de; salim.youssef@medizin.uni-leipzig.de</t>
  </si>
  <si>
    <t>[Melcher, Peter] Helios Klin Leisnig, Dept Orthoped &amp; Trauma Surg, D-04703 Leisnig, Germany; [Henkelmann, Ralf; Youssef, Salim] Univ Leipzig, Dept Orthoped Trauma &amp; Plast Surg, D-04103 Leipzig, Germany</t>
  </si>
  <si>
    <t>Helios Kliniken; Leipzig University</t>
  </si>
  <si>
    <t>Descriptive Heterogeneity of the Hornblower Sign Across Scientific Literature, Search Engines, and Large Language Models</t>
  </si>
  <si>
    <t>Hornblower sign; Patte test; diagnostic tests; medical misinformation; large language models; bias</t>
  </si>
  <si>
    <t>TERES MINOR; ACCURACY; ANATOMY</t>
  </si>
  <si>
    <t>Melcher, Peter/LVR-4975-2024</t>
  </si>
  <si>
    <t>43</t>
  </si>
  <si>
    <t>MAR 5 2026</t>
  </si>
  <si>
    <t>17</t>
  </si>
  <si>
    <t>258</t>
  </si>
  <si>
    <t>10.3390/info17030258</t>
  </si>
  <si>
    <t>http://dx.doi.org/10.3390/info17030258</t>
  </si>
  <si>
    <t>FR4UM</t>
  </si>
  <si>
    <t>WOS:001725649900001</t>
  </si>
  <si>
    <t>Zhang, XY; Zhao, GH; Ren, Y; Wang, WG; Cai, W; Zhao, Y; Zhang, X; Liu, JR</t>
  </si>
  <si>
    <t>Writing various medical records takes significant daily workload for physicians. Generative AI technique has the advantage in tasks of data-to-text generation and text summarization, and brings opportunities to reduce workload for physicians to work on medical records. However, current general Large Language Models (LLMs) cannot satisfy the strict requirements to correctness of generative texts in specific tasks of medical record generation. In addition, due to the constraints to protect patient privacy, physicians cannot upload patient data to public cloud services for LLM cloud service. We develop optimized LLMs for medical record generation, which can be deployed in hospitals and integrated with the Electronic Medical Record (EMR) applications for physicians to reduce workload of writing medical records. We propose an approach for constructing data augmented LLM on medical record generation. As for each specific task, we extract annotated data with high quality from the EMR application in a hospital. Based on such data and customized instruct, we construct certain optimized models for specific tasks, including medical Data-to-Text generation (from structural medical data to history of present illness) and medical text summarization (from a series of progress notes to discharge summary). Furthermore, we propose Faithfulness score, a evaluation metrics, based on semantic similarity between the generative texts by LLMs and reference texts by physicians. Extensive experiments are conducted with high-quality task-specific medical data, and tested with our optimized models and two other models, including a general state-of-the-art (SOTA) model and a medical model, thereby evaluating the correctness of the generated medical records by Faithfulness score, separately on the two specific tasks.The experimental results demonstrate that our optimized models has improved the Faithfulness score of the generated medical records, respectively by 19.72% and 19.33% rather than the existing SOTA models, on medical Data-to-Text generation and medical text summarization.Our work has been validated and applied in the hospital we cooperate with, and save approximately 0.5-1 hour of working time per day for a physician, so that he or she can spend more time in taking care of his or her patients.This method can be generalized to any hospital, using its native medical data, to achieve a specialized model available for medical record generation tasks.The code is available at https://github.com/LotusPhilip/data-augmented-model</t>
  </si>
  <si>
    <t>Zhang, Xuanyi; Zhao, Genghong; Ren, Yi; Wang, Weiguang; Cai, Wei; Zhao, Yan; Zhang, Xia; Liu, Jiren</t>
  </si>
  <si>
    <t>Liu, JR (corresponding author), Northeastern Univ, Sch Comp Sci &amp; Engn, Shenyang 110819, Liaoning, Peoples R China.; Liu, JR (corresponding author), Neusoft Corp, Shenyang 110179, Liaoning, Peoples R China.</t>
  </si>
  <si>
    <t>wangweiguang@stumail.neu.edu.cn; zhaogenghong@neusoft.com; liujiren@mail.neu.edu.cn; cai.wei@neusoft.com; zhangx@neusoft.com; zhangxuanyi95@stumail.neu.edu.cn; zhaoyan@cancerhosp-ln-cmu.com; r-yi@neusoft.com</t>
  </si>
  <si>
    <t>National Key Research and Development Program of China</t>
  </si>
  <si>
    <t>National Key Research and Development Program of China (National Key Research &amp; Development Program of China)</t>
  </si>
  <si>
    <t>Our work is supported by the National Key Research and Development Program of China (No.2020AAA0109400).</t>
  </si>
  <si>
    <t>[Zhang, Xuanyi; Zhao, Genghong; Wang, Weiguang; Zhang, Xia; Liu, Jiren] Northeastern Univ, Sch Comp Sci &amp; Engn, Shenyang 110819, Liaoning, Peoples R China; [Zhao, Genghong; Ren, Yi; Wang, Weiguang; Cai, Wei] Neusoft Res Intelligent Healthcare Technol Co Ltd, Shenyang 110167, Liaoning, Peoples R China; [Zhang, Xia; Liu, Jiren] Neusoft Corp, Shenyang 110179, Liaoning, Peoples R China; [Zhao, Yan] Liaoning Canc Hosp &amp; Inst, Shenyang 110042, Liaoning, Peoples R China; [Zhao, Yan] Liaoning Prov Key Lab Interdisciplinary Res Gastro, Shenyang 110042, Liaoning, Peoples R China</t>
  </si>
  <si>
    <t>Northeastern University - China</t>
  </si>
  <si>
    <t>Data augmented large language models for medical record generation</t>
  </si>
  <si>
    <t>APPLIED INTELLIGENCE</t>
  </si>
  <si>
    <t>LLM; Medical record generation; Hallucination; Model faithfulness; Chinese embedding model</t>
  </si>
  <si>
    <t>Zhang, Xia/JRW-9540-2023; Zhao, Yan/A-1136-2009</t>
  </si>
  <si>
    <t>Liu, Jiren/0009-0004-4006-2000</t>
  </si>
  <si>
    <t>110</t>
  </si>
  <si>
    <t>61</t>
  </si>
  <si>
    <t>DORDRECHT</t>
  </si>
  <si>
    <t>VAN GODEWIJCKSTRAAT 30, 3311 GZ DORDRECHT, NETHERLANDS</t>
  </si>
  <si>
    <t>0924-669X</t>
  </si>
  <si>
    <t>1573-7497</t>
  </si>
  <si>
    <t>APPL INTELL</t>
  </si>
  <si>
    <t>Appl. Intell.</t>
  </si>
  <si>
    <t>55</t>
  </si>
  <si>
    <t>10.1007/s10489-024-05934-9</t>
  </si>
  <si>
    <t>http://dx.doi.org/10.1007/s10489-024-05934-9</t>
  </si>
  <si>
    <t>Computer Science, Artificial Intelligence</t>
  </si>
  <si>
    <t>O7C0V</t>
  </si>
  <si>
    <t>WOS:001372650800004</t>
  </si>
  <si>
    <t>West, C; Wang, Y</t>
  </si>
  <si>
    <t>PurposeTo assess the extent to which large language models (LLMs) amplify or attenuate inaccurate or contested narratives in radiation contexts and to evaluate their potential influence on public risk perception, patient communication in radiotherapy, and radiation protection policy implementation.Materials and MethodsWe developed a structured framework to extract agreement and sentiment from LLMs. This was applied to OpenAI's GPT family of models to examine susceptibility to strong or misframed radiological opinions, cultural and linguistic bias on controversial radiological topics, and philosophical or moral alignment in radiation-related scenarios. Additionally, GPT-4o mini was used to analyze sentiment trends in the r/Radiation subreddit (February 2021-December 2023). A novel model, AntiRadiophobeGPT, was created to counter radiophobic and myth-driven narratives and evaluated against real user comments.Results and ConclusionsSmaller LLMs (e.g. GPT-4o mini) exhibited significantly higher risk assessment of potentially radiophobic statements than their larger counterparts in general domain radiological risk assessment questions and higher agreement with controversial expert domain questions. Use of Chinese-language prompts or models further increased bias toward culturally sensitive radiological topics. All tested models showed deontological tendencies in moral alignment, with variations across scenarios. Subreddit analysis indicated that health-related myths were most prevalent, but overall community-wide radiophobia and hostility declined over the 3 years. AntiRadiophobeGPT effectively addressed misconceptions with high factual accuracy and demonstrated significantly lower levels of radiophobia and antagonism compared to user-generated responses. These findings underscore the importance of careful LLM deployment in radiological contexts to avoid misinformation propagation and support effective science communication. Overall, this work bridges artificial intelligence and radiation biology by demonstrating how LLM-driven communication can influence radiation risk perception and inform radiological safety practices.</t>
  </si>
  <si>
    <t>West, Christopher; Wang, Yi</t>
  </si>
  <si>
    <t>West, C; Wang, Y (corresponding author), Canadian Nucl Labs, Chalk River, ON, Canada.</t>
  </si>
  <si>
    <t>chris.west@cnl.ca; yi.wang@cnl.ca</t>
  </si>
  <si>
    <t>Atomic Energy of Canada Limited [FST]</t>
  </si>
  <si>
    <t>Atomic Energy of Canada Limited</t>
  </si>
  <si>
    <t>This work was supported by Atomic Energy of Canada Limited under the Federal Nuclear Science and Technology Work Plan.</t>
  </si>
  <si>
    <t>[West, Christopher; Wang, Yi] Canadian Nucl Labs, Chalk River, ON, Canada; [Wang, Yi] Univ Ottawa, Ottawa, ON, Canada</t>
  </si>
  <si>
    <t>Atomic Energy of Canada Limited; University of Ottawa</t>
  </si>
  <si>
    <t>Assessing large language models in radiation risk communication: susceptibility, cultural-linguistic effects, and ethical reasoning</t>
  </si>
  <si>
    <t>INTERNATIONAL JOURNAL OF RADIATION BIOLOGY</t>
  </si>
  <si>
    <t>Large language models; LLMs; radiation; radiophobia; risk communication; misinformation; public understanding; alignment; bias</t>
  </si>
  <si>
    <t>TAYLOR &amp; FRANCIS LTD</t>
  </si>
  <si>
    <t>ABINGDON</t>
  </si>
  <si>
    <t>2-4 PARK SQUARE, MILTON PARK, ABINGDON OR14 4RN, OXON, ENGLAND</t>
  </si>
  <si>
    <t>0955-3002</t>
  </si>
  <si>
    <t>1362-3095</t>
  </si>
  <si>
    <t>INT J RADIAT BIOL</t>
  </si>
  <si>
    <t>Int. J. Radiat. Biol.</t>
  </si>
  <si>
    <t>AUG 3 2026</t>
  </si>
  <si>
    <t>102</t>
  </si>
  <si>
    <t>1081</t>
  </si>
  <si>
    <t>1097</t>
  </si>
  <si>
    <t>10.1080/09553002.2026.2654427</t>
  </si>
  <si>
    <t>http://dx.doi.org/10.1080/09553002.2026.2654427</t>
  </si>
  <si>
    <t>Biology; Nuclear Science &amp; Technology; Radiology, Nuclear Medicine &amp; Medical Imaging</t>
  </si>
  <si>
    <t>Life Sciences &amp; Biomedicine - Other Topics; Nuclear Science &amp; Technology; Radiology, Nuclear Medicine &amp; Medical Imaging</t>
  </si>
  <si>
    <t>LO8WG</t>
  </si>
  <si>
    <t>42041146</t>
  </si>
  <si>
    <t>WOS:001751567300001</t>
  </si>
  <si>
    <t>Aiumtrakul, N; Thongprayoon, C; Kookanok, C; Poochanasri, M; Phichedwanichskul, K; Cheungpasitporn, W</t>
  </si>
  <si>
    <t>Background Prior authorization (PA) is a major source of administrative burden, treatment delay, and clinician burnout. Artificial intelligence (AI), particularly large language models (LLMs), is increasingly used to assist with clinical documentation, yet its reliability for payer-facing administrative tasks remains uncertain.Objective To evaluate the quality of PA letters drafted by ChatGPT-5 for commonly used medications requiring PA in nephrology. Quality was evaluated based on correctness and strength of clinical reasoning.Methods We created a single standardized prompt and applied it across 29 nephrology scenarios to generate PA letters. Each PA letter was reviewed against four criteria: 1) absence of false statements or hallucinations, 2) correctness of ICD-10 coding, 3) presence and validity of citations, and 4) clinical reasoning, rated on a 4-point Likert scale (illogical, weak, adequate and strong). FDA drug labels, KDIGO guidelines and related randomized controlled trials were used as reference standards.Results Out of 29 letters, one letter (3.5%) contained false statements mentioning an irrelevant clinical trial. The ICD-10 diagnosis code was correct in 23 letters (79.3%), most errors were related to chronic kidney disease (CKD) staging or internal diagnostic inconsistencies. 27 letters (93.1%) cited valid references, with one letter citing an incorrect trial and another one citing a correct KDIGO guideline with inaccessible link. Twenty-six letters (89.7%) demonstrated strong clinical reasoning, supported by guideline-oriented or FDA label-aligned justification. The remaining 3 letters were rated as adequate reasoning. The main areas for improvement involved citing relevant references and emphasizing special considerations, for example Risk Evaluation and Mitigation Strategy (REMS) compliance for eculizumab.Conclusions ChatGPT-5 can generate clinically coherent PA drafts for nephrology medications, but limitations in coding precision and citation reliability persist. With appropriate oversight, AI-assisted documentation may reduce administrative burden while maintaining safety and accuracy.</t>
  </si>
  <si>
    <t>Aiumtrakul, Noppawit; Thongprayoon, Charat; Kookanok, Chutawat; Poochanasri, Methavee; Phichedwanichskul, Kitinan; Cheungpasitporn, Wisit</t>
  </si>
  <si>
    <t>Cheungpasitporn, W (corresponding author), Mayo Clin, Dept Med, Div Nephrol &amp; Hypertens, Rochester, MN 55905 USA.</t>
  </si>
  <si>
    <t>cheungpasitporn.wisit@mayo.edu</t>
  </si>
  <si>
    <t>[Aiumtrakul, Noppawit; Thongprayoon, Charat; Cheungpasitporn, Wisit] Mayo Clin, Dept Med, Div Nephrol &amp; Hypertens, Rochester, MN 55905 USA; [Kookanok, Chutawat] One Brooklyn Hlth, Interfaith Med Ctr, Dept Med, Brooklyn, NY USA; [Poochanasri, Methavee] Bhumibol Adulyadej Hosp, Dept Med, Bangkok, Thailand; [Phichedwanichskul, Kitinan] Phramongkutklao Hosp, Bangkok, Thailand</t>
  </si>
  <si>
    <t>Mayo Clinic; Phramongkutklao Hospital</t>
  </si>
  <si>
    <t>Quality assessment of large language model-generated prior authorization letters in nephrology</t>
  </si>
  <si>
    <t>FRONTIERS IN DIGITAL HEALTH</t>
  </si>
  <si>
    <t>artificial intelligence; ChatGPT-5; large language models; nephrology; prior authorization</t>
  </si>
  <si>
    <t>AI; RISKS</t>
  </si>
  <si>
    <t>Thongprayoon, Charat/J-4184-2019; Cheungpasitporn, Wisit/H-8194-2019</t>
  </si>
  <si>
    <t>54</t>
  </si>
  <si>
    <t>2673-253X</t>
  </si>
  <si>
    <t>FRONT DIGIT HEALTH</t>
  </si>
  <si>
    <t>Front. Digit. Health</t>
  </si>
  <si>
    <t>MAR 3 2026</t>
  </si>
  <si>
    <t>1767648</t>
  </si>
  <si>
    <t>10.3389/fdgth.2026.1767648</t>
  </si>
  <si>
    <t>http://dx.doi.org/10.3389/fdgth.2026.1767648</t>
  </si>
  <si>
    <t>FC7HW</t>
  </si>
  <si>
    <t>41852493</t>
  </si>
  <si>
    <t>WOS:001715628300001</t>
  </si>
  <si>
    <t>Williams, CYK; Subramanian, CR; Ali, SS; Apolinario, M; Askin, E; Barish, P; Cheng, MNC; Deardorff, WJ; Donthi, N; Ganeshan, S; Huang, OW; Kantor, MA; Lai, AR; Manchanda, A; Moore, KA; Muniyappa, AN; Nair, G; Patel, PP; Santhosh, L; Schneider, S; Torres, S; Yukawa, M; Hubbard, CC; Rosner, BI</t>
  </si>
  <si>
    <t>Importance High-quality discharge summaries are associated with improved patient outcomes, but contribute to clinical documentation burden. Large language models (LLMs) provide an opportunity to support physicians by drafting discharge summary narratives. Objective To determine whether LLM-generated discharge summary narratives are of comparable quality and safety to those of physicians. Design, Setting, and ParticipantsThis cross-sectional study conducted at the University of California, San Francisco included 100 randomly selected inpatient hospital medicine encounters of 3 to 6 days' duration between 2019 and 2022. The analysis took place in July 2024. Exposure A blinded evaluation of physician- and LLM-generated narratives was performed in duplicate by 22 attending physician reviewers. Main Outcomes and MeasuresNarratives were reviewed for overall quality, reviewer preference, comprehensiveness, concision, coherence, and 3 error types (inaccuracies, omissions, and hallucinations). Each error individually, and each narrative overall, were assigned potential harmfulness scores ranging from 0 to 7 on an adapted Agency for Healthcare Research and Quality scale. Results Across 100 encounters, LLM- and physician-generated narratives were comparable in overall quality on a Likert scale ranging from 1 to 5 (higher scores indicate higher quality; mean [SD] score, 3.67 [0.49] vs 3.77 [0.57]; P = .21) and reviewer preference (chi 2 = 5.2; P = .27). LLM-generated narratives were more concise (mean [SD] score, 4.01 [0.37] vs 3.70 [0.59]; P &lt; .001) and more coherent (mean [SD] score, 4.16 [0.39] vs 4.01 [0.53]; P = .02) than their physician-generated counterparts, but less comprehensive (mean [SD] score, 3.72 [0.58] vs 4.13 [0.58]; P &lt; .001). LLM-generated narratives contained more unique errors (mean [SD] errors per summary, 2.91 [2.54]) than physician-generated narratives (mean [SD] errors per summary, 1.82 [1.94]). There was no significant difference in the potential for harm between LLM- and physician-generated narratives across individual errors (mean [SD] of 1.35 [1.07] vs 1.34 [1.05]; P = .99), with 6 and 5 individual errors, respectively, with scores of 4 (potential for permanent harm) or greater. Both LLM- and physician-generated narratives had low overall potential for harm (scores &lt;1 on a scale ranging from 0-7), with LLM-generated narratives scoring higher than physician narratives (mean [SD] score of 0.84 [0.98] vs 0.36 [0.70]; P &lt; .001) and only 1 LLM-generated narrative (compared with 0 physician-generated narratives) scoring 4 or greater. Conclusions and Relevance In this cross-sectional study of 100 inpatient hospital medicine encounters, LLM-generated discharge summary narratives were of comparable quality, and were preferred equally, to those generated by physicians. LLM-generated narratives were more likely to contain errors but had low overall harmfulness scores. These results suggest that, in clinical practice, using such narratives after human review may provide a viable option for hospitalists.</t>
  </si>
  <si>
    <t>Williams, Christopher Y. K.; Subramanian, Charumathi Raghu; Ali, Syed Salman; Apolinario, Michael; Askin, Elisabeth; Barish, Peter; Cheng, Monica; Deardorff, W. James; Donthi, Nisha; Ganeshan, Smitha; Huang, Owen; Kantor, Molly A.; Lai, Andrew R.; Manchanda, Ashley; Moore, Kendra A.; Muniyappa, Anoop N.; Nair, Geethu; Patel, Prashant P.; Santhosh, Lekshmi; Schneider, Susan; Torres, Shawn; Yukawa, Michi; Hubbard, Colin C.; Rosner, Benjamin I.</t>
  </si>
  <si>
    <t>Williams, CYK (corresponding author), UCSF, Bakar Computat Hlth Sci Inst, 490 Illinois St,Floor 2,Box 2933, San Francisco, CA 94143 USA.</t>
  </si>
  <si>
    <t>cykw2@doctors.org.uk</t>
  </si>
  <si>
    <t>[Williams, Christopher Y. K.] UCSF, Bakar Computat Hlth Sci Inst, 490 Illinois St,Floor 2,Box 2933, San Francisco, CA 94143 USA; [Subramanian, Charumathi Raghu; Ali, Syed Salman; Apolinario, Michael; Barish, Peter; Donthi, Nisha; Ganeshan, Smitha; Huang, Owen; Kantor, Molly A.; Lai, Andrew R.; Muniyappa, Anoop N.; Nair, Geethu; Patel, Prashant P.; Santhosh, Lekshmi; Hubbard, Colin C.; Rosner, Benjamin I.] Univ Calif San Francisco, Div Hosp Med, San Francisco, CA USA; [Subramanian, Charumathi Raghu; Muniyappa, Anoop N.; Rosner, Benjamin I.] Univ Calif San Francisco, Div Clin Informat &amp; Digital Transformat, San Francisco, CA USA; [Askin, Elisabeth; Moore, Kendra A.; Torres, Shawn] Univ Calif San Francisco, Div Gen Internal Med, San Francisco, CA USA; [Cheng, Monica; Deardorff, W. James; Manchanda, Ashley; Schneider, Susan; Yukawa, Michi] Univ Calif San Francisco, Div Geriatr, San Francisco, CA USA; [Cheng, Monica; Deardorff, W. James; Manchanda, Ashley; Schneider, Susan; Yukawa, Michi] San Francisco Campus Jewish Living, San Francisco, CA USA; [Santhosh, Lekshmi] Univ Calif San Francisco, Div Pulm &amp; Crit Care Med, San Francisco, CA USA; [Rosner, Benjamin I.] Univ Calif San Francisco, Ctr Clin Informat &amp; Improvement Res, San Francisco, CA USA</t>
  </si>
  <si>
    <t>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t>
  </si>
  <si>
    <t>Physician- and Large Language Model-Generated Hospital Discharge Summaries</t>
  </si>
  <si>
    <t>JAMA INTERNAL MEDICINE</t>
  </si>
  <si>
    <t>INFORMATION-TRANSFER; PATIENT SAFETY; CARE; STATEMENT; INPATIENT</t>
  </si>
  <si>
    <t>Santhosh, Lekshmi/AAW-9364-2020; Nair, Geethu/ODM-7973-2025; ALI, SYED SALMAN/P-5565-2014; Deardorff, W. James/AAH-8020-2019; Williams, Christopher/GPG-2012-2022; /AAF-4629-2021</t>
  </si>
  <si>
    <t>Santhosh, Lekshmi/0000-0002-9897-3462; Nair, Geethu/0000-0003-3667-7024; Lai, Anew/0000-0002-1103-6151; Deardorff, W. James/0000-0002-7947-3008</t>
  </si>
  <si>
    <t>73</t>
  </si>
  <si>
    <t>75</t>
  </si>
  <si>
    <t>AMER MEDICAL ASSOC</t>
  </si>
  <si>
    <t>CHICAGO</t>
  </si>
  <si>
    <t>330 N WABASH AVE, STE 39300, CHICAGO, IL 60611-5885 USA</t>
  </si>
  <si>
    <t>2168-6106</t>
  </si>
  <si>
    <t>2168-6114</t>
  </si>
  <si>
    <t>JAMA INTERN MED</t>
  </si>
  <si>
    <t>JAMA Intern. Med.</t>
  </si>
  <si>
    <t>JUL 2025</t>
  </si>
  <si>
    <t>185</t>
  </si>
  <si>
    <t>818</t>
  </si>
  <si>
    <t>825</t>
  </si>
  <si>
    <t>10.1001/jamainternmed.2025.0821</t>
  </si>
  <si>
    <t>http://dx.doi.org/10.1001/jamainternmed.2025.0821</t>
  </si>
  <si>
    <t>MAY 2025</t>
  </si>
  <si>
    <t>5WQ2A</t>
  </si>
  <si>
    <t>40323616</t>
  </si>
  <si>
    <t>WOS:001484653600001</t>
  </si>
  <si>
    <t>Zhou, HJ; Liu, FL; Wu, JE; Zhang, WJ; Huang, GW; Clifton, L; Eyre, D; Luo, HC; Liu, FY; Branson, K; Schwab, P; Wu, X; Zheng, YF; Thakur, A; Clifton, DA</t>
  </si>
  <si>
    <t>Large language models (LLMs), such as ChatGPT, have substantially helped in understanding human inquiries and generating textual content with human-level fluency. However, directly using LLMs in healthcare applications faces several problems. LLMs are prone to produce hallucinations, or fluent content that appears reasonable and genuine but that is factually incorrect. Ideally, the source of the generated content should be easily traced for clinicians to evaluate. We propose a knowledge-grounded collaborative large language model, DrugGPT, to make accurate, evidence-based and faithful recommendations that can be used for clinical decisions. DrugGPT incorporates diverse clinical-standard knowledge bases and introduces a collaborative mechanism that adaptively analyses inquiries, captures relevant knowledge sources and aligns these inquiries and knowledge sources when dealing with different drugs. We evaluate the proposed DrugGPT on drug recommendation, dosage recommendation, identification of adverse reactions, identification of potential drug-drug interactions and answering general pharmacology questions. DrugGPT outperforms a wide range of existing LLMs and achieves state-of-the-art performance across all metrics with fewer parameters than generic LLMs.</t>
  </si>
  <si>
    <t>Zhou, Hongjian; Liu, Fenglin; Wu, Jinge; Zhang, Wenjun; Huang, Guowei; Clifton, Lei; Eyre, David; Luo, Haochen; Liu, Fengyuan; Branson, Kim; Schwab, Patrick; Wu, Xian; Zheng, Yefeng; Thakur, Anshul; Clifton, David A.</t>
  </si>
  <si>
    <t>Liu, FL (corresponding author), Univ Oxford, Inst Biomed Engn, Dept Engn Sci, Oxford, England.</t>
  </si>
  <si>
    <t>fenglin.liu@eng.ox.ac.uk</t>
  </si>
  <si>
    <t>Magdalen College, University of Oxford; National Institute for Health Research (NIHR) Oxford Biomedical Research Centre (BRC); Pandemic Sciences Institute at the University of Oxford; NIHR Research Professorship; Royal Academy of Engineering Research Chair; Wellcome Trust-funded VITAL project, UK Research and Innovation; Engineering and Physical Sciences Research Council; Clarendon Fund; Magdalen Graduate Scholarship; NIHR Applied Research Collaboration Oxford; Thames Valley at Oxford Health NHS Foundation Trust</t>
  </si>
  <si>
    <t>Magdalen College, University of Oxford (University of Oxford); National Institute for Health Research (NIHR) Oxford Biomedical Research Centre (BRC) (National Institutes of Health Research (NIHR)); Pandemic Sciences Institute at the University of Oxford (University of Oxford); NIHR Research Professorship; Royal Academy of Engineering Research Chair; Wellcome Trust-funded VITAL project, UK Research and Innovation; Engineering and Physical Sciences Research Council (UK Research &amp; Innovation (UKRI), Engineering &amp; Physical Sciences Research Council (EPSRC)); Clarendon Fund; Magdalen Graduate Scholarship; NIHR Applied Research Collaboration Oxford; Thames Valley at Oxford Health NHS Foundation Trust</t>
  </si>
  <si>
    <t>This research was supported by the National Institute for Health Research (NIHR) Oxford Biomedical Research Centre (BRC), the Pandemic Sciences Institute at the University of Oxford, an NIHR Research Professorship, a Royal Academy of Engineering Research Chair, the Wellcome Trust-funded VITAL project, UK Research and Innovation, the Engineering and Physical Sciences Research Council, the InnoHK Hong Kong Centre for Cerebro-cardiovascular Engineering and the Clarendon Fund and the Magdalen Graduate Scholarship. The Applied Digital Health group at the Nuffield Department of Primary Care Health Sciences is supported by the NIHR Applied Research Collaboration Oxford and Thames Valley at Oxford Health NHS Foundation Trust. The views expressed are those of the author(s) and not necessarily those of the NHS, the NIHR or the Department of Health and Social Care. We sincerely thank all the editors and reviewers for their constructive comments and suggestions that substantially improved this paper.</t>
  </si>
  <si>
    <t>[Zhou, Hongjian; Liu, Fenglin; Zhang, Wenjun; Huang, Guowei; Luo, Haochen; Liu, Fengyuan; Thakur, Anshul; Clifton, David A.] Univ Oxford, Inst Biomed Engn, Dept Engn Sci, Oxford, England; [Wu, Jinge] UCL, Inst Hlth Informat, London, England; [Clifton, Lei] Univ Oxford, Nuffield Dept Primary Care Hlth Sci, Appl Digital Hlth, Oxford, England; [Eyre, David] Univ Oxford, Big Data Inst, Nuffield Dept Populat Hlth, Oxford, England; [Branson, Kim; Schwab, Patrick] GlaxoSmithKline, London, England; [Wu, Xian; Zheng, Yefeng] Tencent Jarvis Lab, Beijing, Peoples R China; [Zheng, Yefeng] Westlake Univ, Med Artificial Intelligence Lab, Hangzhou, Peoples R China; [Clifton, David A.] Oxford Suzhou Ctr Adv Res, Suzhou, Peoples R China</t>
  </si>
  <si>
    <t>University of Oxford; University of London; University College London; University of Oxford; University of Oxford; GlaxoSmithKline; Glaxosmithkline United Kingdom; Westlake University</t>
  </si>
  <si>
    <t>A collaborative large language model for drug analysis</t>
  </si>
  <si>
    <t>NATURE BIOMEDICAL ENGINEERING</t>
  </si>
  <si>
    <t>CORPUS</t>
  </si>
  <si>
    <t>Wu, Xian/JRW-5738-2023; Zhou, Hongjian/F-8519-2014; Eyre, David/P-6887-2016</t>
  </si>
  <si>
    <t>Thakur, Anshul/0000-0002-7006-1947; Liu, Fenglin/0000-0001-7715-5228; Liu, Fengyuan/0009-0008-3451-6132; Eyre, David/0000-0001-5095-6367</t>
  </si>
  <si>
    <t>2157-846X</t>
  </si>
  <si>
    <t>NAT BIOMED ENG</t>
  </si>
  <si>
    <t>Nat. Biomed. Eng</t>
  </si>
  <si>
    <t>10.1038/s41551-025-01471-z</t>
  </si>
  <si>
    <t>http://dx.doi.org/10.1038/s41551-025-01471-z</t>
  </si>
  <si>
    <t>Engineering, Biomedical</t>
  </si>
  <si>
    <t>Engineering</t>
  </si>
  <si>
    <t>IH3YI</t>
  </si>
  <si>
    <t>40987953</t>
  </si>
  <si>
    <t>WOS:001576814500001</t>
  </si>
  <si>
    <t>Zeng, ZF; Cheng, Q; Hu, XC; Zhuang, Y; Liu, XW; He, KL; Liu, Z</t>
  </si>
  <si>
    <t>The integration of medical knowledge graphs (KGs) and large language models (LLMs) for medical question answering (Q&amp;A) has attracted considerable interest in recent studies. However, current approaches that combine KGs and LLMs tend to either integrate KGs directly into the fine-tuning process of LLMs or use entire KGs as a contextual prompt base for LLMs to reason, raising concerns regarding potential data leakage and reasoning confusion. In this study, we propose KoSEL (Knowledge S ubgraph E nhanced L arge Language Model), a novel medical Q&amp;A framework based on KG-enhanced LLMs. KoSEL comprises two modules: Knowledge Retrieval (KR) and Reasoning and Answering (RA). The KR module is LLM-independent and employs an entity-linking algorithm and a subgraph construction and fusion strategy to retrieve question- relevant knowledge. The RA module conveys prompts to the LLM for information extraction, knowledge fusion, reasoning, and answer generation. KoSEL, which is designed as a plug-and-play framework, effectively fuses structural and textual knowledge while ensuring efficiency and privacy. The construction of a precise and refined subgraph reduces knowledge noise and the number of input graph tokens, thus mitigating hallucination issues. Extensive experiments demonstrated that KoSEL outperformed advanced methods in terms of knowledge retrieval efficiency (20.27% reduction in retrieval time), knowledge utilization (15.16% increase in utilization rate), and data protection (113.50% reduction in data leakage rate), resulting in higher-quality answers for medical Q&amp;A tasks (1.50% improvement in answer score).</t>
  </si>
  <si>
    <t>Zeng, Zefan; Cheng, Qing; Hu, Xingchen; Zhuang, Yan; Liu, Xinwang; He, Kunlun; Liu, Zhong</t>
  </si>
  <si>
    <t>Hu, XC (corresponding author), Natl Univ Def Technol, Coll Syst Engn, Changsha 410073, Peoples R China.</t>
  </si>
  <si>
    <t>xhu4@ualberta.ca</t>
  </si>
  <si>
    <t>National Natural Science Foundation of China [62376279, 62325604]</t>
  </si>
  <si>
    <t>National Natural Science Foundation of China (National Natural Science Foundation of China (NSFC))</t>
  </si>
  <si>
    <t>This work is supported in part by the National Natural Science Foundation of China under grants 62376279 and 62325604.</t>
  </si>
  <si>
    <t>[Zeng, Zefan; Cheng, Qing; Hu, Xingchen; Liu, Zhong] Natl Univ Def Technol, Coll Syst Engn, Changsha 410073, Peoples R China; [Zeng, Zefan; Cheng, Qing; Hu, Xingchen; Liu, Zhong] Natl Univ Def Technol, Lab big data &amp; decis, Changsha 410073, Peoples R China; [Zhuang, Yan; He, Kunlun] Chinese Peoples Liberat Army Gen Hosp, Med Big Data Res Ctr, Beijing 100853, Peoples R China; [Liu, Xinwang] Natl Univ Def Technol, Sch Comp, Changsha 410073, Peoples R China</t>
  </si>
  <si>
    <t>National University of Defense Technology - China; National University of Defense Technology - China; Chinese People's Liberation Army General Hospital; National University of Defense Technology - China</t>
  </si>
  <si>
    <t>KoSEL: Knowledge subgraph enhanced large language model for medical question answering</t>
  </si>
  <si>
    <t>KNOWLEDGE-BASED SYSTEMS</t>
  </si>
  <si>
    <t>Domain-specific; Knowledge graph; Large language model; Medical question answering; Privacy; Retrieval</t>
  </si>
  <si>
    <t>LIU, Xinwang/L-8089-2019; He, Kunlun/IXN-1108-2023; Hu, Xingchen/HRB-0780-2023</t>
  </si>
  <si>
    <t>He, Kunlun/0000-0002-3335-5700</t>
  </si>
  <si>
    <t>66</t>
  </si>
  <si>
    <t>104</t>
  </si>
  <si>
    <t>0950-7051</t>
  </si>
  <si>
    <t>1872-7409</t>
  </si>
  <si>
    <t>KNOWL-BASED SYST</t>
  </si>
  <si>
    <t>Knowledge-Based Syst.</t>
  </si>
  <si>
    <t>JAN 30 2025</t>
  </si>
  <si>
    <t>309</t>
  </si>
  <si>
    <t>112837</t>
  </si>
  <si>
    <t>10.1016/j.knosys.2024.112837</t>
  </si>
  <si>
    <t>http://dx.doi.org/10.1016/j.knosys.2024.112837</t>
  </si>
  <si>
    <t>DEC 2024</t>
  </si>
  <si>
    <t>18</t>
  </si>
  <si>
    <t>Q6D6C</t>
  </si>
  <si>
    <t>WOS:001385563700001</t>
  </si>
  <si>
    <t>Zhang, H; Jethani, N; Jones, S; Genes, N; Major, VJ; Jaffe, IS; Cardillo, AB; Heilenbach, N; Ali, NF; Bonanni, LJ; Clayburn, AJ; Khera, Z; Sadler, EC; Prasad, J; Schlacter, J; Liu, KV; Silva, B; Montgomery, S; Kim, EJ; Lester, J; Hill, TM; Avoricani, A; Chervonski, E; Davydov, J; Small, W; Chakravartty, E; Grover, H; Dodson, JA; Brody, AA; Aphinyanaphongs, Y; Masurkar, A; Razavian, N</t>
  </si>
  <si>
    <t>Ensuring reliability of Large Language Models (LLMs) in clinical tasks is crucial. Our study assesses two state-of-the-art LLMs (ChatGPT and LlaMA-2) for extracting clinical information, focusing on cognitive tests like MMSE and CDR. Our data consisted of 135,307 clinical notes (Jan 12th, 2010 to May 24th, 2023) mentioning MMSE, CDR, or MoCA. After applying inclusion criteria 34,465 notes remained, of which 765 underwent ChatGPT (GPT-4) and LlaMA-2, and 22 experts reviewed the responses. ChatGPT successfully extracted MMSE and CDR instances with dates from 742 notes. We used 20 notes for fine-tuning and training the reviewers. The remaining 722 were assigned to reviewers, with 309 each assigned to two reviewers simultaneously. Inter-rater-agreement (Fleiss' Kappa), precision, recall, true/ false negative rates, and accuracy were calculated. Our study follows TRIPOD reporting guidelines for model validation. For MMSE information extraction, ChatGPT (vs. LlaMA-2) achieved accuracy of 83% (vs. 66.4%), sensitivity of 89.7% (vs. 69.9%), true-negative rates of 96% (vs 60.0%), and precision of 82.7% (vs 62.2%). For CDR the results were lower overall, with accuracy of 87.1% (vs. 74.5%), sensitivity of 84.3% (vs. 39.7%), true-negative rates of 99.8% (98.4%), and precision of 48.3% (vs. 16.1%). We qualitatively evaluated the MMSE errors of ChatGPT and LlaMA-2 on double-reviewed notes. LlaMA-2 errors included 27 cases of total hallucination, 19 cases of reporting other scores instead of MMSE, 25 missed scores, and 23 cases of reporting only the wrong date. In comparison, ChatGPT's errors included only 3 cases of total hallucination, 17 cases of wrong test reported instead of MMSE, and 19 cases of reporting a wrong date. In this diagnostic/prognostic study of ChatGPT and LlaMA-2 for extracting cognitive exam dates and scores from clinical notes, ChatGPT exhibited high accuracy, with better performance compared to LlaMA-2. The use of LLMs could benefit dementia research and clinical care, by identifying eligible patients for treatments initialization or clinical trial enrollments. Rigorous evaluation of LLMs is crucial to understanding their capabilities and limitations.</t>
  </si>
  <si>
    <t>Zhang, Hao; Jethani, Neil; Jones, Simon; Genes, Nicholas; Major, Vincent J.; Jaffe, Ian S.; Cardillo, Anthony B.; Heilenbach, Noah; Ali, Nadia Fazal; Bonanni, Luke J.; Clayburn, Andrew J.; Khera, Zain; Sadler, Erica C.; Prasad, Jaideep; Schlacter, Jamie; Liu, Kevin; Silva, Benjamin; Montgomery, Sophie; Kim, Eric J.; Lester, Jacob; Hill, Theodore M.; Avoricani, Alba; Chervonski, Ethan; Davydov, James; Small, William; Chakravartty, Eesha; Grover, Himanshu; Dodson, John A.; Brody, Abraham A.; Aphinyanaphongs, Yindalon; Masurkar, Arjun; Razavian, Narges</t>
  </si>
  <si>
    <t>Razavian, N (corresponding author), NYU, Grossman Sch Med, New York, NY 10016 USA.</t>
  </si>
  <si>
    <t>narges.razavian@nyulangone.org</t>
  </si>
  <si>
    <t>NYU Langone Medical Center Information Technology (MCIT) center, National Institute On Aging, of the National Institutes of Health [R01AG085617, P30AG066512]</t>
  </si>
  <si>
    <t>NYU Langone Medical Center Information Technology (MCIT) center, National Institute On Aging, of the National Institutes of Health</t>
  </si>
  <si>
    <t>This study was supported by NYU Langone Medical Center Information Technology (MCIT) center, National Institute On Aging, of the National Institutes of Health (R01AG085617 to NR and AM, P30AG066512 to NR and AM, P30AG066512 to HZ, SJ, VJM, JAD, AAB, YA, AM, and NR) . The funders had no role in study design, data collection and analysis, decision to publish, or preparation of the manuscript.</t>
  </si>
  <si>
    <t>[Zhang, Hao; Jethani, Neil; Jones, Simon; Genes, Nicholas; Major, Vincent J.; Jaffe, Ian S.; Cardillo, Anthony B.; Heilenbach, Noah; Ali, Nadia Fazal; Bonanni, Luke J.; Clayburn, Andrew J.; Khera, Zain; Sadler, Erica C.; Prasad, Jaideep; Schlacter, Jamie; Liu, Kevin; Silva, Benjamin; Montgomery, Sophie; Kim, Eric J.; Lester, Jacob; Hill, Theodore M.; Avoricani, Alba; Chervonski, Ethan; Davydov, James; Small, William; Chakravartty, Eesha; Grover, Himanshu; Dodson, John A.; Brody, Abraham A.; Aphinyanaphongs, Yindalon; Masurkar, Arjun; Razavian, Narges] NYU, Grossman Sch Med, New York, NY 10016 USA; [Brody, Abraham A.] NYU, Rory Meyers Coll Nursing, New York, NY USA</t>
  </si>
  <si>
    <t>New York University; New York University</t>
  </si>
  <si>
    <t>Evaluating Large Language Models in extracting cognitive exam dates and scores</t>
  </si>
  <si>
    <t>CLINICAL NOTES; DISPARITIES</t>
  </si>
  <si>
    <t>Genes, Nicholas/HMV-5079-2023; Brody, Abraham/Q-6749-2019; Grover, Himanshu/HNR-4326-2023; Bonanni, Luke/LVR-5814-2024; Kim, Eric/AAX-8629-2021</t>
  </si>
  <si>
    <t>Genes, Nicholas/0000-0002-9836-2477; Ali, Nadia Fazal/0000-0001-6180-0173; Cardillo, Anthony/0000-0003-1594-2562; Heilenbach, Noah/0000-0002-6796-6163; Brody, Abraham/0000-0002-3405-7043; Bonanni, Luke/0000-0002-1730-0486; Chervonski, Ethan/0000-0002-4404-0499; Jaffe, Ian/0000-0002-7309-308X; Masurkar, Arjun/0000-0002-2498-2059; Zhang, Hao/0000-0002-9511-4347</t>
  </si>
  <si>
    <t>68</t>
  </si>
  <si>
    <t>e0000685</t>
  </si>
  <si>
    <t>10.1371/journal.pdig.0000685</t>
  </si>
  <si>
    <t>http://dx.doi.org/10.1371/journal.pdig.0000685</t>
  </si>
  <si>
    <t>W2K5C</t>
  </si>
  <si>
    <t>39661652</t>
  </si>
  <si>
    <t>WOS:001416927800001</t>
  </si>
  <si>
    <t>Deng, JW; Zubair, A; Park, YJ; Affan, E; Zuo, QK</t>
  </si>
  <si>
    <t>Large language models, like ChatGPT and Bard, have potential clinical applications due to their ability to generate conversational responses and encode medical knowledge. However, their clinical adoption faces challenges including hallucinations, lack of transparency, and lack of consistency. Ethicolegal concerns surrounding patient consent, legal liability, and data privacy further complicate matters. Despite their promise, an optimistic but cautious approach is essential for the safe integration of large language models into clinical settings.</t>
  </si>
  <si>
    <t>Deng, Jiawen; Zubair, Areeba; Park, Ye-Jean; Affan, Eesha; Zuo, Qi Kang</t>
  </si>
  <si>
    <t>Deng, JW (corresponding author), Univ Toronto, Temerty Fac Med, 1 Kings Coll Cir, Toronto, ON M5S 1A8, Canada.</t>
  </si>
  <si>
    <t>dengj35@mcmaster.ca</t>
  </si>
  <si>
    <t>[Deng, Jiawen; Zubair, Areeba; Park, Ye-Jean] Univ Toronto, Temerty Fac Med, Toronto, ON, Canada; [Affan, Eesha] Carleton Univ, Fac Sci, Ottawa, ON, Canada; [Zuo, Qi Kang] Univ British Columbia UBC, Fac Med, Vancouver, BC, Canada; [Deng, Jiawen] Univ Toronto, Temerty Fac Med, 1 Kings Coll Cir, Toronto, ON M5S 1A8, Canada</t>
  </si>
  <si>
    <t>University of Toronto; Carleton University; University of British Columbia; University of Toronto</t>
  </si>
  <si>
    <t>The use of large language models in medicine: proceeding with caution</t>
  </si>
  <si>
    <t>CURRENT MEDICAL RESEARCH AND OPINION</t>
  </si>
  <si>
    <t>ChatGPT; large language model; medicine; GPT</t>
  </si>
  <si>
    <t>Deng, Jiawen/X-8181-2019</t>
  </si>
  <si>
    <t>Deng, Jiawen/0000-0002-8274-6468</t>
  </si>
  <si>
    <t>0300-7995</t>
  </si>
  <si>
    <t>1473-4877</t>
  </si>
  <si>
    <t>CURR MED RES OPIN</t>
  </si>
  <si>
    <t>Curr. Med. Res. Opin.</t>
  </si>
  <si>
    <t>FEB 1 2024</t>
  </si>
  <si>
    <t>153</t>
  </si>
  <si>
    <t>10.1080/03007995.2023.2295411</t>
  </si>
  <si>
    <t>http://dx.doi.org/10.1080/03007995.2023.2295411</t>
  </si>
  <si>
    <t>Medicine, General &amp; Internal; Medicine, Research &amp; Experimental</t>
  </si>
  <si>
    <t>General &amp; Internal Medicine; Research &amp; Experimental Medicine</t>
  </si>
  <si>
    <t>FR9G9</t>
  </si>
  <si>
    <t>38093584</t>
  </si>
  <si>
    <t>WOS:001128890400001</t>
  </si>
  <si>
    <t>Shroff, H; Shankar, A; Baron, A; Yoxheimer, L; Fix, OK</t>
  </si>
  <si>
    <t>INTRODUCTION: To use a large language model (LLM) to create accurate and useable summaries of patient records for clinicians triaging new hepatology referrals. METHODS: We developed a comprehensive list of data elements required to triage a new hepatology referral and engaged in an iterative prompt engineering process to instruct an LLM to extract relevant data from patient referral documents. The final prompt was used on 50 original patient records from June to July 2025 to generate corresponding artificial intelligence (AI) summaries, which were assigned to 2 providers to review and triage according to their usual process. We assessed time to triage original vs AI files and accuracy of the AI files. A linear mixed-effects model was used to determine an adjusted time ratio comparing the time to triage AI files vs original files. RESULTS: AI-generated summaries were significantly shorter than original files (median [interquartile range] 2 [2-3] vs 23 [10.2-38.8] pages, P &lt; 0.001). AI summaries had high accuracy (median [interquartile range]: 94.6% [86.5%-97.3%]) with a low hallucination rate. Use of the AI summaries led to a 60% reduction in triage time (adjusted mean triage time of 37.2 seconds for AI files vs 94.2 seconds for original files, P &lt; 0.001). DISCUSSION: The use of an LLM led to significantly reduced document length, maintained an appropriate level of accuracy, and led to a significant decrease in clinician time to review the patient record. Future steps involve creating a fully automated workflow that is integrated into the electronic health record for widespread use.</t>
  </si>
  <si>
    <t>Shroff, Hersh; Shankar, Anubhav; Baron, Alison; Yoxheimer, Lindsay; Fix, Oren K.</t>
  </si>
  <si>
    <t>Shroff, H (corresponding author), Univ North Carolina, Div Gastroenterol &amp; Hepatol, Chapel Hill, NC 27599 USA.</t>
  </si>
  <si>
    <t>lindsay_yoxheimer@med.unc.edu; hshroff@unc.edu; oren.fix@unc.edu; Alison.Baron@unchealth.unc.edu; anubhav_shankar@med.unc.edu</t>
  </si>
  <si>
    <t>[Shroff, Hersh; Baron, Alison; Yoxheimer, Lindsay; Fix, Oren K.] Univ North Carolina, Div Gastroenterol &amp; Hepatol, Chapel Hill, NC 27599 USA; [Shankar, Anubhav] Univ North Carolina, Sch Med, Chapel Hill, NC USA</t>
  </si>
  <si>
    <t>University of North Carolina; University of North Carolina Chapel Hill; University of North Carolina; University of North Carolina Chapel Hill; University of North Carolina School of Medicine</t>
  </si>
  <si>
    <t>A Large Language Model Assistant for Summarizing Hepatology Referral Documents</t>
  </si>
  <si>
    <t>AMERICAN JOURNAL OF GASTROENTEROLOGY</t>
  </si>
  <si>
    <t>generative artificial intelligence; burnout; clinical text summarization; efficiency</t>
  </si>
  <si>
    <t>Fix, Oren/AFR-0223-2022; Shroff, Hersh/PFR-6277-2026</t>
  </si>
  <si>
    <t>LIPPINCOTT WILLIAMS &amp; WILKINS</t>
  </si>
  <si>
    <t>PHILADELPHIA</t>
  </si>
  <si>
    <t>TWO COMMERCE SQ, 2001 MARKET ST, PHILADELPHIA, PA 19103 USA</t>
  </si>
  <si>
    <t>0002-9270</t>
  </si>
  <si>
    <t>1572-0241</t>
  </si>
  <si>
    <t>AM J GASTROENTEROL</t>
  </si>
  <si>
    <t>Am. J. Gastroenterol.</t>
  </si>
  <si>
    <t>121</t>
  </si>
  <si>
    <t>925</t>
  </si>
  <si>
    <t>931</t>
  </si>
  <si>
    <t>10.14309/ajg.0000000000003905</t>
  </si>
  <si>
    <t>http://dx.doi.org/10.14309/ajg.0000000000003905</t>
  </si>
  <si>
    <t>Gastroenterology &amp; Hepatology</t>
  </si>
  <si>
    <t>GF3RI</t>
  </si>
  <si>
    <t>41504326</t>
  </si>
  <si>
    <t>WOS:001735069500024</t>
  </si>
  <si>
    <t>Dang, SA; Melfi, M; Gary, PJ</t>
  </si>
  <si>
    <t>Background: Large language models (LLMs) have vast potential applications in healthcare across the clinical, educational, and research settings. The tendency of these models to fabricate plausible sounding but factually incorrect information is referred to as artificial hallucination and is a significant limitation to their use. Studies evaluating the accuracy of these models in scientific writing across various subspecialties have demonstrated a variable yet alarming frequency of hallucinations in LLM generated output. This study aimed to evaluate the accuracy of LLMs in scientific writing specific to the field of pulmonary medicine. Methods: Five commonly encountered conditions relevant to pulmonary medicine were selected: asthma, chronic obstructive pulmonary disease, interstitial lung disease, pneumonia, and lung adenocarcinoma. A new artificial intelligence (AI) chatbot in Google Gemini was tasked with providing ten research articles for each condition with complete citations, which were then appraised by comparing them to the original articles for accuracy by two independent reviewers using the search tool on Google and PubMed for verification. Results: A high degree of agreement was observed between reviewers (kappa=0.9277). Of the 50 total citations, only one citation (2%) relevant to pneumonia was found to be completely accurate across all citation components. Article title was found to have the highest accuracy with thirty correct results (60%) while DOI performed the poorest with only two correct results (4%). Conclusions: Only 2% of the citations generated by Google Gemini were found to be completely accurate across all citation components. A high degree of fabrication of plausible sounding but factually incorrect results, or artificial hallucinations, was observed. Thus, continued vigilance and rigorous efforts are necessary to validate the authenticity of responses generated by LLMs, especially as pertains to medical literature.</t>
  </si>
  <si>
    <t>Dang, Sana; Melfi, Michelle; Gary, Phillip J.</t>
  </si>
  <si>
    <t>Gary, PJ (corresponding author), SUNY Upstate Med Univ, Div Pulm Crit Care &amp; Sleep Med, 750 E Adams St, Syracuse, NY 13210 USA.</t>
  </si>
  <si>
    <t>garyp@upstate.edu</t>
  </si>
  <si>
    <t>[Dang, Sana; Melfi, Michelle; Gary, Phillip J.] SUNY Upstate Med Univ, Dept Internal Med, Syracuse, NY USA; [Gary, Phillip J.] SUNY Upstate Med Univ, Div Pulm Crit Care &amp; Sleep Med, 750 E Adams St, Syracuse, NY 13210 USA</t>
  </si>
  <si>
    <t>State University of New York (SUNY) System; SUNY Upstate Medical University; State University of New York (SUNY) System; SUNY Upstate Medical University</t>
  </si>
  <si>
    <t>Evaluating the accuracy of large language models in pulmonary medicine scientific writing</t>
  </si>
  <si>
    <t>JOURNAL OF MEDICAL ARTIFICIAL INTELLIGENCE</t>
  </si>
  <si>
    <t>Artificial intelligence (AI); large language models (LLMs); pulmonary medicine</t>
  </si>
  <si>
    <t>AME PUBLISHING COMPANY</t>
  </si>
  <si>
    <t>SHATIN</t>
  </si>
  <si>
    <t>FLAT-RM C 16F, KINGS WING PLAZA 1, NO 3 KWAN ST, SHATIN, HONG KONG 00000, PEOPLES R CHINA</t>
  </si>
  <si>
    <t>2617-2496</t>
  </si>
  <si>
    <t>J MED ARTIF INTELL</t>
  </si>
  <si>
    <t>J. Med. Artif. Intell.</t>
  </si>
  <si>
    <t>DEC 30 2025</t>
  </si>
  <si>
    <t>10.21037/jmai-24-287</t>
  </si>
  <si>
    <t>http://dx.doi.org/10.21037/jmai-24-287</t>
  </si>
  <si>
    <t>Computer Science, Artificial Intelligence; Medical Informatics</t>
  </si>
  <si>
    <t>5CR9D</t>
  </si>
  <si>
    <t>WOS:001532550700028</t>
  </si>
  <si>
    <t>gold</t>
  </si>
  <si>
    <t>Wienholt, P; Caselitz, S; Siepmann, R; Bruners, P; Bressem, K; Kuhl, C; Kather, JN; Nebelung, S; Truhn, D</t>
  </si>
  <si>
    <t>Objective To determine whether using discrete semantic entropy (DSE) to reject questions likely to generate hallucinations can improve the accuracy of black-box vision-language models (VLMs) in radiologic image-based visual question answering (VQA). Materials and methods This retrospective study evaluated DSE using two publicly available, de-identified datasets: the VQA-Med 2019 benchmark (500 images with clinical questions and short-text answers) and a diagnostic radiology dataset (206 cases: 60 computed tomography scans, 60 magnetic resonance images, 60 radiographs, 26 angiograms) with corresponding ground-truth diagnoses. GPT-4o and GPT-4.1 (Generative Pretrained Transformer) answered each question 15 times using a temperature of 1.0. Baseline accuracy was determined using low-temperature answers (0.1). Meaning-equivalent responses were grouped using bidirectional entailment checks, and DSE was computed from the relative frequencies of the resulting semantic clusters. Accuracy was recalculated after excluding questions with DSE &gt; 0.6 or &gt; 0.3. p values and 95% confidence intervals were obtained using bootstrap resampling and a Bonferroni-corrected threshold of p &lt; 0.004 for statistical significance. Results Across 706 image-question pairs, baseline accuracy was 51.7% for GPT-4o and 54.8% for GPT-4.1. After filtering out high-entropy questions (DSE &gt; 0.3), accuracy on the remaining questions was 76.3% (retained questions: 334/706) for GPT-4o and 63.8% (retained questions: 499/706) for GPT-4.1 (both p &lt; 0.001). Accuracy gains were observed across both datasets and largely remained statistically significant after Bonferroni correction. Conclusion DSE enables reliable hallucination detection in black-box VLMs by quantifying semantic inconsistency. This method significantly improves diagnostic answer accuracy and offers a filtering strategy for clinical VLM applications.</t>
  </si>
  <si>
    <t>Wienholt, Patrick; Caselitz, Sophie; Siepmann, Robert; Bruners, Philipp; Bressem, Keno; Kuhl, Christiane; Kather, Jakob Nikolas; Nebelung, Sven; Truhn, Daniel</t>
  </si>
  <si>
    <t>Wienholt, P (corresponding author), Univ Hosp RWTH Aachen, Dept Diagnost &amp; Intervent Radiol, Lab Artificial Intelligence Med, Aachen, Germany.; Wienholt, P (corresponding author), Univ Hosp RWTH Aachen, Dept Diagnost &amp; Intervent Radiol, Aachen, Germany.</t>
  </si>
  <si>
    <t>pwienholt@ukaachen.de</t>
  </si>
  <si>
    <t>National Institutes of Health NIH [EPICO, R01 CA263318]; European Research Council ERC [NADIR, 101114631]; German Research Foundation DFG [CRC/TR 412, 535081457; SFB 1709/1 2025, 533056198]; Deutsche Forschungsgemeinschaft [NE 2136/7-1, NE 2136/3-1, TR 1700/7-1]; HORIZON EUROPE European Innovation Ecosystems [ODELIA, 101057091; GENIAL, 101096312]; German Federal Joint Committee G-BA [TransplantKI, 01VSF21048]; National Institute for Health and Care Research NIHR [Leeds Biomedical Research Centre, NIHR203331]; German Academic Exchange Service DAAD [SECAI, 57616814]; German Cancer Aid DKH [DECADE, 70115166]; German Federal Ministry of Research, Technology and Space BMFTR [Transform Liver - 031L0312C, DECIPHER-M - 01KD2420B, PEARL, 01KD2104C; CAMINO, 01EO2101; TRANSFORM LIVER, 031L0312A; TANGERINE, 01KT2302 through ERA-NET Transcan; Come2Data, 16DKZ2044A; DEEP-HCC, 031L0315A; DECIPHER-M, 01KD2420A; NextBIG, 01ZU2402A]; European Union Research and Innovation Programme [ODELIA - GA 101057091]</t>
  </si>
  <si>
    <t>National Institutes of Health NIH (United States Department of Health &amp; Human Services, National Institutes of Health (NIH) - USA); European Research Council ERC (European Research Council (ERC)); German Research Foundation DFG (German Research Foundation (DFG)); Deutsche Forschungsgemeinschaft (German Research Foundation (DFG)); HORIZON EUROPE European Innovation Ecosystems; German Federal Joint Committee G-BA; National Institute for Health and Care Research NIHR; German Academic Exchange Service DAAD (Deutscher Akademischer Austausch Dienst (DAAD)); German Cancer Aid DKH (Deutsche Krebshilfe); German Federal Ministry of Research, Technology and Space BMFTR; European Union Research and Innovation Programme</t>
  </si>
  <si>
    <t>This research is supported by the Deutsche Forschungsgemeinschaft - DFG (NE 2136/7-1, NE 2136/3-1, and TR 1700/7-1), the German Federal Ministry of Research, Technology and Space (Transform Liver-031L0312C, DECIPHER-M-01KD2420B), and the European Union Research and Innovation Programme (ODELIA-GA 101057091). J.N.K. is supported by the German Cancer Aid DKH (DECADE, 70115166), the German Federal Ministry of Research, Technology and Space BMFTR (PEARL, 01KD2104C; CAMINO, 01EO2101; TRANSFORM LIVER, 031L0312A; TANGERINE, 01KT2302 through ERA-NET Transcan; Come2Data, 16DKZ2044A; DEEP-HCC, 031L0315A; DECIPHER-M, 01KD2420A; NextBIG, 01ZU2402A), the German Research Foundation DFG (CRC/TR 412, 535081457; SFB 1709/1 2025, 533056198), the German Academic Exchange Service DAAD (SECAI, 57616814), the German Federal Joint Committee G-BA (TransplantKI, 01VSF21048), the European Union EU's Horizon Europe research and innovation programme (ODELIA, 101057091; GENIAL, 101096312), the European Research Council ERC (NADIR, 101114631), the National Institutes of Health NIH (EPICO, R01 CA263318), and the National Institute for Health and Care Research NIHR (Leeds Biomedical Research Centre, NIHR203331). The views expressed are those of the author(s) and not necessarily those of the NHS, the NIHR, or the Department of Health and Social Care. This work was funded by the European Union. Views and opinions expressed are, however, those of the author(s) only and do not necessarily reflect those of the European Union. Neither the European Union nor the granting authority can be held responsible for them. Open Access funding enabled and organized by Projekt DEAL.</t>
  </si>
  <si>
    <t>[Wienholt, Patrick; Caselitz, Sophie; Siepmann, Robert; Nebelung, Sven; Truhn, Daniel] Univ Hosp RWTH Aachen, Dept Diagnost &amp; Intervent Radiol, Lab Artificial Intelligence Med, Aachen, Germany; [Wienholt, Patrick; Caselitz, Sophie; Siepmann, Robert; Bruners, Philipp; Kuhl, Christiane; Nebelung, Sven; Truhn, Daniel] Univ Hosp RWTH Aachen, Dept Diagnost &amp; Intervent Radiol, Aachen, Germany; [Bressem, Keno] Tech Univ Munich, TUM Univ Hosp, Dept Diagnost &amp; Intervent Radiol, Sch Med &amp; Hlth,Klinikum rechts der Isar, Munich, Germany; [Bressem, Keno] Tech Univ Munich, TUM Univ Hosp, German Heart Ctr, Sch Med &amp; Hlth,Dept Cardiovasc Radiol &amp; Nucl Med, Munich, Germany; [Kather, Jakob Nikolas] TUD Dresden Univ Technol, Fac Med, Else Kroener Fresenius Ctr Digital Hlth, Dresden, Germany; [Kather, Jakob Nikolas] TUD Dresden Univ Technol, Univ Hosp Carl Gustav Carus, Dresden, Germany; [Kather, Jakob Nikolas] TUD Dresden Univ Technol, Fac Med, Dept Med 1, Dresden, Germany; [Kather, Jakob Nikolas] Univ Leeds, Leeds Inst Med Res St Jamess, Pathol &amp; Data Analyt, Leeds, England; [Kather, Jakob Nikolas] Univ Hosp Heidelberg, Natl Ctr Tumor Dis NCT, Med Oncol, Heidelberg, Germany</t>
  </si>
  <si>
    <t>RWTH Aachen University; RWTH Aachen University Hospital; RWTH Aachen University; RWTH Aachen University Hospital; Technical University of Munich; German Heart Centre Munich; Technical University of Munich; Technische Universitat Dresden; Technische Universitat Dresden; Carl Gustav Carus University Hospital; Technische Universitat Dresden; University of Leeds; Ruprecht Karls University Heidelberg; Helmholtz Association; National Center for Tumor Diseases; German Cancer Research Center (DKFZ)</t>
  </si>
  <si>
    <t>Hallucination filtering in radiology vision-language models using discrete semantic entropy</t>
  </si>
  <si>
    <t>EUROPEAN RADIOLOGY</t>
  </si>
  <si>
    <t>Entropy; Generative artificial intelligence; Image interpretation (Computer-assisted); Diagnostic imaging; Data accuracy</t>
  </si>
  <si>
    <t>Kather, Jakob Nikolas/D-4279-2015; Truhn, Daniel/AAG-9359-2021; Kuhl, Christiane/H-3301-2013; Bressem, Keno/AAX-8241-2020; Bruners, Philipp/AAK-9165-2021; Nebelung, Sven/ACI-2600-2022</t>
  </si>
  <si>
    <t>Kather, Jakob Nikolas/0000-0002-3730-5348; Wienholt, Patrick/0009-0007-8350-4288</t>
  </si>
  <si>
    <t>24</t>
  </si>
  <si>
    <t>0938-7994</t>
  </si>
  <si>
    <t>1432-1084</t>
  </si>
  <si>
    <t>EUR RADIOL</t>
  </si>
  <si>
    <t>Eur. Radiol.</t>
  </si>
  <si>
    <t>10.1007/s00330-026-12384-z</t>
  </si>
  <si>
    <t>http://dx.doi.org/10.1007/s00330-026-12384-z</t>
  </si>
  <si>
    <t>EA9GK</t>
  </si>
  <si>
    <t>41720937</t>
  </si>
  <si>
    <t>WOS:001696738200001</t>
  </si>
  <si>
    <t>Lee, JT; Li, VCS; Wu, JJ; Chen, HH; Su, SSY; Chang, BPH; Lai, RL; Liu, CH; Chen, CT; Tanapima, V; Shen, TKB; Atun, R</t>
  </si>
  <si>
    <t>Stroke is a leading cause of global morbidity and mortality, disproportionately impacting lower socioeconomic groups. In this study, we evaluated three generative LLMs-GPT, Claude, and Gemini-across four stages of stroke care: prevention, diagnosis, treatment, and rehabilitation. Using three prompt engineering techniques-Zero-Shot Learning (ZSL), Chain of Thought (COT), and Talking Out Your Thoughts (TOT)-we applied each to realistic stroke scenarios. Clinical experts assessed the outputs across five domains: (1) accuracy; (2) hallucinations; (3) specificity; (4) empathy; and (5) actionability, based on clinical competency benchmarks. Overall, the LLMs demonstrated suboptimal performance with inconsistent scores across domains. Each prompt engineering method showed strengths in specific areas: TOT does well in empathy and actionability, COT was strong in structured reasoning during diagnosis, and ZSL provided concise, accurate responses with fewer hallucinations, especially in the Treatment stage. However, none consistently met high clinical standards across all stroke care stages.</t>
  </si>
  <si>
    <t>Lee, John Tayu; Li, Vincent Cheng-Sheng; Wu, Jia-Jyun; Chen, Hsiao-Hui; Su, Sophia Sin-Yu; Chang, Brian Pin-Hsuan; Lai, Richard Lee; Liu, Chi-Hung; Chen, Chung-Ting; Tanapima, Valis; Shen, Toby Kai-Bo; Atun, Rifat</t>
  </si>
  <si>
    <t>Lee, JT (corresponding author), Harvard Univ, Harvard TH Chan Sch Publ Hlth, Dept Global Hlth &amp; Populat, Boston, MA 02115 USA.; Lee, JT (corresponding author), Natl Taiwan Univ, Inst Hlth Policy &amp; Management, Coll Publ Hlth, Taipei, Taiwan.</t>
  </si>
  <si>
    <t>johntayulee@ntu.edu.tw</t>
  </si>
  <si>
    <t>Yushan Fellow Program by Ministry of Education (MOE), Taiwan : John Tayu Lee; Ministry of Education, Taiwan, through the Mount Jade Fellowship [MOE-112-YSFMN-0003-002-P1]; Mount Jade Project Yushan Fellow Program</t>
  </si>
  <si>
    <t>Yushan Fellow Program by Ministry of Education (MOE), Taiwan : John Tayu Lee; Ministry of Education, Taiwan, through the Mount Jade Fellowship; Mount Jade Project Yushan Fellow Program</t>
  </si>
  <si>
    <t>We acknowledge the developers and contributors of the LLM platforms and our colleagues for their valuable feedback. This work was funded by the Ministry of Education, Taiwan, through the Mount Jade Fellowship and the Mount Jade Project Yushan Fellow Program (MOE-112-YSFMN-0003-002-P1).</t>
  </si>
  <si>
    <t>[Lee, John Tayu; Atun, Rifat] Harvard Univ, Harvard TH Chan Sch Publ Hlth, Dept Global Hlth &amp; Populat, Boston, MA 02115 USA; [Lee, John Tayu; Li, Vincent Cheng-Sheng; Wu, Jia-Jyun; Chen, Hsiao-Hui; Chang, Brian Pin-Hsuan; Chen, Chung-Ting; Tanapima, Valis; Shen, Toby Kai-Bo] Natl Taiwan Univ, Inst Hlth Policy &amp; Management, Coll Publ Hlth, Taipei, Taiwan; [Wu, Jia-Jyun] Taichung Vet Gen Hosp, Dept Family Med, Taichung, Taiwan; [Su, Sophia Sin-Yu] Natl Taiwan Univ, Inst Hlth Data Analyt &amp; Stat, Taipei, Taiwan; [Chang, Brian Pin-Hsuan] MacKay Childrens Hosp, Dept Pediat, Taipei City, Taiwan; [Chang, Brian Pin-Hsuan] Taipei Med Univ, Grad Inst Hlth &amp; Biotechnol Law, Taipei City, Taiwan; [Lai, Richard Lee] Natl Taiwan Univ, Grad Inst Biomed Elect &amp; Bioinformat, Taipei, Taiwan; [Liu, Chi-Hung] Chang Gung Mem Hosp, Stroke Ctr, Linkou Med Ctr, Taipei, Taiwan; [Liu, Chi-Hung] Chang Gung Mem Hosp, Linkou Med Ctr, Dept Neurol, Taipei, Taiwan; [Liu, Chi-Hung] Chang Gung Univ, Sch Med, Taoyuan, Taiwan; [Chen, Chung-Ting] Natl Yang Ming Chiao Tung Univ, Sch Med, Taipei, Taiwan; [Tanapima, Valis] Cheng Hsin Gen Hosp, Dept Emergency &amp; Crit Care Med, Taipei, Taiwan</t>
  </si>
  <si>
    <t>Harvard University; Harvard T.H. Chan School of Public Health; National Taiwan University; Taichung Veterans General Hospital; National Taiwan University; Taipei Medical University; National Taiwan University; Chang Gung Memorial Hospital; Chang Gung Memorial Hospital; Chang Gung University; National Yang Ming Chiao Tung University; Cheng Hsin General Hospital</t>
  </si>
  <si>
    <t>Evaluation of performance of generative large language models for stroke care</t>
  </si>
  <si>
    <t>SOCIOECONOMIC-STATUS</t>
  </si>
  <si>
    <t>Atun, Rifat/AAH-5537-2021</t>
  </si>
  <si>
    <t>Shen, Toby Kai-Bo/0009-0001-8675-0640; Li, Vincent Cheng-Sheng/0009-0006-8719-1699</t>
  </si>
  <si>
    <t>JUL 29 2025</t>
  </si>
  <si>
    <t>481</t>
  </si>
  <si>
    <t>10.1038/s41746-025-01830-9</t>
  </si>
  <si>
    <t>http://dx.doi.org/10.1038/s41746-025-01830-9</t>
  </si>
  <si>
    <t>5LV5E</t>
  </si>
  <si>
    <t>40730644</t>
  </si>
  <si>
    <t>WOS:001538753100003</t>
  </si>
  <si>
    <t>Parente, DJ</t>
  </si>
  <si>
    <t>Generative artificial intelligence and large language models are the continuation of a technological revolution in information processing that began with the invention of the transistor in 1947. These technologies, driven by transformer architectures for artificial neural networks, are poised to broadly influence society. It is already apparent that these technologies will be adapted to drive innovation in education. Medical education is a high-risk activity: Information that is incorrectly taught to a student may go unrecognized for years until a relevant clinical situation appears in which that error can lead to patient harm. In this article, I discuss the principal limitations to the use of generative artificial intelligence in medical education-hallucination, bias, cost, and security-and suggest some approaches to confronting these problems. Additionally, I identify the potential applications of generative artificial intelligence to medical education, including personalized instruction, simulation, feedback, evaluation, augmentation of qualitative research, and performance of critical assessment of the existing scientific literature.</t>
  </si>
  <si>
    <t>Parente, Daniel J.</t>
  </si>
  <si>
    <t>Parente, DJ (corresponding author), Univ Kansas, Med Ctr, Dept Family Med &amp; Community Hlth, Kansas City, KS 66160 USA.</t>
  </si>
  <si>
    <t>dparente@kumc.edu</t>
  </si>
  <si>
    <t>[Parente, Daniel J.] Univ Kansas, Med Ctr, Dept Family Med &amp; Community Hlth, Kansas City, KS 66160 USA</t>
  </si>
  <si>
    <t>University of Kansas; University of Kansas Medical Center</t>
  </si>
  <si>
    <t>Generative Artificial Intelligence and Large Language Models in Primary Care Medical Education</t>
  </si>
  <si>
    <t>FAMILY MEDICINE</t>
  </si>
  <si>
    <t>artificial intelligence; curriculum development; graduate medical education; information technology; undergraduate medical education</t>
  </si>
  <si>
    <t>FAMILY MEDICINE; RACIAL BIAS; HEALTH; DISPARITIES; QUALITY; CHATGPT</t>
  </si>
  <si>
    <t>Parente, Daniel/AAM-3887-2021</t>
  </si>
  <si>
    <t>71</t>
  </si>
  <si>
    <t>SOC TEACHERS FAMILY MEDICINE</t>
  </si>
  <si>
    <t>LEAWOOD</t>
  </si>
  <si>
    <t>11400 TOMAHAWK CREEK PARKWAY, STE 540, LEAWOOD, KS 66207 USA</t>
  </si>
  <si>
    <t>0742-3225</t>
  </si>
  <si>
    <t>1938-3800</t>
  </si>
  <si>
    <t>FAM MED</t>
  </si>
  <si>
    <t>Fam. Med.</t>
  </si>
  <si>
    <t>534</t>
  </si>
  <si>
    <t>540</t>
  </si>
  <si>
    <t>10.22454/FamMed.2024.775525</t>
  </si>
  <si>
    <t>http://dx.doi.org/10.22454/FamMed.2024.775525</t>
  </si>
  <si>
    <t>Primary Health Care; Medicine, General &amp; Internal</t>
  </si>
  <si>
    <t>K0Q6N</t>
  </si>
  <si>
    <t>39207784</t>
  </si>
  <si>
    <t>WOS:001341020900002</t>
  </si>
  <si>
    <t>Qian, Q</t>
  </si>
  <si>
    <t>Background: Large language models (LLMs) have shown substantial promise in patient-trial matching, but most published studies still evaluate the performance under controlled technical conditions rather than within real recruitment workflows. Less is known about how LLM-enabled clinical artificial intelligence (AI) systems should be embedded into organizational settings where privacy constraints, human oversight, patient-facing concerns, and governance costs shape deployment outcomes. Objective: This study develops a theory-grounded conceptual framework for analyzing how LLM-enabled clinical AI can be integrated into clinical trial recruitment workflows and how such integration affects operational, governance, and economic outcomes. Methods: Using structured conceptual analysis and targeted evidence synthesis, the study draws on recent literature on LLM-based patient matching, human-AI collaboration in clinical settings, and clinical AI governance. Sociotechnical systems theory and transaction cost economics are integrated to build the LLM-Embedded Clinical Recruitment Architecture (LECRA) and to derive 6 testable propositions. Results: LECRA conceptualizes recruitment as a closed-loop sociotechnical and economic system, spanning data complexity, model configuration and processing, human-AI collaboration, and economic and governance consequences. The revised framework identifies privacy constraints, hallucination risk, bias, patient trust, oversight intensity, and regulatory validation costs as key moderators of performance. It also reframes recruitment performance as a multidimensional construct and outlines an empirical roadmap for future testing. Conclusions: LECRA offers a more deployment-sensitive account of when LLM-enabled recruitment is likely to create value and when the benefits may be offset by coordination, compliance, or trust-related frictions. This framework is intended to support future empirical studies and more realistic implementation decisions rather than to claim validated superiority of LLM-assisted recruitment.</t>
  </si>
  <si>
    <t>Qian, Qian</t>
  </si>
  <si>
    <t>Qian, Q (corresponding author), Hong Kong Polytech Univ, Fac Engn, Dept Ind &amp; Syst Engn, Hung Hom,Kowloon, Room EF625,Core F,Main Campus, Hong Kong, Peoples R China.</t>
  </si>
  <si>
    <t>alfred.qian@connect.polyu.hk</t>
  </si>
  <si>
    <t>[Qian, Qian] Hong Kong Polytech Univ, Fac Engn, Dept Ind &amp; Syst Engn, Hong Kong, Peoples R China</t>
  </si>
  <si>
    <t>Hong Kong Polytechnic University</t>
  </si>
  <si>
    <t>Large Language Models in Clinical Trial Recruitment: Sociotechnical and Economic Framework Development Study</t>
  </si>
  <si>
    <t>JMIR AI</t>
  </si>
  <si>
    <t>clinical trials; artificial intelligence; large language models; patient selection; sociotechnical systems; transaction cost economics; human-AI collaboration; clinical AI; governance</t>
  </si>
  <si>
    <t>2817-1705</t>
  </si>
  <si>
    <t>e95899</t>
  </si>
  <si>
    <t>10.2196/95899</t>
  </si>
  <si>
    <t>http://dx.doi.org/10.2196/95899</t>
  </si>
  <si>
    <t>JK4SB</t>
  </si>
  <si>
    <t>42160468</t>
  </si>
  <si>
    <t>WOS:001791462500001</t>
  </si>
  <si>
    <t>Wang, Z; Gao, JY; Danek, B; Theodorou, B; Shaik, R; Thati, S; Won, S; Sun, J</t>
  </si>
  <si>
    <t>Objectives Large language models' (LLMs') performance in high-stakes, compliance-driven settings such as drafting clinical research documents remains underexplored. This study aims to build a benchmark and an evaluation framework for assessing LLMs' compliance and factuality in generating informed consent forms (ICFs) from clinical trial protocols.Materials and Methods We introduce InformBench, a benchmark comprising 900 clinical trial documents, and propose an evaluation framework grounded in regulatory guidelines and site-specific consent templates. We assess LLM performance on transforming trial protocols, often hundreds of pages, into concise, patient-facing ICFs. Additionally, we design InformGen, a retrieval-augmented, human-in-the-loop pipeline aimed at improving generation quality.Results Baseline LLMs such as GPT-4o achieved only 70%-80% compliance and exhibited factual errors in 18%-43% of cases. In contrast, InformGen substantially improved outputs, achieving nearly 100% regulatory compliance and over 90% factual accuracy, as validated by 5 domain-expert annotators.Discussion The study reveals critical limitations in current LLMs for clinical research document drafting, particularly in regulatory sensitivity and factual grounding. Our results highlight the need for domain-specific benchmarks and structured evaluations to support safe deployment in real-world clinical research workflows.Conclusion LLMs offer value in clinical research document generation but must be adapted and rigorously evaluated for high-stakes applications. Our benchmark and framework provide a foundation for improving and assessing LLM-generated outputs in compliance-critical domains.</t>
  </si>
  <si>
    <t>Wang, Zifeng; Gao, Junyi; Danek, Benjamin; Theodorou, Brandon; Shaik, Ruba; Thati, Shivashankar; Won, Seunghyun; Sun, Jimeng</t>
  </si>
  <si>
    <t>Wang, Z; Sun, J (corresponding author), Keiji AI, 6529 25th Ave NE, Seattle, WA 98115 USA.; Sun, J (corresponding author), Univ Illinois, Siebel Sch Comp &amp; Data Sci, 201 North Goodwin Ave, Urbana, IL 61801 USA.</t>
  </si>
  <si>
    <t>zifeng@keiji.ai; jimeng@illinois.edu</t>
  </si>
  <si>
    <t>NSF [SCH-2205289, SCH-2014438, IIS-2034479]</t>
  </si>
  <si>
    <t>NSF (National Science Foundation (NSF))</t>
  </si>
  <si>
    <t>J.S. was partially supported by NSF awards SCH-2205289, SCH-2014438, and IIS-2034479.</t>
  </si>
  <si>
    <t>[Wang, Zifeng; Danek, Benjamin; Theodorou, Brandon; Sun, Jimeng] Keiji AI, 6529 25th Ave NE, Seattle, WA 98115 USA; [Gao, Junyi] Univ Edinburgh, Usher Inst, Ctr Med Informat, Edinburgh EH3 9DR, Scotland; [Shaik, Ruba; Sun, Jimeng] Univ Illinois, Carle Illinois Coll Med, Urbana, IL 61801 USA; [Thati, Shivashankar; Sun, Jimeng] Univ Illinois, Siebel Sch Comp &amp; Data Sci, 201 North Goodwin Ave, Urbana, IL 61801 USA; [Won, Seunghyun] Seoul Natl Univ, Bundang Hosp, Med Res Collaborating Ctr, Gyeonggi 13620, South Korea</t>
  </si>
  <si>
    <t>University of Edinburgh; University of Illinois System; University of Illinois Urbana-Champaign; University of Illinois System; University of Illinois Urbana-Champaign; Seoul National University (SNU); Seoul National University Hospital</t>
  </si>
  <si>
    <t>Compliance and factuality of large language models for clinical research document generation</t>
  </si>
  <si>
    <t>JOURNAL OF THE AMERICAN MEDICAL INFORMATICS ASSOCIATION</t>
  </si>
  <si>
    <t>clinical trials; large language model; informed consent form; clinical trial protocol</t>
  </si>
  <si>
    <t>Gao, Junyi/JXN-5524-2024; won, seunghyun/PFJ-6100-2025; Thati, Shivashankar/JED-6068-2023</t>
  </si>
  <si>
    <t>Wang, Zifeng/0000-0002-3026-9970; Gao, Junyi/0000-0002-4951-8682</t>
  </si>
  <si>
    <t>1067-5027</t>
  </si>
  <si>
    <t>1527-974X</t>
  </si>
  <si>
    <t>J AM MED INFORM ASSN</t>
  </si>
  <si>
    <t>J. Am. Med. Inf. Assoc.</t>
  </si>
  <si>
    <t>563</t>
  </si>
  <si>
    <t>572</t>
  </si>
  <si>
    <t>10.1093/jamia/ocaf174</t>
  </si>
  <si>
    <t>http://dx.doi.org/10.1093/jamia/ocaf174</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</si>
  <si>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</si>
  <si>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</si>
  <si>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EY2TU</t>
  </si>
  <si>
    <t>41144289</t>
  </si>
  <si>
    <t>WOS:001600523400001</t>
  </si>
  <si>
    <t>Alber, DA; Yang, ZH; Alyakin, A; Yang, E; Rai, S; Valliani, AA; Zhang, J; Rosenbaum, GR; Amend-Thomas, AK; Kurland, DB; Kremer, CM; Eremiev, A; Negash, B; Wiggan, DD; Nakatsuka, MA; Sangwon, KL; Neifert, SN; Khan, HA; Save, AV; Palla, A; Grin, EA; Hedman, M; Nasir-Moin, M; Liu, XC; Jiang, LY; Mankowski, MA; Segev, DL; Aphinyanaphongs, Y; Riina, HA; Golfinos, JG; Orringer, DA; Kondziolka, D; Oermann, EK</t>
  </si>
  <si>
    <t>The adoption of large language models (LLMs) in healthcare demands a careful analysis of their potential to spread false medical knowledge. Because LLMs ingest massive volumes of data from the open Internet during training, they are potentially exposed to unverified medical knowledge that may include deliberately planted misinformation. Here, we perform a threat assessment that simulates a data-poisoning attack against The Pile, a popular dataset used for LLM development. We find that replacement of just 0.001% of training tokens with medical misinformation results in harmful models more likely to propagate medical errors. Furthermore, we discover that corrupted models match the performance of their corruption-free counterparts on open-source benchmarks routinely used to evaluate medical LLMs. Using biomedical knowledge graphs to screen medical LLM outputs, we propose a harm mitigation strategy that captures 91.9% of harmful content (F1 = 85.7%). Our algorithm provides a unique method to validate stochastically generated LLM outputs against hard-coded relationships in knowledge graphs. In view of current calls for improved data provenance and transparent LLM development, we hope to raise awareness of emergent risks from LLMs trained indiscriminately on web-scraped data, particularly in healthcare where misinformation can potentially compromise patient safety.</t>
  </si>
  <si>
    <t>Alber, Daniel Alexander; Yang, Zihao; Alyakin, Anton; Yang, Eunice; Rai, Sumedha; Valliani, Aly A.; Zhang, Jeff; Rosenbaum, Gabriel R.; Amend-Thomas, Ashley K.; Kurland, David B.; Kremer, Caroline M.; Eremiev, Alexander; Negash, Bruck; Wiggan, Daniel D.; Nakatsuka, Michelle A.; Sangwon, Karl L.; Neifert, Sean N.; Khan, Hammad A.; Save, Akshay Vinod; Palla, Adhith; Grin, Eric A.; Hedman, Monika; Nasir-Moin, Mustafa; Liu, Xujin Chris; Jiang, Lavender Yao; Mankowski, Michal A.; Segev, Dorry L.; Aphinyanaphongs, Yindalon; Riina, Howard A.; Golfinos, John G.; Orringer, Daniel A.; Kondziolka, Douglas; Oermann, Eric Karl</t>
  </si>
  <si>
    <t>Alber, DA (corresponding author), NYU Langone Hlth, Dept Neurosurg, New York, NY 10016 USA.; Alber, DA (corresponding author), NYU, Grossman Sch Med, New York, NY 10016 USA.</t>
  </si>
  <si>
    <t>daniel.alber@nyulangone.org</t>
  </si>
  <si>
    <t>Neurosurgery Research and Education Foundation -- Medical Student Summer Research Fellowship 2023 [3P30CA016087-41S1]; National Cancer Institute's Early Surgeon Scientist Program; W.M. Keck Foundation</t>
  </si>
  <si>
    <t>Neurosurgery Research and Education Foundation -- Medical Student Summer Research Fellowship 2023; National Cancer Institute's Early Surgeon Scientist Program; W.M. Keck Foundation (W.M. Keck Foundation)</t>
  </si>
  <si>
    <t>E.K.O. is supported by the National Cancer Institute's Early Surgeon Scientist Program (3P30CA016087-41S1; E.K.O.) and the W.M. Keck Foundation. We acknowledge N. Mherabi and D. Bar-Sagi, whose shared enthusiasm and support of medical AI research has made this possible. We appreciate the informal input from mentors, colleagues and laboratory members who are not individually acknowledged. We thank M. Constantino, K. Yie and the rest of the NYU Langone High-Performance Computing Team, who supported the computing resources fundamental to our work. We thank H. Grover and the NYU Langone Generative AI team for providing access to OpenAI resources. Last, we thank the NYU Langone Predictive Analytics Unit for their teamwork and collaboration in making AI technologies a reality at NYU.</t>
  </si>
  <si>
    <t>[Alber, Daniel Alexander; Yang, Zihao; Alyakin, Anton; Yang, Eunice; Rai, Sumedha; Valliani, Aly A.; Zhang, Jeff; Rosenbaum, Gabriel R.; Amend-Thomas, Ashley K.; Kurland, David B.; Kremer, Caroline M.; Eremiev, Alexander; Negash, Bruck; Wiggan, Daniel D.; Nakatsuka, Michelle A.; Sangwon, Karl L.; Neifert, Sean N.; Khan, Hammad A.; Save, Akshay Vinod; Palla, Adhith; Grin, Eric A.; Hedman, Monika; Nasir-Moin, Mustafa; Liu, Xujin Chris; Jiang, Lavender Yao; Riina, Howard A.; Golfinos, John G.; Orringer, Daniel A.; Kondziolka, Douglas; Oermann, Eric Karl] NYU Langone Hlth, Dept Neurosurg, New York, NY 10016 USA; [Alber, Daniel Alexander; Kremer, Caroline M.; Eremiev, Alexander; Negash, Bruck; Wiggan, Daniel D.; Nakatsuka, Michelle A.; Sangwon, Karl L.; Palla, Adhith; Grin, Eric A.] NYU, Grossman Sch Med, New York, NY 10016 USA; [Yang, Zihao; Rai, Sumedha; Jiang, Lavender Yao; Oermann, Eric Karl] NYU, Ctr Data Sci, New York, NY USA; [Alyakin, Anton] Washington Univ, Sch Med, St Louis, MO USA; [Yang, Eunice] Columbia Univ Vagelos Coll Phys &amp; Surg, New York, NY USA; [Zhang, Jeff; Segev, Dorry L.; Aphinyanaphongs, Yindalon] NYU Langone Hlth, Dept Populat Hlth, New York, NY USA; [Zhang, Jeff; Aphinyanaphongs, Yindalon] NYU Langone Hlth, MCIT Dept Hlth Informat, Div Appl Technol, New York, NY USA; [Nasir-Moin, Mustafa] Harvard Med Sch, Boston, MA USA; [Liu, Xujin Chris] NYU Tandon Sch Engn, Dept Elect &amp; Comp Engn, New York, NY USA; [Mankowski, Michal A.; Segev, Dorry L.] NYU Langone Hlth, Dept Surg, New York, NY USA; [Riina, Howard A.; Oermann, Eric Karl] NYU Langone Hlth, Dept Radiol, New York, NY USA; [Golfinos, John G.] NYU Langone Hlth, Dept Otolaryngol Head &amp; Neck Surg, New York, NY USA; [Orringer, Daniel A.] NYU Langone Hlth, Dept Pathol, New York, NY USA; [Kondziolka, Douglas] NYU Langone Hlth, Dept Radiat Oncol, New York, NY USA; [Oermann, Eric Karl] NYU Langone Hlth, Neurosci Inst, New York, NY USA</t>
  </si>
  <si>
    <t>NYU Langone Medical Center; New York University; New York University; Washington University (WUSTL); Columbia University; NYU Langone Medical Center; NYU Langone Medical Center; Harvard University; Harvard Medical School; New York University; New York University Tandon School of Engineering; NYU Langone Medical Center; NYU Langone Medical Center; NYU Langone Medical Center; NYU Langone Medical Center; NYU Langone Medical Center; NYU Langone Medical Center</t>
  </si>
  <si>
    <t>Medical large language models are vulnerable to data-poisoning attacks</t>
  </si>
  <si>
    <t>NATURE MEDICINE</t>
  </si>
  <si>
    <t>Segev, Dorry/JOZ-4365-2023; Oermann, Eric/AAD-9729-2020; Kurland, David/GVT-2707-2022</t>
  </si>
  <si>
    <t>Yang, Eunice/0009-0009-0896-0034; Grin, Eric/0009-0005-0369-9704; Yang, Zihao/0009-0002-5921-3468; Orringer, Daniel/0000-0001-6427-8376; Kurland, David/0000-0002-4074-7497; Zhang, Jeff/0009-0000-7276-7962</t>
  </si>
  <si>
    <t>131</t>
  </si>
  <si>
    <t>148</t>
  </si>
  <si>
    <t>93</t>
  </si>
  <si>
    <t>1078-8956</t>
  </si>
  <si>
    <t>1546-170X</t>
  </si>
  <si>
    <t>NAT MED</t>
  </si>
  <si>
    <t>Nat. Med.</t>
  </si>
  <si>
    <t>FEB 2025</t>
  </si>
  <si>
    <t>618</t>
  </si>
  <si>
    <t>626</t>
  </si>
  <si>
    <t>10.1038/s41591-024-03445-1</t>
  </si>
  <si>
    <t>http://dx.doi.org/10.1038/s41591-024-03445-1</t>
  </si>
  <si>
    <t>Biochemistry &amp; Molecular Biology; Cell Biology; Medicine, Research &amp; Experimental</t>
  </si>
  <si>
    <t>Biochemistry &amp; Molecular Biology; Cell Biology; Research &amp; Experimental Medicine</t>
  </si>
  <si>
    <t>X4V8E</t>
  </si>
  <si>
    <t>39779928</t>
  </si>
  <si>
    <t>WOS:001391708900001</t>
  </si>
  <si>
    <t>Srinivasu, PN; Samudrala, A; Devesh, PG; Reddy, SA; Nuaim, AA</t>
  </si>
  <si>
    <t>Simplifying medical language is vital for effective healthcare communication, as patients often find it hard to understand complex clinical terms and lengthy, information-rich sentences. Recent advances in natural language processing (NLP) have led to powerful large language models(LLMs). However, their application in the medical domain remains constrained by substantial computational and hardware requirements. In this work, we investigate parameter-efficient fine-tuning strategies to adapt LLMs for simplifying clinical text while maintaining semantic fidelity and factual accuracy. Using Quantized Low-Rank Adaptation (QLoRA), we fine-tuned the Llama-3.1-8B-Instruct model on the Med-EASi and Cochrane datasets, achieving substantial gains in readability while preserving medical meaning. We evaluate multiple adapter designs, including Lightweight LoRA, TinyAttention, and standard LoRA with rank-4 decomposition, to analyze their effectiveness for domain-specific simplification tasks. Through 4-bit quantization of the base model combined with trainable low-rank adapters, the overall memory footprint is reduced by nearly an order of magnitude, enabling efficient fine-tuning on a single consumer-grade GPU. Our fine-tuned model achieves a Flesch-Kincaid grade level of 7.6 for MedEASI and 11.06 for the Cochrane dataset, along with an Automated Readability Index of 8.7 for MedEASI and 9.63 for the Cochrane dataset. Additionally, the model achieves BERTScore values of 0.845 and 0.864 on the MedEASI and Cochrane datasets, respectively, while improving reading-ease by +76.2 and +57.3 points over the source texts. Experimental results demonstrate improved simplification performance relative to selected baseline systems while preserving semantic similarity. These findings show that parameter-efficient fine-tuning methods can achieve performance comparable to full fine-tuning while significantly reducing computational cost. This efficiency supports deployment in resource-constrained healthcare settings and may improve patient access to complex clinical information.</t>
  </si>
  <si>
    <t>Srinivasu, Parvathaneni Naga; Samudrala, Akshar; Devesh, Pinapati Gagan; Reddy, Surakanti Advaith; Nuaim, Ahmed Al</t>
  </si>
  <si>
    <t>Srinivasu, PN (corresponding author), Amrita Vishwa Vidyapeetham, Amrita Sch Comp, Amaravati 522503, Andhra Pradesh, India.; Nuaim, AA (corresponding author), King Faisal Univ, Sch Business, Dept Management Informat Syst, Al Ahsa 31982, Saudi Arabia.</t>
  </si>
  <si>
    <t>av.en.u4aie22003@av.students.amrita.edu; av.en.u4aie22037@av.students.amrita.edu; av.en.u4aie22027@av.students.amrita.edu; p_nagasrinivasu@av.amrita.edu; aaalnuaim@kfu.edu.sa</t>
  </si>
  <si>
    <t>Amrita Vishwa Vidyapeetham, Amaravati</t>
  </si>
  <si>
    <t>Open access funding provided by Amrita Vishwa Vidyapeetham.</t>
  </si>
  <si>
    <t>[Srinivasu, Parvathaneni Naga; Samudrala, Akshar; Devesh, Pinapati Gagan; Reddy, Surakanti Advaith] Amrita Vishwa Vidyapeetham, Amrita Sch Comp, Amaravati 522503, Andhra Pradesh, India; [Nuaim, Ahmed Al] King Faisal Univ, Sch Business, Dept Management Informat Syst, Al Ahsa 31982, Saudi Arabia</t>
  </si>
  <si>
    <t>Amrita Vishwa Vidyapeetham; King Faisal University</t>
  </si>
  <si>
    <t>Quantized Low-Rank Adaptation in Large Language Models for Clinical Text Simplification</t>
  </si>
  <si>
    <t>INTERNATIONAL JOURNAL OF COMPUTATIONAL INTELLIGENCE SYSTEMS</t>
  </si>
  <si>
    <t>QLoRA; Low-rank adaptation; Large language models; Natural language processing</t>
  </si>
  <si>
    <t>Srinivasu, Parvathaneni/AAN-9082-2021</t>
  </si>
  <si>
    <t>SPRINGERNATURE</t>
  </si>
  <si>
    <t>THE CAMPUS, 4 CRINAN ST, LONDON, N1 9XW, ENGLAND</t>
  </si>
  <si>
    <t>1875-6891</t>
  </si>
  <si>
    <t>1875-6883</t>
  </si>
  <si>
    <t>INT J COMPUT INT SYS</t>
  </si>
  <si>
    <t>Int. J. Comput. Intell. Syst.</t>
  </si>
  <si>
    <t>JUN 10 2026</t>
  </si>
  <si>
    <t>267</t>
  </si>
  <si>
    <t>10.1007/s44196-026-01402-z</t>
  </si>
  <si>
    <t>http://dx.doi.org/10.1007/s44196-026-01402-z</t>
  </si>
  <si>
    <t>KR2DT</t>
  </si>
  <si>
    <t>WOS:001813670900001</t>
  </si>
  <si>
    <t>Li, Z; Li, FH; Wang, XH; Fu, QN; Ren, W</t>
  </si>
  <si>
    <t>This viewpoint article first explores the ethical challenges associated with the future application of large language models (LLMs)in the context of medical education. These challenges include not only ethical concerns related to the development of LLMs,such as artificial intelligence (AI) hallucinations, information bias, privacy and data risks, and deficiencies in terms of transparencyand interpretability but also issues concerning the application of LLMs, including deficiencies in emotional intelligence, educationalinequities, problems with academic integrity, and questions of responsibility and copyright ownership. This paper then analyzesexisting AI-related legal and ethical frameworks and highlights their limitations with regard to the application of LLMs in thecontext of medical education. To ensure that LLMs are integrated in a responsible and safe manner, the authors recommend thedevelopment of a unified ethical framework that is specifically tailored for LLMs in this field. This framework should be basedon 8 fundamental principles: quality control and supervision mechanisms; privacy and data protection; transparency andinterpretability; fairness and equal treatment; academic integrity and moral norms; accountability and traceability; protection andrespect for intellectual property; and the promotion of educational research and innovation. The authors further discuss specificmeasures that can be taken to implement these principles, thereby laying a solid foundation for the development of a comprehensiveand actionable ethical framework. Such a unified ethical framework based on these 8 fundamental principles can provide clearguidance and support for the application of LLMs in the context of medical education. This approach can help establish a balancebetween technological advancement and ethical safeguards, thereby ensuring that medical education can progress withoutcompromising the principles of fairness, justice, or patient safety and establishing a more equitable, safer, and more efficientenvironment for medical education</t>
  </si>
  <si>
    <t>Li, Zhui; Li, Fenghe; Wang, Xuehu; Fu, Qining; Ren, Wei</t>
  </si>
  <si>
    <t>Ren, W (corresponding author), Chongqing Med Univ, Affiliated Hosp 1, Dept Vasc Surg, 1 Youyi Rd, Chongqing 400016, Peoples R China.</t>
  </si>
  <si>
    <t>renwei_2301@yeah.net</t>
  </si>
  <si>
    <t>We used the cross-language capabilities of ChatGPT-4 and ChatGPT-4o to enhance the language used in this paper. The revisionswere reviewed by all the authors and subsequently refined and polished by American Journal Experts to ensure publication quality.We thank Ms Ding Ding for her assistance in the literature search.</t>
  </si>
  <si>
    <t>[Li, Zhui; Li, Fenghe; Wang, Xuehu; Fu, Qining; Ren, Wei] Chongqing Med Univ, Affiliated Hosp 1, Dept Vasc Surg, 1 Youyi Rd, Chongqing 400016, Peoples R China</t>
  </si>
  <si>
    <t>Chongqing Medical University</t>
  </si>
  <si>
    <t>Ethical Considerations and Fundamental Principles of Large Language Models in Medical Education: Viewpoint</t>
  </si>
  <si>
    <t>medical education; artificial intelligence; large language models; AI; LLMs; ethics; academic integrity; privacy and data risks; data security; data protection; intellectual property rights; educational research; medical ethics</t>
  </si>
  <si>
    <t>ARTIFICIAL-INTELLIGENCE; PROMISE</t>
  </si>
  <si>
    <t>Li, Zhui/JFK-8281-2023</t>
  </si>
  <si>
    <t>Li, Zhui/0000-0003-3467-7063</t>
  </si>
  <si>
    <t>1439-4456</t>
  </si>
  <si>
    <t>AUG 1 2024</t>
  </si>
  <si>
    <t>e60083</t>
  </si>
  <si>
    <t>10.2196/60083</t>
  </si>
  <si>
    <t>http://dx.doi.org/10.2196/60083</t>
  </si>
  <si>
    <t>D6C9C</t>
  </si>
  <si>
    <t>38971715</t>
  </si>
  <si>
    <t>WOS:001297047500006</t>
  </si>
  <si>
    <t>van Koevorden, JW; Aben, N; Struben, V; Rollings, A; Kurban, M; Wessels, L; van der Noort, V; Burger, AVM; van Dijk, SW; Karssemakers, L; Smeele, L; Wouters, MWJM; Dirven, R</t>
  </si>
  <si>
    <t>Background: Health care professionals face increasing documentation burdens, which can compromise efficiency and patient safety. Large language models (LLMs) may offer a scalable solution by automating data extraction from unstructured clinical notes. This study evaluates the accuracy and clinical impact of structured data extraction by an LLM compared with manual extraction by physicians in the context of head and neck oncology consultations. Patients and methods: This was a prospective validation study comparing LLM-powered data extraction with manual extraction. Clinical documentation from 60 patients (1482 pages) was analyzed. Data were extracted for 29 clinically relevant categories by two physicians and a pretrained open-source LLM. Six clinical experts evaluated 2555 extracted values in a two-step procedure: first, a blinded binary Match/Non-Match assessment between LLM output and human consensus; and second, categorization of all Non-Matches into predefined error types (Incorrect, Incomplete, Missing, Hallucination, or Overcomplete). These expert-assigned labels formed the basis for accuracy, precision, recall, and F1 scores. Extraction times were compared using a paired Student's t-test, and error impact was scored on a 5-point Likert scale. Results: LLM-powered extraction achieved accuracies between 74% [pathology: 95% confidence interval (CI) 65% to 82%] and 90% (patient characteristics: 95% CI 87% to 94%). Manual extraction showed 29% interobserver disagreement (95% CI 25.19% to 32.74%). Of 2555 extracted values, 68 were rated as high-impact errors, although evaluator assessments varied widely. Hallucinations were rare (0.16%) and low impact. LLM extraction reduced average time per case from 8.6 minutes to 1.9 minutes (P &lt; 0.001). Conclusion: LLMs can support clinical workflows by reducing documentation time and maintaining acceptable accuracy, provided that human oversight is ensured. These findings support further exploration of AI-assisted documentation tools in clinical practice.</t>
  </si>
  <si>
    <t>van Koevorden, J. W.; Aben, N.; Struben, V.; Rollings, A.; Kurban, M.; Wessels, L.; van der Noort, V.; Burger, A. V. M.; van Dijk, S. W.; Karssemakers, L.; Smeele, L.; Wouters, M. W. J. M.; Dirven, R.</t>
  </si>
  <si>
    <t>van Koevorden, JW (corresponding author), Netherlands Canc Inst, Plesmanlaan 121, NL-1066CX Amsterdam, Netherlands.</t>
  </si>
  <si>
    <t>w.v.koevorden@nki.nl</t>
  </si>
  <si>
    <t>Top Sector Life Sciences &amp; Health (Healthsimilar toHolland) [50545-3]</t>
  </si>
  <si>
    <t>Top Sector Life Sciences &amp; Health (Healthsimilar toHolland)</t>
  </si>
  <si>
    <t>This work was supported by Top Sector Life Sciences &amp; Health (Health similar to Holland) [grant number 50545-3] .</t>
  </si>
  <si>
    <t>[van Koevorden, J. W.; Burger, A. V. M.; van Dijk, S. W.; Karssemakers, L.; Smeele, L.; Dirven, R.] Antoni Van Leeuwenhoek Netherlands Canc Inst, Dept Head &amp; Neck Surg, Amsterdam, Netherlands; [van Koevorden, J. W.; Wouters, M. W. J. M.] Leiden Univ, Dept Biomed Data Sci, Med Ctr, Leiden, Netherlands; [Aben, N.; Struben, V.; Rollings, A.; Kurban, M.] Kaiko Ai, Amsterdam, Netherlands; [Wessels, L.] Antoni Van Leeuwenhoek Netherlands Canc Inst, Dept Mol Carcinogenesis, Amsterdam, Netherlands; [van der Noort, V.] Antoni Van Leeuwenhoek Netherlands Canc Inst, Dept Biometr, Amsterdam, Netherlands; [Wouters, M. W. J. M.] Antoni Van Leeuwenhoek Netherlands Canc Inst, Dept Surg Oncol, Amsterdam, Netherlands; [Wouters, M. W. J. M.] Dutch Inst Clin Auditing, Leiden, Netherlands; [Dirven, R.] Radboud Univ Nijmegen, Med Ctr, Dept Otorhinolaryngol &amp; Head &amp; Neck Surg, Nijmegen, Netherlands; [van Koevorden, J. W.] Netherlands Canc Inst, Plesmanlaan 121, NL-1066CX Amsterdam, Netherlands</t>
  </si>
  <si>
    <t>Netherlands Cancer Institute; Leiden University; Leiden University - Excl LUMC; Leiden University Medical Center (LUMC); Netherlands Cancer Institute; Netherlands Cancer Institute; Netherlands Cancer Institute; Radboud University Nijmegen; Netherlands Cancer Institute</t>
  </si>
  <si>
    <t>Validating large language model-assisted data extraction from clinical notes</t>
  </si>
  <si>
    <t>ESMO REAL WORLD DATA AND DIGITAL ONCOLOGY</t>
  </si>
  <si>
    <t>administrative burden; information extraction; large language model (LLM); oncology; real-world data; validation</t>
  </si>
  <si>
    <t>ELECTRONIC HEALTH RECORDS; BURDEN; PHYSICIANS; NURSES</t>
  </si>
  <si>
    <t>2949-8201</t>
  </si>
  <si>
    <t>ESMO REAL WORLD DATA</t>
  </si>
  <si>
    <t>ESMO Real World Data Digit. Oncol.</t>
  </si>
  <si>
    <t>100718</t>
  </si>
  <si>
    <t>10.1016/j.esmorw.2026.100718</t>
  </si>
  <si>
    <t>http://dx.doi.org/10.1016/j.esmorw.2026.100718</t>
  </si>
  <si>
    <t>Oncology</t>
  </si>
  <si>
    <t>IE0AW</t>
  </si>
  <si>
    <t>42183150</t>
  </si>
  <si>
    <t>WOS:001769437400001</t>
  </si>
  <si>
    <t>Vaid, A; Duong, SQ; Lampert, J; Kovatch, P; Freeman, R; Argulian, E; Croft, L; Lerakis, S; Goldman, M; Khera, R; Nadkarni, GN</t>
  </si>
  <si>
    <t>Objectives The study developed framework that leverages an open-source Large Language Model (LLM) to enable clinicians to ask plain-language questions about a patient's entire echocardiogram report history. This approach is intended to streamline the extraction of clinical insights from multiple echocardiogram reports, particularly in patients with complex cardiac diseases, thereby enhancing both patient care and research efficiency.Materials and Methods Data from over 10 years were collected, comprising echocardiogram reports from patients with more than 10 echocardiograms on file at the Mount Sinai Health System. These reports were converted into a single document per patient for analysis, broken down into snippets and relevant snippets were retrieved using text similarity measures. The LLaMA-2 70B model was employed for analyzing the text using a specially crafted prompt. The model's performance was evaluated against ground-truth answers created by faculty cardiologists.Results The study analyzed 432 reports from 37 patients for a total of 100 question-answer pairs. The LLM correctly answered 90% questions, with accuracies of 83% for temporality, 93% for severity assessment, 84% for intervention identification, and 100% for diagnosis retrieval. Errors mainly stemmed from the LLM's inherent limitations, such as misinterpreting numbers or hallucinations.Conclusion The study demonstrates the feasibility and effectiveness of using a local, open-source LLM for querying and interpreting echocardiogram report data. This approach offers a significant improvement over traditional keyword-based searches, enabling more contextually relevant and semantically accurate responses; in turn showing promise in enhancing clinical decision-making and research by facilitating more efficient access to complex patient data.</t>
  </si>
  <si>
    <t>Vaid, Akhil; Duong, Son Q.; Lampert, Joshua; Kovatch, Patricia; Freeman, Robert; Argulian, Edgar; Croft, Lori; Lerakis, Stamatios; Goldman, Martin; Khera, Rohan; Nadkarni, Girish N.</t>
  </si>
  <si>
    <t>Vaid, A (corresponding author), Icahn Sch Med Mt Sinai, Dept Med, Div Data Driven &amp; Digital Med D3M, New York, NY 10128 USA.</t>
  </si>
  <si>
    <t>akhil.vaid@mssm.edu</t>
  </si>
  <si>
    <t>National Heart, Lung, &amp; Blood Institute [R01HL155915]; National Center for Advancing Clinical Sciences clinical and translational award for infrastructure [UL1TR004419]</t>
  </si>
  <si>
    <t>National Heart, Lung, &amp; Blood Institute (United States Department of Health &amp; Human Services, National Institutes of Health (NIH) - USA, NIH National Heart Lung &amp; Blood Institute (NHLBI)); National Center for Advancing Clinical Sciences clinical and translational award for infrastructure</t>
  </si>
  <si>
    <t>This study was funded by National Heart, Lung, &amp; Blood Institute R01HL155915 and an National Center for Advancing Clinical Sciences clinical and translational award for infrastructure UL1TR004419.</t>
  </si>
  <si>
    <t>[Vaid, Akhil; Duong, Son Q.; Lampert, Joshua; Nadkarni, Girish N.] Icahn Sch Med Mt Sinai, Charles Bronfman Inst Personalized Med, New York, NY 10029 USA; [Vaid, Akhil; Nadkarni, Girish N.] Icahn Sch Med Mt Sinai, Dept Med, Div Data Driven &amp; Digital Med D3M, New York, NY 10029 USA; [Duong, Son Q.] Icahn Sch Med Mt Sinai, Div Pediat Cardiol, New York, NY 10029 USA; [Lampert, Joshua] Icahn Sch Med Mt Sinai, Helmsley Electrophysiol Ctr, New York, NY 10029 USA; [Kovatch, Patricia] Icahn Sch Med Mt Sinai, Dept Genet &amp; Genom Sci, New York, NY 10029 USA; [Freeman, Robert] Icahn Sch Med Mt Sinai, Inst Healthcare Delivery Sci, Dept Populat Hlth Sci &amp; Policy, New York, NY 10029 USA; [Argulian, Edgar; Croft, Lori; Lerakis, Stamatios; Goldman, Martin] Icahn Sch Med Mt Sinai, Zena &amp; Michael A Wiener Cardiovasc Inst, New York, NY 10029 USA; [Argulian, Edgar; Croft, Lori; Lerakis, Stamatios; Goldman, Martin] Icahn Sch Med Mt Sinai, Mt Sinai Heart, New York, NY 10029 USA; [Khera, Rohan] Yale Sch Med, Dept Internal Med, Sect Cardiovasc Med, New Haven, CT 06510 USA; [Vaid, Akhil] Icahn Sch Med Mt Sinai, Dept Med, Div Data Driven &amp; Digital Med D3M, New York, NY 10128 USA</t>
  </si>
  <si>
    <t>Icahn School of Medicine at Mount Sinai; Icahn School of Medicine at Mount Sinai; Icahn School of Medicine at Mount Sinai; Icahn School of Medicine at Mount Sinai; Icahn School of Medicine at Mount Sinai; Icahn School of Medicine at Mount Sinai; Icahn School of Medicine at Mount Sinai; Icahn School of Medicine at Mount Sinai; Yale University; Icahn School of Medicine at Mount Sinai</t>
  </si>
  <si>
    <t>Local large language models for privacy-preserving accelerated review of historic echocardiogram reports</t>
  </si>
  <si>
    <t>large language models; LLM; privacy; generative AI; echocardiograms; open-source</t>
  </si>
  <si>
    <t>Lampert, Joshua/CAG-2250-2022; Duong, Son/IQS-0081-2023; Khera, Rohan/P-2378-2019; Lerakis, Stamatios/AAR-7597-2021; mirzaei, hamed/X-2374-2018</t>
  </si>
  <si>
    <t>Freeman, Robert/0000-0003-4946-6533; Khera, Rohan/0000-0001-9467-6199; Argulian, Edgar/0000-0003-2106-2668</t>
  </si>
  <si>
    <t>52</t>
  </si>
  <si>
    <t>10.1093/jamia/ocae085</t>
  </si>
  <si>
    <t>http://dx.doi.org/10.1093/jamia/ocae085</t>
  </si>
  <si>
    <t>APR 2024</t>
  </si>
  <si>
    <t>OU1I5</t>
  </si>
  <si>
    <t>38687616</t>
  </si>
  <si>
    <t>WOS:001209699500001</t>
  </si>
  <si>
    <t>Pennington-FitzGerald, W; Warrier, A; Durant, S; Sharaf, I; Carlino, F; Pamula, SD; Eloy, JA; Levi, J</t>
  </si>
  <si>
    <t>Objectives This study aimed to compare the diagnostic accuracy and citation integrity of four large language models (LLMs) including one general (ChatGPT-4) and three intended for clinical and research use (OpenEvidence, Perplexity, and Pathway), using standardized otolaryngology clinical vignettes. Methods One hundred validated otolaryngology clinical vignettes were presented to each LLM with a prompt requesting both a diagnosis and supporting citations. Diagnostic accuracy was determined against reference answers, and errors were categorized as logical, informational, or explicit. Citation number, source type, hallucination rate, and journal CiteScores were also compared. Results All models demonstrated high diagnostic accuracy (82.0%-91.0%), with ChatGPT-4 achieving the highest numerical accuracy (91.0%), though differences between models were not statistically significant (p = 0.057). Logical errors were most frequent across all models. OpenEvidence and Perplexity generated the most citations per response, while ChatGPT-4 produced the fewest and had the highest hallucination rate (23.0%). Source preferences varied, with OpenEvidence and Pathway favoring narrative reviews and Perplexity favoring government/public health websites. OpenEvidence had the highest mean CiteScore for journal citations. Conclusion This is the first study to assess both diagnostic accuracy and citation integrity of LLMs in otolaryngology. While ChatGPT-4 was most accurate, it had the highest rate of citation hallucinations, suggesting a trade-off between accuracy and source reliability. OpenEvidence, though slightly less accurate, provided more consistent and verifiable references, demonstrating the ability to prioritize citation integrity alongside diagnostic performance for clinical integration.</t>
  </si>
  <si>
    <t>Pennington-FitzGerald, William; Warrier, Akshay; Durant, Sally; Sharaf, Ibraheem; Carlino, Francesca; Pamula, Sai Dheeraj; Eloy, Jean Anderson; Levi, Jessica</t>
  </si>
  <si>
    <t>Pennington-FitzGerald, W (corresponding author), Boston Univ, Med Ctr, Dept Otolaryngol Head &amp; Neck Surg, One Boston Med Ctr Pl, Boston, MA 02118 USA.</t>
  </si>
  <si>
    <t>william.pennington-fitzgerald@bmc.org</t>
  </si>
  <si>
    <t>[Pennington-FitzGerald, William; Levi, Jessica] Boston Univ, Med Ctr, Dept Otolaryngol Head &amp; Neck Surg, One Boston Med Ctr Pl, Boston, MA 02118 USA; [Warrier, Akshay; Durant, Sally; Sharaf, Ibraheem; Carlino, Francesca; Pamula, Sai Dheeraj; Eloy, Jean Anderson] Rutgers New Jersey Med Sch, Dept Otolaryngol Head &amp; Neck Surg, Newark, NJ USA</t>
  </si>
  <si>
    <t>Boston University; Boston Medical Center; Rutgers University System; Rutgers University New Brunswick; Rutgers University Biomedical &amp; Health Sciences</t>
  </si>
  <si>
    <t>Diagnostic accuracy and citation integrity of four large language models on otolaryngology vignettes</t>
  </si>
  <si>
    <t>EUROPEAN ARCHIVES OF OTO-RHINO-LARYNGOLOGY</t>
  </si>
  <si>
    <t>Artificial Intelligence; Large Language Model; Diagnostic Accuracy; Citation; Hallucination; Otolaryngology; ChatGPT; OpenEvidence; Pathway; Perplexity</t>
  </si>
  <si>
    <t>Warrier, Akshay/ODM-2847-2025</t>
  </si>
  <si>
    <t>0937-4477</t>
  </si>
  <si>
    <t>1434-4726</t>
  </si>
  <si>
    <t>EUR ARCH OTO-RHINO-L</t>
  </si>
  <si>
    <t>Eur. Arch. Oto-Rhino-Laryn.</t>
  </si>
  <si>
    <t>283</t>
  </si>
  <si>
    <t>4707</t>
  </si>
  <si>
    <t>4714</t>
  </si>
  <si>
    <t>10.1007/s00405-026-10253-5</t>
  </si>
  <si>
    <t>http://dx.doi.org/10.1007/s00405-026-10253-5</t>
  </si>
  <si>
    <t>Otorhinolaryngology</t>
  </si>
  <si>
    <t>LL0YL</t>
  </si>
  <si>
    <t>42120572</t>
  </si>
  <si>
    <t>WOS:001764200100001</t>
  </si>
  <si>
    <t>Ji, JJ; Zhao, XQ; Shi, X</t>
  </si>
  <si>
    <t>Amid the rapid advancement of artificial intelligence (AI) technology, large language models (LLMs) have emerged as a pivotal force driving innovation in the field, attracting researchers due to their distinct advantages and broad application potential. Unlike existing surveys that focus on technical enumeration or single-dimensional evaluation, this work develops an integrated analytical framework of "three-dimensional trade-off + scenario adaptation". Centered on the dynamic balance of "performance-efficiency-cost", this framework links model architectural selection, training strategy optimization, and deployment implementation, forming a closed-loop analytical logic that bridges technical characteristics and scenario requirements. This survey presents a systematic and comprehensive overview of LLMs, articulating their evolution through a lens of performance-efficiency-cost trade-offs. Unlike prior surveys, we place a particular emphasis on the comparative analysis of architectural paradigms (Encoder-Only, Decoder-Only, Encoder-Decoder) and training strategies (e.g., RLHF vs. SFT), providing a practical framework for selecting appropriate technologies for specific application needs. We further synthesize the landscape by delving into emerging paradigms such as Retrieval-Augmented Generation (RAG) and AI Agents, and critically examine pressing challenges including hallucination, scalability, and ethical dilemmas. By integrating foundational technical reviews with forward-looking trend and governance analysis, this work establishes a decision-oriented reference framework-guiding researchers in prioritizing research directions and assisting practitioners in matching technical solutions to specific scenarios-filling the gap of 'overemphasizing technical description while lacking practical decision support' in prior surveys. The unique value of this work, distinguishing it from prior literature, resides in three interconnected aspects: First, it takes "performance-efficiency-cost" trade-offs as the core clue to link architectural selection, training strategies, and deployment solutions (see Tables 2, 4), developing actionable technical selection logic for scenario-specific resource constraints. Second, it integrates the synergy between emerging paradigms (RAG, AI Agent) and traditional LLMs-for example, explaining how RAG reduces Decoder-Only models hallucination rate from 15.8% to 8.3% (Sects. 2.5.6, 4.2) and how AI Agent extends LLMs' tool-use capabilities via transfer learning (Sect. 3.6) [1]. As a pure LLM, BioBERT outperforms untuned multimodal LLMs in text-aided low-resolution medical image recognition (e.g., matching image-based lesion features with text-derived diagnostic keywords).</t>
  </si>
  <si>
    <t>Ji, Jiajie; Zhao, Xueqing; Shi, Xin</t>
  </si>
  <si>
    <t>Zhao, XQ (corresponding author), Xian Polytech Univ, Sch Comp Sci, Xian 710600, Shaanxi, Peoples R China.</t>
  </si>
  <si>
    <t>240721049@stu.xpu.edu.cn; zhaoxueqing@xpu.edu.cn; lrysx@163.com</t>
  </si>
  <si>
    <t>National Social Science Foundation of China Art Project [23EH232]; Public Digital Culture Service Project of the National Center for Public Cultural Development, Ministry of Culture and Tourism [GGSZWHFW2026]; Xi'an Polytechnic University 2024 Key Research Project on Undergraduate Education and Teaching Reform [24JGZD13]; Shaanxi Province Graduate Education Comprehensive Reform Research and Practice Project [YJSZG2025138]; Xi'an University of Technology Higher Education Research Project [25GJ01]; Research Center for Culture &amp; Sci-Tech Integration Innovation, Key Research Base of Humanities and Social Sciences of Hubei Province; Shaanxi Province University Young Outstanding Talents Support Program</t>
  </si>
  <si>
    <t>National Social Science Foundation of China Art Project; Public Digital Culture Service Project of the National Center for Public Cultural Development, Ministry of Culture and Tourism; Xi'an Polytechnic University 2024 Key Research Project on Undergraduate Education and Teaching Reform; Shaanxi Province Graduate Education Comprehensive Reform Research and Practice Project; Xi'an University of Technology Higher Education Research Project; Research Center for Culture &amp; Sci-Tech Integration Innovation, Key Research Base of Humanities and Social Sciences of Hubei Province; Shaanxi Province University Young Outstanding Talents Support Program</t>
  </si>
  <si>
    <t>This work was supported by the National Social Science Foundation of China Art Project (No. 23EH232), the 2026 Public Digital Culture Service Project of the National Center for Public Cultural Development, Ministry of Culture and Tourism (No.GGSZWHFW2026-001), Xi'an Polytechnic University 2024 Key Research Project on Undergraduate Education and Teaching Reform (24JGZD13), 2025 Shaanxi Province Graduate Education Comprehensive Reform Research and Practice Project (No.YJSZG2025138), 2025 Xi'an University of Technology Higher Education Research Project (No.25GJ01), the Research Center for Culture &amp; Sci-Tech Integration Innovation, Key Research Base of Humanities and Social Sciences of Hubei Province, and Shaanxi Province University Young Outstanding Talents Support Program. The authors declare no conflict of interest.</t>
  </si>
  <si>
    <t>[Ji, Jiajie; Zhao, Xueqing; Shi, Xin] Xian Polytech Univ, Sch Comp Sci, Xian 710600, Shaanxi, Peoples R China</t>
  </si>
  <si>
    <t>Xi'an Polytechnic University</t>
  </si>
  <si>
    <t>A survey of large language models: techniques, applications, and challenges</t>
  </si>
  <si>
    <t>MULTIMEDIA SYSTEMS</t>
  </si>
  <si>
    <t>Natural language processing; Computer vision; Cross-modal tasks; Data scarcity and annotation costs</t>
  </si>
  <si>
    <t>Ji, Jiajie/PYY-6444-2026</t>
  </si>
  <si>
    <t>144</t>
  </si>
  <si>
    <t>0942-4962</t>
  </si>
  <si>
    <t>1432-1882</t>
  </si>
  <si>
    <t>MULTIMEDIA SYST</t>
  </si>
  <si>
    <t>Multimedia Syst.</t>
  </si>
  <si>
    <t>MAY 6 2026</t>
  </si>
  <si>
    <t>303</t>
  </si>
  <si>
    <t>10.1007/s00530-026-02288-9</t>
  </si>
  <si>
    <t>http://dx.doi.org/10.1007/s00530-026-02288-9</t>
  </si>
  <si>
    <t>Computer Science, Information Systems; Computer Science, Theory &amp; Methods</t>
  </si>
  <si>
    <t>HN9JL</t>
  </si>
  <si>
    <t>WOS:001758540000048</t>
  </si>
  <si>
    <t>Omar, M; Hijazi, K; Omar, M; Nadkarni, GN; Klang, E</t>
  </si>
  <si>
    <t>Background and Aim Large language models (LLMs) have shown promise in specialized medical exams but remain less explored in family medicine and primary care. This study evaluated eight state-of-the-art LLMs on the official Israeli primary care licensing exam, focusing on prompt design and explanation quality.Methods Two hundred multiple-choice questions were tested using simple and few-shot Chain-of-Thought prompts (prompts that include examples which illustrate reasoning). Performance differences were assessed with Cochran's Q and pairwise McNemar tests. A stress test of the top performer (openAI's o1-preview) examined 30 selected questions, with two physicians scoring explanations for accuracy, logic, and hallucinations (extra or fabricated information not supported by the question).Results Five models exceeded the 65% passing threshold under simple prompts; seven did so with few-shot prompts. o1-preview reached 85.5%. In the stress test, explanations were generally coherent and accurate, with 5 of 120 flagged for hallucinations. Inter-rater agreement on explanation scoring was high (weighted kappa 0.773; Intraclass Correlation Coefficient (ICC) 0.776).Conclusions Most tested models performed well on an official family medicine exam, especially with structured prompts. Nonetheless, multiple-choice formats cannot address broader clinical competencies such as physical exams and patient rapport. Future efforts should refine these models to eliminate hallucinations, test for socio-demographic biases, and ensure alignment with real-world demands.</t>
  </si>
  <si>
    <t>Omar, Mahmud; Hijazi, Kareem; Omar, Mohammad; Nadkarni, Girish N.; Klang, Eyal</t>
  </si>
  <si>
    <t>Omar, M (corresponding author), Mt Sinai Med Ctr, Windreich Dept Artificial Intelligence &amp; Human Hlt, New York, NY 10029 USA.</t>
  </si>
  <si>
    <t>Mahmudomar70@gmail.com</t>
  </si>
  <si>
    <t>[Omar, Mahmud; Nadkarni, Girish N.; Klang, Eyal] Mt Sinai Med Ctr, Windreich Dept Artificial Intelligence &amp; Human Hlt, New York, NY 10029 USA; [Omar, Mahmud; Hijazi, Kareem] Maccabi Healthcare Serv, Tel Aviv, Israel; [Omar, Mohammad] Emek Med Ctr, Afula, Israel</t>
  </si>
  <si>
    <t>Icahn School of Medicine at Mount Sinai; Emek Medical Center</t>
  </si>
  <si>
    <t>Performance of large language models on family medicine licensing exams</t>
  </si>
  <si>
    <t>FAMILY PRACTICE</t>
  </si>
  <si>
    <t>large language models; artificial intelligence; primary care; licensing exam; prompt engineering</t>
  </si>
  <si>
    <t>Omar, Mahmud/HZH-7714-2023; mirzaei, hamed/X-2374-2018</t>
  </si>
  <si>
    <t>Klang, Eyal/0000-0002-4567-3108; Omar, Mahmud/0009-0001-0438-0827</t>
  </si>
  <si>
    <t>0263-2136</t>
  </si>
  <si>
    <t>1460-2229</t>
  </si>
  <si>
    <t>FAM PRACT</t>
  </si>
  <si>
    <t>Fam. Pr.</t>
  </si>
  <si>
    <t>AUG 2025</t>
  </si>
  <si>
    <t>cmaf035</t>
  </si>
  <si>
    <t>10.1093/fampra/cmaf035</t>
  </si>
  <si>
    <t>http://dx.doi.org/10.1093/fampra/cmaf035</t>
  </si>
  <si>
    <t>3MT2F</t>
  </si>
  <si>
    <t>40488348</t>
  </si>
  <si>
    <t>WOS:001504045000001</t>
  </si>
  <si>
    <t>Warrier, A; Singh, R; Haleem, A; Zaki, H; Eloy, JA</t>
  </si>
  <si>
    <t>Objectives: Evaluate and compare the ability of large language models (LLMs) to diagnose various ailments in otolaryngology. Methods: We collected all 100 clinical vignettes from the second edition of Otolaryngology Cases-The University of Cincinnati Clinical Portfolio by Pensak et al. With the addition of the prompt "Provide a diagnosis given the following history," we prompted ChatGPT-3.5, Google Bard, and Bing-GPT4 to provide a diagnosis for each vignette. These diagnoses were compared to the portfolio for accuracy and recorded. All queries were run in June 2023. Results: ChatGPT-3.5 was the most accurate model (89% success rate), followed by Google Bard (82%) and Bing GPT (74%). A chi-squared test revealed a significant difference between the three LLMs in providing correct diagnoses (p = 0.023). Of the 100 vignettes, seven require additional testing results (i.e., biopsy, non-contrast CT) for accurate clinical diagnosis. When omitting these vignettes, the revised success rates were 95.7% for ChatGPT-3.5, 88.17% for Google Bard, and 78.72% for Bing-GPT4 (p = 0.002). Conclusions: ChatGPT-3.5 offers the most accurate diagnoses when given established clinical vignettes as compared to Google Bard and Bing-GPT4. LLMs may accurately offer assessments for common otolaryngology conditions but currently require detailed prompt information and critical supervision from clinicians. There is vast potential in the clinical applicability of LLMs; however, practitioners should be wary of possible "hallucinations" and misinformation in responses.</t>
  </si>
  <si>
    <t>Warrier, Akshay; Singh, Rohan; Haleem, Afash; Zaki, Haider; Eloy, Jean Anderson</t>
  </si>
  <si>
    <t>Warrier, A (corresponding author), Rutgers New Jersey Med Sch, Dept Otolaryngol Head &amp; Neck Surg, 180 West Market St, Newark, NJ 07103 USA.</t>
  </si>
  <si>
    <t>akw58@njms.rutgers.edu</t>
  </si>
  <si>
    <t>[Warrier, Akshay; Singh, Rohan; Haleem, Afash; Zaki, Haider; Eloy, Jean Anderson] Rutgers New Jersey Med Sch, Dept Otolaryngol Head &amp; Neck Surg, Newark, NJ USA; [Eloy, Jean Anderson] Rutgers New Jersey Med Sch, Neurol Inst New Jersey, Ctr Skull Base &amp; Pituitary Surg, Newark, NJ USA; [Warrier, Akshay] Rutgers New Jersey Med Sch, Dept Otolaryngol Head &amp; Neck Surg, 180 West Market St, Newark, NJ 07103 USA</t>
  </si>
  <si>
    <t>Rutgers University System; Rutgers University New Brunswick; Rutgers University Biomedical &amp; Health Sciences; Rutgers University System; Rutgers University New Brunswick; Rutgers University Biomedical &amp; Health Sciences; Rutgers University System; Rutgers University New Brunswick; Rutgers University Biomedical &amp; Health Sciences</t>
  </si>
  <si>
    <t>The Comparative Diagnostic Capability of Large Language Models in Otolaryngology</t>
  </si>
  <si>
    <t>LARYNGOSCOPE</t>
  </si>
  <si>
    <t>artificial intelligence; Bing AI; ChatGPT; diagnostic accuracy; Google Bard; large language models; otolaryngology</t>
  </si>
  <si>
    <t>Haleem, Afash/LYO-1442-2024; Warrier, Akshay/ODM-2847-2025</t>
  </si>
  <si>
    <t>Haleem, Afash/0000-0001-7268-6142</t>
  </si>
  <si>
    <t>36</t>
  </si>
  <si>
    <t>WILEY</t>
  </si>
  <si>
    <t>HOBOKEN</t>
  </si>
  <si>
    <t>111 RIVER ST, HOBOKEN 07030-5774, NJ USA</t>
  </si>
  <si>
    <t>0023-852X</t>
  </si>
  <si>
    <t>1531-4995</t>
  </si>
  <si>
    <t>Laryngoscope</t>
  </si>
  <si>
    <t>134</t>
  </si>
  <si>
    <t>3997</t>
  </si>
  <si>
    <t>4002</t>
  </si>
  <si>
    <t>10.1002/lary.31434</t>
  </si>
  <si>
    <t>http://dx.doi.org/10.1002/lary.31434</t>
  </si>
  <si>
    <t>Medicine, Research &amp; Experimental; Otorhinolaryngology</t>
  </si>
  <si>
    <t>Research &amp; Experimental Medicine; Otorhinolaryngology</t>
  </si>
  <si>
    <t>A9C2D</t>
  </si>
  <si>
    <t>38563415</t>
  </si>
  <si>
    <t>WOS:001195133600001</t>
  </si>
  <si>
    <t>Chen, YQ; Xiang, P; Zhou, Q; Li, C; Zhang, XL; Wang, JF; Wang, HJ; Gao, ZH; Yang, ZY; Ye, SS; Taylor, D; Feng, ST</t>
  </si>
  <si>
    <t>Purpose: This study aims to compare several free large language models (LLMs), identify which provides the most effective feedback, and investigate whether LLM-generated feedback can improve the accuracy and standardization of imaging reports produced by students. Methods: A randomly selected class (test group, N= 30) was asked to write an imaging report based on each typical teaching case before and after receiving feedback generated by LLM. Another randomly selected class (control group, N= 30) was asked to write an imaging report of the same case without receiving the LLM-generated feedback. The quality of the feedback generated by the 4 main free LLMs was evaluated. The residency training examination marking scale was used to evaluate the quality of the reports. A questionnaire was used to investigate whether the students were satisfied with the feedback given by LLM. Results: The feedback generated by ChatGPT 3.5, ERNIE Bot v3.5, and Tongyi v2.5 all demonstrated better structure and logic than that of Claude 3 OPUS (Mann-Whitney U Test, p &lt; 0.05), but all exhibited some degree of hallucination. The scores of the reports in the test group were increased after receiving the feedback, and were higher than the control group (t-test, p &lt; 0.05). Conclusion: The feedback given by LLMs can help the students critically evaluate their reports and improve their reporting skills, but should be supervised by teachers.</t>
  </si>
  <si>
    <t>Chen, Yingqian; Xiang, Pei; Zhou, Qin; Li, Chang; Zhang, Xiaoling; Wang, Jifei; Wang, Huanjun; Gao, Zhenhua; Yang, Zhiyun; Ye, Shanshan; Taylor, David; Feng, Shi-Ting</t>
  </si>
  <si>
    <t>Feng, ST (corresponding author), Sun Yat Sen Univ, Affiliated Hosp 1, Dept Radiol, Guangzhou, Peoples R China.; Taylor, D (corresponding author), Gulf Med Univ, Coll Med, Dept Hlth Profess Educ, Ajman, U Arab Emirates.</t>
  </si>
  <si>
    <t>prof.davidtaylor@gmu.ac.ae; fengsht@mail.sysu.edu.cn</t>
  </si>
  <si>
    <t>Chinese Society for Degree and Graduate Education Medicine Working Committee Pharmaceutical Sciences Postgraduate Teaching and Research Subjects [B_YXC2022-02-02_10]; Teaching Quality Project ofSun Yat-sen University [80000-12220011]; National Natural Science Foundation of China [82471948, 82271958]</t>
  </si>
  <si>
    <t>Chinese Society for Degree and Graduate Education Medicine Working Committee Pharmaceutical Sciences Postgraduate Teaching and Research Subjects; Teaching Quality Project ofSun Yat-sen University; National Natural Science Foundation of China (National Natural Science Foundation of China (NSFC))</t>
  </si>
  <si>
    <t>We would like to thank the Teachers and students whohave participated in this study, for making this study pos-sible. This work was supported by the Chinese Society forDegree and Graduate Education Medicine WorkingCommittee Pharmaceutical Sciences PostgraduateTeaching and Research Subjects [grant numbers B_YXC2022-02-02_10] and the Teaching Quality Project ofSun Yat-sen University [grant numbers 80000-12220011],and National Natural Science Foundation of China(82471948, 82271958)</t>
  </si>
  <si>
    <t>[Chen, Yingqian; Xiang, Pei; Zhou, Qin; Li, Chang; Zhang, Xiaoling; Wang, Jifei; Wang, Huanjun; Gao, Zhenhua; Yang, Zhiyun; Ye, Shanshan; Feng, Shi-Ting] Sun Yat Sen Univ, Affiliated Hosp 1, Dept Radiol, Guangzhou, Peoples R China; [Taylor, David] Gulf Med Univ, Ctr Leadership &amp; Innovat Hlth Profess Educ, Ajman, U Arab Emirates; [Taylor, David] Gulf Med Univ, Coll Med, Dept Hlth Profess Educ, Ajman, U Arab Emirates</t>
  </si>
  <si>
    <t>Sun Yat Sen University; Gulf Medical University; Gulf Medical University</t>
  </si>
  <si>
    <t>Using large language model to aid in teaching medical imaging report writing</t>
  </si>
  <si>
    <t>MEDICAL TEACHER</t>
  </si>
  <si>
    <t>Artificial intelligence; large language model; medical imaging; feedback</t>
  </si>
  <si>
    <t>Gao, Zhenhua/AAO-2226-2021; Taylor, David/H-3670-2013</t>
  </si>
  <si>
    <t>Taylor, David/0000-0002-3296-2963</t>
  </si>
  <si>
    <t>0142-159X</t>
  </si>
  <si>
    <t>1466-187X</t>
  </si>
  <si>
    <t>MED TEACH</t>
  </si>
  <si>
    <t>Med. Teach.</t>
  </si>
  <si>
    <t>JUN 3 2026</t>
  </si>
  <si>
    <t>48</t>
  </si>
  <si>
    <t>957</t>
  </si>
  <si>
    <t>966</t>
  </si>
  <si>
    <t>10.1080/0142159X.2025.2603353</t>
  </si>
  <si>
    <t>http://dx.doi.org/10.1080/0142159X.2025.2603353</t>
  </si>
  <si>
    <t>Education, Scientific Disciplines; Health Care Sciences &amp; Services</t>
  </si>
  <si>
    <t>Education &amp; Educational Research; Health Care Sciences &amp; Services</t>
  </si>
  <si>
    <t>IJ1RD</t>
  </si>
  <si>
    <t>41451614</t>
  </si>
  <si>
    <t>WOS:001649811300001</t>
  </si>
  <si>
    <t>60</t>
  </si>
  <si>
    <t>Farquhar, S; Kossen, J; Kuhn, L; Gal, Y</t>
  </si>
  <si>
    <t>Large language model (LLM) systems, such as ChatGPT 1 or Gemini 2 , can show impressive reasoning and question-answering capabilities but often 'hallucinate' false outputs and unsubstantiated answers 3,4 . Answering unreliably or without the necessary information prevents adoption in diverse fields, with problems including fabrication of legal precedents 5 or untrue facts in news articles 6 and even posing a risk to human life in medical domains such as radiology 7 . Encouraging truthfulness through supervision or reinforcement has been only partially successful 8 . Researchers need a general method for detecting hallucinations in LLMs that works even with new and unseen questions to which humans might not know the answer. Here we develop new methods grounded in statistics, proposing entropy-based uncertainty estimators for LLMs to detect a subset of hallucinations-confabulations-which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unreliability.Hallucinations (confabulations) in large language model systems can be tackled by measuring uncertainty about the meanings of generated responses rather than the text itself to improve question-answering accuracy.</t>
  </si>
  <si>
    <t>Farquhar, Sebastian; Kossen, Jannik; Kuhn, Lorenz; Gal, Yarin</t>
  </si>
  <si>
    <t>Farquhar, S (corresponding author), Univ Oxford, Dept Comp Sci, OATML, Oxford, England.</t>
  </si>
  <si>
    <t>sebfar@gmail.com</t>
  </si>
  <si>
    <t>UK government's Office for AI, through UK Research and Innovation [EP/V030302/1]; Alan Turing Institute</t>
  </si>
  <si>
    <t>UK government's Office for AI, through UK Research and Innovation; Alan Turing Institute</t>
  </si>
  <si>
    <t>We thank G. Irving, K. Perlin, J. Richens, L. Rimell and M. Turpin for their comments or discussion related to this work. We thank K. Handa for his help with the human evaluation of our automated accuracy assessment. We thank F. Bickford Smith and L. Melo for their code review. Y.G. is supported by a Turing AI Fellowship funded by the UK government's Office for AI, through UK Research and Innovation (grant reference EP/V030302/1), and delivered by the Alan Turing Institute.</t>
  </si>
  <si>
    <t>[Farquhar, Sebastian; Kossen, Jannik; Kuhn, Lorenz; Gal, Yarin] Univ Oxford, Dept Comp Sci, OATML, Oxford, England</t>
  </si>
  <si>
    <t>University of Oxford</t>
  </si>
  <si>
    <t>Detecting hallucinations in large language models using semantic entropy</t>
  </si>
  <si>
    <t>65</t>
  </si>
  <si>
    <t>625</t>
  </si>
  <si>
    <t>723</t>
  </si>
  <si>
    <t>74</t>
  </si>
  <si>
    <t>287</t>
  </si>
  <si>
    <t>JUN 20 2024</t>
  </si>
  <si>
    <t>630</t>
  </si>
  <si>
    <t>8017</t>
  </si>
  <si>
    <t>10.1038/s41586-024-07421-0</t>
  </si>
  <si>
    <t>http://dx.doi.org/10.1038/s41586-024-07421-0</t>
  </si>
  <si>
    <t>XN7M0</t>
  </si>
  <si>
    <t>38898292</t>
  </si>
  <si>
    <t>WOS:001262429400005</t>
  </si>
  <si>
    <t>Wind, S; Sopa, J; Truhn, D; Lotfinia, M; Nguyen, TT; Bressem, K; Adams, L; Rusu, M; Köstler, H; Wellein, G; Maier, A; Arasteh, ST</t>
  </si>
  <si>
    <t>Large language models (LLMs) show promise for radiology decision support, yet conventional retrieval-augmented generation (RAG) relies on single-step retrieval and struggles with complex reasoning. We introduce radiology Retrieval and Reasoning (RaR), a multi-step retrieval framework that iteratively summarizes clinical questions, retrieves evidence, and synthesizes answers. We evaluated 25 LLMs spanning general-purpose, reasoning-optimized, and clinically fine-tuned models (0.5B -&gt; 670B parameters) on 104 expert-curated radiology questions and an independent set of 65 real radiology board-exam questions. RaR significantly improved mean diagnostic accuracy versus zero-shot prompting (75% vs. 67%; P = 1.1 x 10-7) and conventional online RAG (75% vs. 69%; P = 1.9 x 10-6). Gains were largest in mid-sized and small models (e.g., Mistral Large: 72% -&gt; 81%), while very large models showed minimal change. RaR reduced hallucinations and provided clinically relevant evidence in 46% of cases, improving factual grounding. These results show that multi-step retrieval enhances diagnostic reliability, especially in deployable mid-sized LLMs. Code, datasets, and RaR are publicly available.</t>
  </si>
  <si>
    <t>Wind, Sebastian; Sopa, Jeta; Truhn, Daniel; Lotfinia, Mahshad; Nguyen, Tri-Thien; Bressem, Keno; Adams, Lisa; Rusu, Mirabela; Kostler, Harald; Wellein, Gerhard; Maier, Andreas; Tayebi Arasteh, Soroosh</t>
  </si>
  <si>
    <t>Arasteh, ST (corresponding author), Friedrich Alexander Univ Erlangen Nurnberg, Pattern Recognit Lab, Erlangen, Germany.; Arasteh, ST (corresponding author), Univ Hosp RWTH Aachen, Dept Diagnost &amp; Intervent Radiol, Aachen, Germany.; Arasteh, ST (corresponding author), Stanford Univ, Dept Radiol, Stanford, CA 94305 USA.; Arasteh, ST (corresponding author), Stanford Univ, Dept Urol, Stanford, CA 94305 USA.</t>
  </si>
  <si>
    <t>soroosh.arasteh@rwth-aachen.de</t>
  </si>
  <si>
    <t>Wilhelm-Sander Foundation; European Union's Horizon Europe and innovation programme [ODELIA [Open Consortium for Decentralized Medical Artificial Intelligence], 101057091]; Deutsche Forschungsgemeinschaft [NE 2136/3-1, LI3893/6-1, TR 1700/7-1, 440719683]; European Union [101079894]; Max Kade Foundation; German Federal Ministry of Education [TRANSFORM LIVER, 031L0312A; SWAG, 01KD2215B]; BayernKI; Bayern Innovativ; German Federal Ministry of Education and Research</t>
  </si>
  <si>
    <t>Wilhelm-Sander Foundation (ACEV Foundation); European Union's Horizon Europe and innovation programme; Deutsche Forschungsgemeinschaft (German Research Foundation (DFG)); European Union (European Union (EU)); Max Kade Foundation; German Federal Ministry of Education; BayernKI; Bayern Innovativ; German Federal Ministry of Education and Research</t>
  </si>
  <si>
    <t>Open Access funding enabled and organized by Projekt DEAL.</t>
  </si>
  <si>
    <t>[Wind, Sebastian; Sopa, Jeta; Nguyen, Tri-Thien; Maier, Andreas; Tayebi Arasteh, Soroosh] Friedrich Alexander Univ Erlangen Nurnberg, Pattern Recognit Lab, Erlangen, Germany; [Wind, Sebastian; Kostler, Harald; Wellein, Gerhard; Maier, Andreas] Friedrich Alexander Univ Erlangen Nurnberg, Erlangen Natl High Performance Comp Ctr, Erlangen, Germany; [Truhn, Daniel; Lotfinia, Mahshad; Tayebi Arasteh, Soroosh] Univ Hosp RWTH Aachen, Dept Diagnost &amp; Intervent Radiol, Aachen, Germany; [Nguyen, Tri-Thien] Univ Hosp Erlangen, Inst Radiol, Erlangen, Germany; [Bressem, Keno] Tech Univ Munich, TUM Univ Clin, Dept Cardiovasc Radiol &amp; Nucl Med, Sch Med &amp; Hlth,German Heart Ctr, Munich, Germany; [Bressem, Keno; Adams, Lisa] Tech Univ Munich, TUM Univ Clin, Dept Diagnost &amp; Intervent Radiol, Sch Med &amp; Hlth,Klinikum rechts Isar, Munich, Germany; [Rusu, Mirabela; Tayebi Arasteh, Soroosh] Stanford Univ, Dept Radiol, Stanford, CA 94305 USA; [Rusu, Mirabela; Tayebi Arasteh, Soroosh] Stanford Univ, Dept Urol, Stanford, CA 94305 USA; [Kostler, Harald] Friedrich Alexander Univ Erlangen Nurnberg, Chair Comp Sci 10, Erlangen, Germany</t>
  </si>
  <si>
    <t>University of Erlangen Nuremberg; University of Erlangen Nuremberg; RWTH Aachen University; RWTH Aachen University Hospital; University of Erlangen Nuremberg; German Heart Centre Munich; Technical University of Munich; Technical University of Munich; Stanford Medicine; Stanford University; Stanford University; University of Erlangen Nuremberg</t>
  </si>
  <si>
    <t>Multi-step retrieval and reasoning improves radiology question answering with large language models</t>
  </si>
  <si>
    <t>Bressem, Keno/AAX-8241-2020; Tayebi Arasteh, Soroosh/AAW-2399-2020; Koestler, Harald/AAK-9385-2021; Adams, Lisa C/AAC-7163-2021; Truhn, Daniel/AAG-9359-2021</t>
  </si>
  <si>
    <t>Tayebi Arasteh, Soroosh/0000-0003-1015-7733; Rusu, Mirabela/0000-0002-0372-0367; Adams, Lisa C/0000-0001-5836-4542</t>
  </si>
  <si>
    <t>DEC 22 2025</t>
  </si>
  <si>
    <t>790</t>
  </si>
  <si>
    <t>10.1038/s41746-025-02250-5</t>
  </si>
  <si>
    <t>http://dx.doi.org/10.1038/s41746-025-02250-5</t>
  </si>
  <si>
    <t>AL7VV</t>
  </si>
  <si>
    <t>41429891</t>
  </si>
  <si>
    <t>WOS:001651144300004</t>
  </si>
  <si>
    <t>Liu, ZY; Tang, LT; Sun, ZL; Liu, ZL; Lyu, Y; Ruan, W; Xu, YS; Shan, L; Shin, J; Chen, XH; Zhu, DJ; Liu, TM; Liu, RJ; Huang, C</t>
  </si>
  <si>
    <t>Background Alzheimer's disease (AD) research produces extensive genomic and clinical data, yet general large language models (LLMs) often generate inaccurate or superficial outputs. We introduce AD-GPT, a domain-specific framework for reliable information retrieval and synthesis of AD-related knowledge.Methods We integrated curated genomic resources, including cis-eQTL and sQTL data across 13 brain regions from GTEx, genomic location information from NCBI, and gene function annotations from OMIM, together with approximately 150,000 AD-related publications from NCBI's PubMed. AD-GPT adopts a retrieval-augmented generation (RAG) workflow with task-specific database partitioning, a BERT-based query router, and fine-tuned Llama models, augmented with router and context verifiers to validate task assignment and evidence relevance, supporting three tasks: genetic information retrieval, association study reasoning, and general AD-related knowledge synthesis.Results AD-GPT consistently outperformed strong baseline LLMs in evidence-grounded evaluation metrics across all tasks, including factual consistency, citation validity, and instruction-level faithfulness. Task-specific retrieval and stacked routing improved evidence grounding and substantially reduced hallucination in complex AD-related queries.Conclusion AD-GPT harmonizes curated genomic databases with biomedical literature, offering a scalable and accurate informatics tool to advance AD research.</t>
  </si>
  <si>
    <t>Liu, Ziyu; Tang, Lintao; Sun, Zeliang; Liu, Zhengliang; Lyu, Yanjun; Ruan, Wei; Xu, Yangshuang; Shan, Liang; Shin, Jiyoon; Chen, Xiaohe; Zhu, Dajiang; Liu, Tianming; Liu, Rongjie; Huang, Chao</t>
  </si>
  <si>
    <t>Liu, RJ (corresponding author), Univ Georgia, Dept Stat, Athens, GA 30602 USA.; Huang, C (corresponding author), Univ Georgia, Dept Epidemiol &amp; Biostat, Athens, GA 30606 USA.</t>
  </si>
  <si>
    <t>yxl9168@mavs.uta.edu; zs58484@uga.edu; zl18864@uga.edu; wei.ruan@uga.edu; rjliu@uga.edu; zl23565@uga.edu; ls21s@fsu.edu; js12571@uga.edu; dajiang.zhu@uta.edu; tliu@uga.edu; chaohuang@uga.edu; lt20ca@fsu.edu; xchen8@fsu.edu; yx23e@fsu.edu</t>
  </si>
  <si>
    <t>National Institutes of Health (NIH) [UL1TR002378]; NIH [RF1NS128534, R01AG075582]</t>
  </si>
  <si>
    <t>National Institutes of Health (NIH) (United States Department of Health &amp; Human Services, National Institutes of Health (NIH) - USA, Office of the Administrator (NIH)); NIH (United States Department of Health &amp; Human Services, National Institutes of Health (NIH) - USA, Office of the Administrator (NIH))</t>
  </si>
  <si>
    <t>The research of Dr. Huang was partially supported by the National Institutes of Health (NIH) under Award Number UL1TR002378. The research of Dr. Zhu was partially supported by the NIH under Award Numbers RF1NS128534 and R01AG075582. The content is solely the responsibility of the authors and does not necessarily represent the official views of the NIH.</t>
  </si>
  <si>
    <t>[Liu, Ziyu; Shin, Jiyoon; Liu, Rongjie] Univ Georgia, Dept Stat, Athens, GA 30602 USA; [Tang, Lintao; Xu, Yangshuang; Shan, Liang; Chen, Xiaohe] Florida State Univ, Dept Stat, Tallahassee, FL USA; [Sun, Zeliang; Huang, Chao] Univ Georgia, Dept Epidemiol &amp; Biostat, Athens, GA 30606 USA; [Liu, Zhengliang; Ruan, Wei; Liu, Tianming] Univ Georgia, Sch Comp, Athens, GA USA; [Lyu, Yanjun; Zhu, Dajiang] Univ Texas Arlington, Dept Comp Sci &amp; Engn, Arlington, TX USA</t>
  </si>
  <si>
    <t>University System of Georgia; University of Georgia; State University System of Florida; Florida State University; University System of Georgia; University of Georgia; University System of Georgia; University of Georgia; University of Texas System; University of Texas Arlington</t>
  </si>
  <si>
    <t>AD-GPT: large language models in Alzheimer's disease</t>
  </si>
  <si>
    <t>Alzheimer's disease; Large language models; Information retrieval</t>
  </si>
  <si>
    <t>RETRIEVAL</t>
  </si>
  <si>
    <t>MAY 31 2026</t>
  </si>
  <si>
    <t>286</t>
  </si>
  <si>
    <t>10.1186/s12911-026-03579-x</t>
  </si>
  <si>
    <t>http://dx.doi.org/10.1186/s12911-026-03579-x</t>
  </si>
  <si>
    <t>ME3FI</t>
  </si>
  <si>
    <t>42226232</t>
  </si>
  <si>
    <t>WOS:001840203200001</t>
  </si>
  <si>
    <t>Reich, C; Leverenz, J; Brand, C; Niemeier, L; Branzei, I; Yildirim, M; Sedaghat-Hamedani, F; Amr, A; Frey, N; Meder, B</t>
  </si>
  <si>
    <t>Background Large language models (LLMs) are increasingly used by patients seeking cardiovascular health information through digital platforms. However, their accuracy and suitability for providing guidance on heterogeneous diseases such as cardiomyopathies and heart failure remain inadequately evaluated. This study systematically benchmarked state-of-the-art LLMs on patient-oriented heart failure and cardiomyopathy queries regarding clinical appropriateness and comprehensibility.Methods Six prominent LLM Chatbots were tested on 50 expert-curated questions covering disease understanding and lifestyle advice. A web-based evaluation platform randomized and blinded responses for assessment by twelve reviewers (cardiologists, medical students, AI auto-graders). Responses were rated on a 1-5 Likert scale across nine domains, including appropriateness, readability, and empathy. Reviewers also chose their preferred model per question.Results Linguistic complexity and output length varied substantially. Gemini provided the most readable responses (Flesch-Kincaid Grade 11.3 +/- 1.9) but was among the most verbose (668.7 +/- 116.1 words). Across 2,700 ratings, Gemini received the highest composite mean rating (4.41 +/- 0.77), excelling in completeness and factual reliability, followed by Grok (4.23 +/- 0.76). Confabulation avoidance scored consistently high across all models (4.49 +/- 0.02), while conciseness scored lowest (3.81 +/- 0.05). Consistently, evaluators selected Gemini as their preferred information source in 43.7%, followed by Grok (30.3%). Rating tendencies varied by evaluator group: Auto-graders gave the highest average scores (mean 4.58 +/- 0.60), followed by students (4.10 +/- 0.88), while experts were more conservative (3.79 +/- 0.93).Discussion All LLMs showed good accuracy avoiding medical misinformation, though variability exists in readability and comprehensiveness. While major factual errors or hallucinations were rare in our blinded evaluation, they were not entirely absent.</t>
  </si>
  <si>
    <t>Reich, Christoph; Leverenz, Jule; Brand, Charlotte; Niemeier, Lasse; Branzei, Isabel; Yildirim, Mustafa; Sedaghat-Hamedani, Farbod; Amr, Ali; Frey, Norbert; Meder, Benjamin</t>
  </si>
  <si>
    <t>Meder, B (corresponding author), Heidelberg Univ, Heidelberg Fac Med, Dept Internal Medicine 3, Heidelberg, Germany.; Meder, B (corresponding author), Heidelberg Univ, Heidelberg Fac Med, Precis Digital Hlth Unit Dept Internal Medicine 3, Heidelberg, Germany.; Meder, B (corresponding author), German Ctr Cardiovasc Res DZHK, Heidelberg, Germany.</t>
  </si>
  <si>
    <t>Benjamin.meder@med.uni-heidelberg.de</t>
  </si>
  <si>
    <t>Universitt Heidelberg</t>
  </si>
  <si>
    <t>The author(s) declared that financial support was received for this work and/or its publication. CR is funded by the Clinician Scientist Program of Heidelberg University, Faculty of Medicine. This work was further supported by grants from the Deutsches Zentrum fur Herz-Kreislauf-Forschung (German Center for Cardiovascular Research, DZHK) and Informatics for Life (Klaus Tschira Foundation). BM was supported by an excellence fellowship of the Else Kroner Fresenius Foundation.</t>
  </si>
  <si>
    <t>[Reich, Christoph; Leverenz, Jule; Brand, Charlotte; Niemeier, Lasse; Branzei, Isabel; Yildirim, Mustafa; Sedaghat-Hamedani, Farbod; Amr, Ali; Frey, Norbert; Meder, Benjamin] Heidelberg Univ, Heidelberg Fac Med, Dept Internal Medicine 3, Heidelberg, Germany; [Reich, Christoph; Leverenz, Jule; Brand, Charlotte; Niemeier, Lasse; Branzei, Isabel; Sedaghat-Hamedani, Farbod; Amr, Ali; Frey, Norbert; Meder, Benjamin] Heidelberg Univ, Heidelberg Fac Med, Precis Digital Hlth Unit Dept Internal Medicine 3, Heidelberg, Germany; [Reich, Christoph; Leverenz, Jule; Brand, Charlotte; Niemeier, Lasse; Branzei, Isabel; Yildirim, Mustafa; Sedaghat-Hamedani, Farbod; Amr, Ali; Frey, Norbert; Meder, Benjamin] German Ctr Cardiovasc Res DZHK, Heidelberg, Germany</t>
  </si>
  <si>
    <t>Ruprecht Karls University Heidelberg; Ruprecht Karls University Heidelberg; German Centre for Cardiovascular Research</t>
  </si>
  <si>
    <t>Performance of large language models in delivering accurate and comprehensible patient information on heart failure and cardiomyopathy</t>
  </si>
  <si>
    <t>artificial intelligence; cardiomyopathy; digital health; heart failure; patient education</t>
  </si>
  <si>
    <t>Yildirim, Mustafa/LZE-0157-2024</t>
  </si>
  <si>
    <t>JUN 9 2026</t>
  </si>
  <si>
    <t>1847603</t>
  </si>
  <si>
    <t>10.3389/fdgth.2026.1847603</t>
  </si>
  <si>
    <t>http://dx.doi.org/10.3389/fdgth.2026.1847603</t>
  </si>
  <si>
    <t>JV7DM</t>
  </si>
  <si>
    <t>42343943</t>
  </si>
  <si>
    <t>WOS:001799091100001</t>
  </si>
  <si>
    <t>Tyagi, M; Dihan, QA; Alzein, AF; Salamanca, OC; Rahal, DA; Delgado, MV; Sanvicente, CT; Khodeiry, M; Elnahry, AG; Rolim-de-Moura, C; Chang, TC; Maidana, DE; Elhusseiny, AM</t>
  </si>
  <si>
    <t>Purpose: To evaluate the effectiveness of ChatGPT-4o (OpenAI) in enhancing the readability and quality of Spanish patient educational materials (PEMs) on childhood glaucoma, and to determine whether they are written above the recommended 6th-grade reading level (per American Medical Association recommendation). Methods:This cross-sectional comparative study analyzed 10 original Spanish-language PEMs on "glaucoma infantil." Each was inputted into ChatGPT-4o using a Spanish-language prompt requesting improved readability to a score of 70 or greater on the INFLESZ scale (adaptation ofthe Flesch-Szigriszt Index for Spanish-language texts), which is equivalent to a 4th-to 6th-grade reading level. Original and revised PEMs were compared using the INFLESZ scale. Additionally, three native Spanish-speaking ophthalmologists assessed each PEM's quality using a published 15-point Likert scale evaluating helpfulness, truthfulness, and harmlessness. Results: Original PEMs had a mean INFLESZ score of 56.6 +/- 4.9 (8th-grade level). ChatGPT-4o significantly im proved readability to 69.6 +/- 2.3 (4th-to 6th-grade level, P &lt; .001). Revised PEMs had fewer syllables, words, and complex words without a significant difference in sentence count. Quality remained high across both groups (median score = 15, P = .74), and no hallucinations were observed in artificial intelligence-generated text. Conclusions: ChatGPT-4o can be used as a supplemental tool by health care professionals to improve the readability of existing Spanish PEMs on childhood glaucoma, without sacrificing the quality, accuracy, or reliability of their content.</t>
  </si>
  <si>
    <t>Tyagi, Mallika; Dihan, Qais A.; Alzein, Ahmad F.; Salamanca, Olga C.; Rahal, Dania A.; Delgado, Mariam Vila; Sanvicente, Carina T.; Khodeiry, Mohamed; Elnahry, Ayman G.; Rolim-de-Moura, Christiane; Chang, Ta C.; Maidana, Daniel E.; Elhusseiny, Abdelrahman M.</t>
  </si>
  <si>
    <t>Elhusseiny, AM (corresponding author), Univ Arkansas Med Sci, Harvey &amp; Bernice Jones Eye Inst, 4301 W Markham St, Little Rock, AR 72207 USA.</t>
  </si>
  <si>
    <t>AMELhusseiny@uams.edu</t>
  </si>
  <si>
    <t>[Tyagi, Mallika] UTHealth Houston, McGovern Med Sch, Houston, TX USA; [Dihan, Qais A.; Sanvicente, Carina T.; Elhusseiny, Abdelrahman M.] Univ Arkansas Med Sci, Harvey &amp; Bernice Jones Eye Inst, Dept Ophthalmol, Little Rock, AR USA; [Rahal, Dania A.] Univ Arkansas Med Sci, Coll Med, Little Rock, AR USA; [Dihan, Qais A.] Rosalind Franklin Univ Med &amp; Sci, Chicago Med Sch, N Chicago, IL USA; [Alzein, Ahmad F.] Univ Illinois, Coll Med, Chicago, IL USA; [Maidana, Daniel E.] Univ Illinois, Dept Ophthalmol &amp; Visual Sci, Chicago, IL USA; [Salamanca, Olga C.] Univ Francisco Marroquin, Posgrad Oftalmol, Ciudad De Guatemala, Guatemala; [Delgado, Mariam Vila] Ctr Oftalmol Metropolitano, San Juan, PR USA; [Delgado, Mariam Vila; Chang, Ta C.] Bascom Palmer Eye Inst, Miami, FL USA; [Khodeiry, Mohamed] Univ Louisville, Dept Ophthalmol &amp; Visual Sci, Louisville, KY USA; [Elnahry, Ayman G.] Cairo Univ, Dept Ophthalmol, Cairo, Egypt; [Elnahry, Ayman G.] Univ Wisconsin Madison, Sch Med &amp; Publ Hlth, Dept Ophthalmol &amp; Visual Sci, Madison, WI USA; [Rolim-de-Moura, Christiane] Univ Fed Sao Paulo, Sao Paulo, Brazil; [Elhusseiny, Abdelrahman M.] Harvard Med Sch, Boston Childrens Hosp, Dept Ophthalmol, Boston, MA USA</t>
  </si>
  <si>
    <t>University of Arkansas System; University of Arkansas Medical Sciences; University of Arkansas System; University of Arkansas Medical Sciences; Chicago Medical School; Rosalind Franklin University of Medicine &amp; Science; University of Illinois System; University of Illinois Chicago; University of Illinois Chicago Hospital; University of Illinois System; University of Illinois Chicago; University of Illinois Chicago Hospital; Bascom Palmer Eye Institute; University of Louisville; Egyptian Knowledge Bank (EKB); Cairo University; University of Wisconsin System; University of Wisconsin Madison; Universidade Federal de Sao Paulo (UNIFESP); Harvard University; Harvard Medical School; Harvard University Medical Affiliates; Boston Children's Hospital</t>
  </si>
  <si>
    <t>Evaluating Large Language Models to Improve Spanish Patient Education on Childhood Glaucoma</t>
  </si>
  <si>
    <t>JOURNAL OF PEDIATRIC OPHTHALMOLOGY &amp; STRABISMUS</t>
  </si>
  <si>
    <t>HEALTH LITERACY</t>
  </si>
  <si>
    <t>Elnahry, Ayman/K-9395-2019; Elhusseiny, Abdelrahman/J-8520-2019; Khodeiry, Mohamed/JXN-5508-2024; de Moura, Christiane/P-2489-2015</t>
  </si>
  <si>
    <t>SLACK INC</t>
  </si>
  <si>
    <t>THOROFARE</t>
  </si>
  <si>
    <t>6900 GROVE RD, THOROFARE, NJ 08086 USA</t>
  </si>
  <si>
    <t>0191-3913</t>
  </si>
  <si>
    <t>1938-2405</t>
  </si>
  <si>
    <t>J PEDIAT OPHTH STRAB</t>
  </si>
  <si>
    <t>J. Pediatr. Ophthalmol. Strabismus.</t>
  </si>
  <si>
    <t>10.3928/01913913-20260416-02</t>
  </si>
  <si>
    <t>http://dx.doi.org/10.3928/01913913-20260416-02</t>
  </si>
  <si>
    <t>Ophthalmology; Pediatrics</t>
  </si>
  <si>
    <t>KB1MH</t>
  </si>
  <si>
    <t>42312647</t>
  </si>
  <si>
    <t>WOS:001802772300001</t>
  </si>
  <si>
    <t>Rao, A; Cholankeril, G; Flores, A; Sood, G; White, TE; Kanwal, F; El-Serag, HB</t>
  </si>
  <si>
    <t>Background: Idiosyncratic DILI is a complex clinical challenge requiring timely and accurate decision support. LiverTox, curated by the National Institute of Health (NIH), offers a comprehensive DILI evidence base, but its encyclopedia-like format hinders point-of-care use. Health care providers increasingly use general large language models (LLMs) for clinical care, raising safety concerns due to LLM hallucinations or misinformation. We hypothesize that retrieval-augmented generation (RAG) integration-grounding LLM responses in LiverTox content-would enable accurate DILI decision support. Methods: We processed 1343 LiverTox drug monographs into 8759 indexed segments using BioBERT embeddings. We developed a RAG pipeline that employs drug-specific prioritization, section-aware weighting, and semantic search to retrieve the most relevant content per query. Twenty-five DILI questions were evaluated across 6 models: 4 RAG-LLMs: Mistral-7B, Claude-3-Haiku, Claude-3-Opus, and GPT-4o, and 2 non-RAG GPT-4o variants (unconstrained; soft constrained with a prompt to reference LiverTox). Three hepatologists, blinded to the model, evaluated responses for accuracy, completeness, and conciseness using 5-point Likert scales. Analyses included pairwise comparisons and effect size estimation. Results: One hundred fifty model responses were evaluated with good inter-rater reliability. GPT-4o (RAG) achieved the highest overall scores (4.47 +/- 0.10). RAG-LLMs outperformed non-RAG GPT-4o variants in accuracy (p&lt;0.001) and completeness (p&lt;0.01). Moderate to large effect sizes in accuracy (d=0.778) and completeness (d=0.526) were noted with RAG. No hallucinations were observed in RAG-LLM outputs, while both non-RAG GPT-4o variants produced several hallucinated responses. There were no significant differences in scoring or hallucinated response rate between the 2 non-RAG variants. Conclusions: We developed an RAG-LLM integrated with LiverTox for evidence-based DILI management. RAG-LLM systems outperformed non-RAG variants and produced responses without observed hallucinations in this evaluation. Our LiverTox RAG-LLM enables reliable answers to drug hepatotoxicity questions at the point of care.</t>
  </si>
  <si>
    <t>Rao, Ashwin; Cholankeril, George; Flores, Avegail; Sood, Gagan; White, Terrence E.; Kanwal, Fasiha; El-Serag, Hashem B.</t>
  </si>
  <si>
    <t>El-Serag, HB (corresponding author), Baylor Coll Med, Dept Med, Sect Gastroenterol &amp; Hepatol, 7200 Cambridge St,8th Floor,Suite 8B, Houston, TX 77030 USA.</t>
  </si>
  <si>
    <t>avegail.flores@bcm.edu; George.Cholankeril@bcm.edu; hasheme@bcm.edu; gksood@bcm.edu; Terrence.E.White@uth.tmc.edu; ashwin.rao@bcm.edu; kanwal@bcm.edu</t>
  </si>
  <si>
    <t>National Institute of Diabetes and Digestive and Kidney Diseases of the National Institutes of Health [T32DK083266]</t>
  </si>
  <si>
    <t>National Institute of Diabetes and Digestive and Kidney Diseases of the National Institutes of Health (United States Department of Health &amp; Human Services, National Institutes of Health (NIH) - USA, NIH National Institute of Diabetes &amp; Digestive &amp; Kidney Diseases (NIDDK))</t>
  </si>
  <si>
    <t>Research reported in this publication was supported by the National Institute of Diabetes and Digestive and Kidney Diseases of the National Institutes of Health under Award Number T32DK083266. The content is solely the responsibility of the authors and does not necessarily represent the official views of the National Institutes of Health.</t>
  </si>
  <si>
    <t>[Rao, Ashwin; Cholankeril, George; Flores, Avegail; Sood, Gagan; Kanwal, Fasiha; El-Serag, Hashem B.] Baylor Coll Med, Dept Med, Sect Gastroenterol &amp; Hepatol, 7200 Cambridge St,8th Floor,Suite 8B, Houston, TX 77030 USA; [White, Terrence E.] Univ Texas Hlth Houston, D Bradley McWilliams Sch Bioinformat, Houston, TX USA</t>
  </si>
  <si>
    <t>Baylor College of Medicine</t>
  </si>
  <si>
    <t>Development of retrieval-augmented generation-based large language model for drug-induced liver injury using Livertox data</t>
  </si>
  <si>
    <t>HEPATOLOGY COMMUNICATIONS</t>
  </si>
  <si>
    <t>artificial intelligence; clinical decision support; DILI; hepatotoxicity</t>
  </si>
  <si>
    <t>POPULATION</t>
  </si>
  <si>
    <t>El-Serag, Hashem/AFR-4394-2022</t>
  </si>
  <si>
    <t>2471-254X</t>
  </si>
  <si>
    <t>HEPATOL COMMUN</t>
  </si>
  <si>
    <t>Hepatol. Commun.</t>
  </si>
  <si>
    <t>e00895</t>
  </si>
  <si>
    <t>10.1097/HC9.0000000000000895</t>
  </si>
  <si>
    <t>http://dx.doi.org/10.1097/HC9.0000000000000895</t>
  </si>
  <si>
    <t>DP6VC</t>
  </si>
  <si>
    <t>41678290</t>
  </si>
  <si>
    <t>WOS:001689101400001</t>
  </si>
  <si>
    <t>Liu, JL; Liu, SR</t>
  </si>
  <si>
    <t>Personal health large language models (PH-LLMs) have rapidly evolved from research prototypes into consumer-facing, data-linked systemsthat support symptom triage, medication questions, mental health check-ins, and longitudinal self-management. Their direct-to-consumer use without clinical oversight creates a distinct ethical risk profile that general artificial intelligence governance frameworks do not fully address. This viewpoint focuses on text-based, platform-mediated PH-LLMs and synthesizes PH-LLM-specific challenges across 6 domains: privacy, accuracy, equity, transparency, human-artificial intelligence interaction, and regulatory governance. These risks may be amplified by health literacy gaps, longitudinal data aggregation, persuasive conversational design, and fragmented oversight across the consumer-clinical boundary. Grounded in the 4 principles of biomedical ethics, we propose a governance framework that operationalizes beneficence, nonmaleficence, autonomy, and justice through design and deployment controls, including health literacy-aligned communication, crisis and pharmacological safeguards, hallucination mitigation, role disclosure, granular consent, fairness auditing, and accessible design. We further outline implementation mechanisms, including risk-tiered certification, tiered accountability, and postdeployment oversight through adverse-event reporting, transparency reporting, and independent safety evaluation. This framework is intended as an evidence-informed but partly anticipatory approach to governing PH-LLMs in personal health management.</t>
  </si>
  <si>
    <t>Liu, Jialin; Liu, Siru</t>
  </si>
  <si>
    <t>Liu, SR (corresponding author), Vanderbilt Univ, Dept Biomed Informat, Med Ctr, 2525 West End Ave 1475, Nashville, TN 37212 USA.</t>
  </si>
  <si>
    <t>siru.liu@vumc.org</t>
  </si>
  <si>
    <t>[Liu, Jialin] Sichuan Univ, West China Hosp, Informat Ctr, Chengdu, Sichuan, Peoples R China; [Liu, Jialin] Sichuan Univ, Dept Otolaryngol Head &amp; Neck Surg, West China Hosp, Chengdu, Sichuan, Peoples R China; [Liu, Siru] Vanderbilt Univ, Dept Biomed Informat, Med Ctr, 2525 West End Ave 1475, Nashville, TN 37212 USA</t>
  </si>
  <si>
    <t>Sichuan University; Sichuan University; Vanderbilt University</t>
  </si>
  <si>
    <t>Ethical Considerations in Personal Health Large Language Models</t>
  </si>
  <si>
    <t>digital health; ethics; privacy; generative artificial intelligence; governance; health AI; health equity; health literacy; patient safety; personal health large language model</t>
  </si>
  <si>
    <t>BIAS; CARE; RISK</t>
  </si>
  <si>
    <t>139</t>
  </si>
  <si>
    <t>JUN 17 2026</t>
  </si>
  <si>
    <t>e92240</t>
  </si>
  <si>
    <t>10.2196/92240</t>
  </si>
  <si>
    <t>http://dx.doi.org/10.2196/92240</t>
  </si>
  <si>
    <t>KA5IP</t>
  </si>
  <si>
    <t>42308509</t>
  </si>
  <si>
    <t>WOS:001802357100006</t>
  </si>
  <si>
    <t>Landman, R; Healey, SP; Loprinzo, V; Kochendoerfer, U; Winnier, AR; Henstock, P; Lin, WY; Chen, AQ; Rajendran, A; Penshanwar, S; Khan, S; Madhavan, S</t>
  </si>
  <si>
    <t>Objectives The generation of structured documents for clinical trials is a promising application of large language models (LLMs). We share opportunities, insights, and challenges from a competitive challenge that used LLMs for automating clinical trial documentation.Materials and Methods As part of a challenge initiated by Pfizer (organizer), several teams (participant) created a pilot for generating summaries of safety tables for clinical study reports (CSRs). Our evaluation framework used automated metrics and expert reviews to assess the quality of AI-generated documents.Results The comparative analysis revealed differences in performance across solutions, particularly in factual accuracy and lean writing. Most participants employed prompt engineering with generative pre-trained transformer (GPT) models.Discussion We discuss areas for improvement, including better ingestion of tables, addition of context and fine-tuning.Conclusion The challenge results demonstrate the potential of LLMs in automating table summarization in CSRs while also revealing the importance of human involvement and continued research to optimize this technology.Large language models (LLMs) have shown promise in automating the creation of structured documents for clinical trials. In a recent competition organized by Pfizer, teams developed a pilot program to generate summaries of safety tables for clinical study reports (CSRs) using LLMs. They evaluated the quality of the AI-generated documents using automated metrics and expert reviews.The analysis revealed differences in performance among the solutions, particularly in terms of factual accuracy and concise writing. Most participants used a model called generative pre-trained transformer (GPT) with prompt engineering. Areas for improvement were identified, such as better handling of tables, adding context, and fine-tuning the models.The challenge results demonstrated the potential of LLMs in automating the summarization of tables in CSRs. However, the study also emphasized the importance of human involvement and ongoing research to optimize this technology. Creating CSRs is a time-consuming process, and one of the challenges is extracting relevant information from tables. It is important to include additional information and consider connections across different tables. Continued research will be done to address these issues.</t>
  </si>
  <si>
    <t>Landman, Rogier; Healey, Sean P.; Loprinzo, Vittorio; Kochendoerfer, Ulrike; Winnier, Angela Russell; Henstock, Peter, V; Lin, Wenyi; Chen, Aqiu; Rajendran, Arthi; Penshanwar, Sushant; Khan, Sheraz; Madhavan, Subha</t>
  </si>
  <si>
    <t>Madhavan, S (corresponding author), 66 Hudson Blvd E, New York, NY 10001 USA.</t>
  </si>
  <si>
    <t>subha.madhavan@pfizer.com</t>
  </si>
  <si>
    <t>Pfizer Inc.</t>
  </si>
  <si>
    <t>Pfizer Inc. (Pfizer)</t>
  </si>
  <si>
    <t>This work was supported by Pfizer Inc.</t>
  </si>
  <si>
    <t>[Landman, Rogier; Healey, Sean P.; Loprinzo, Vittorio; Kochendoerfer, Ulrike; Winnier, Angela Russell; Henstock, Peter, V; Lin, Wenyi; Chen, Aqiu; Rajendran, Arthi; Penshanwar, Sushant; Khan, Sheraz; Madhavan, Subha] Pfizer Res &amp; Dev, New York, NY 10001 USA; [Madhavan, Subha] 66 Hudson Blvd E, New York, NY 10001 USA</t>
  </si>
  <si>
    <t>Pfizer; Pfizer USA</t>
  </si>
  <si>
    <t>Using large language models for safety-related table summarization in clinical study reports</t>
  </si>
  <si>
    <t>generative artificial intelligence; natural language processing; large language models; GPT-3.5; regulatory documents; clinical trials; text summarization</t>
  </si>
  <si>
    <t>Landman, Rogier/JNT-5602-2023</t>
  </si>
  <si>
    <t>, Rogier/0000-0002-0627-0197</t>
  </si>
  <si>
    <t>APR 8 2024</t>
  </si>
  <si>
    <t>ooae043</t>
  </si>
  <si>
    <t>10.1093/jamiaopen/ooae043</t>
  </si>
  <si>
    <t>http://dx.doi.org/10.1093/jamiaopen/ooae043</t>
  </si>
  <si>
    <t>SK4U0</t>
  </si>
  <si>
    <t>38818116</t>
  </si>
  <si>
    <t>WOS:001234341400002</t>
  </si>
  <si>
    <t>Kim, TT; Makutonin, M; Sirous, R; Javan, R</t>
  </si>
  <si>
    <t>Large language models (LLMs) such as generative pretrained transformers (GPTs) have had a major impact on society, and there is increasing interest in using these models for applications in medicine and radiology. This article presents techniques to optimize these models and describes their known challenges and limitations. Specifically, the authors explore how to best craft natural language prompts, a process known as prompt engineering, for these models to elicit more accurate and desirable responses. The authors also explain how fine-tuning is conducted, in which a more general model, such as GPT-4, is further trained on a more specific use case, such as summarizing clinical notes, to further improve reliability and relevance. Despite the enormous potential of these models, substantial challenges limit their widespread implementation. These tools differ substantially from traditional health technology in their complexity and their probabilistic and nondeterministic nature, and these differences lead to issues such as "hallucinations," biases, lack of reliability, and security risks. Therefore, the authors provide radiologists with baseline knowledge of the technology underpinning these models and an understanding of how to use them, in addition to exploring best practices in prompt engineering and fine-tuning. Also discussed are current proof-of-concept use cases of LLMs in the radiology literature, such as in clinical decision support and report generation, and the limitations preventing their current adoption in medicine and radiology. (c) RSNA, 2025 center dot radiographics.rsna.org</t>
  </si>
  <si>
    <t>Kim, Theodore Taehoon; Makutonin, Michael; Sirous, Reza; Javan, Ramin</t>
  </si>
  <si>
    <t>Kim, TT (corresponding author), George Washington Univ, Sch Med &amp; Hlth Sci, Dept Radiol, 2300 ISt NW, Washington, DC 20052 USA.</t>
  </si>
  <si>
    <t>theodorekim@gwmail.gwu.edu</t>
  </si>
  <si>
    <t>[Kim, Theodore Taehoon; Javan, Ramin] George Washington Univ, Sch Med &amp; Hlth Sci, Dept Radiol, 2300 ISt NW, Washington, DC 20052 USA; [Makutonin, Michael] Yale Sch Med, New Haven, CT USA; [Sirous, Reza] Univ Calif San Francisco, San Francisco, CA USA; [Makutonin, Michael] Yale Sch Med, Dept Emergency Med, New Haven, CT USA; [Sirous, Reza] Univ Chicago, Dept Radiol, Chicago, IL USA</t>
  </si>
  <si>
    <t>George Washington University; Yale University; University of California System; University of California San Francisco; Yale University; University of Chicago</t>
  </si>
  <si>
    <t>Optimizing Large Language Models in Radiology and Mitigating Pitfalls: Prompt Engineering and Fine-tuning</t>
  </si>
  <si>
    <t>RADIOGRAPHICS</t>
  </si>
  <si>
    <t>Javan, Ramin/AAN-8503-2020</t>
  </si>
  <si>
    <t>Makutonin, Michael/0000-0001-5973-6301; Javan, Ramin/0000-0001-8939-2781; Sirous, Reza/0000-0003-1539-9731</t>
  </si>
  <si>
    <t>80</t>
  </si>
  <si>
    <t>RADIOLOGICAL SOC NORTH AMERICA (RSNA)</t>
  </si>
  <si>
    <t>OAK BROOK</t>
  </si>
  <si>
    <t>820 JORIE BLVD, SUITE 200, OAK BROOK, ILLINOIS, UNITED STATES</t>
  </si>
  <si>
    <t>0271-5333</t>
  </si>
  <si>
    <t>Radiographics</t>
  </si>
  <si>
    <t>APR 2025</t>
  </si>
  <si>
    <t>e240073</t>
  </si>
  <si>
    <t>10.1148/rg.240073</t>
  </si>
  <si>
    <t>http://dx.doi.org/10.1148/rg.240073</t>
  </si>
  <si>
    <t>3HS6G</t>
  </si>
  <si>
    <t>40048389</t>
  </si>
  <si>
    <t>WOS:001500628100004</t>
  </si>
  <si>
    <t>Tariq, A; Trivedi, S; Urooj, A; Ramasamy, G; Fathizadeh, S; Stib, M; Tan, N; Patel, B; Banerjee, I</t>
  </si>
  <si>
    <t>Education-level or socioeconomic background of patients may dictate their ability to understand medical jargon. Inability to understand primary findings from a radiology report may lead to unnecessary anxiety among patients or missed follow up. We aim to meet this challenge by developing a patient-sensitive summarization model for radiology reports. We selected computed tomography (CT) exams of chest as a use-case and collected 7,000 studies from Mayo Clinic. Summarization model was built on top of the T5 large language model (LLM) as our experiments indicated that its text-to-text transfer architecture was suited for abstractive text summarization, resulting in a model with 0.77B trainable parameters. Noisy ground truth for model training was collected by prompting LLaMA-13B model. We recruited experts (board-certified radiologists) and laymen to manually evaluate model-generated summaries generated by model. Our model rarely missed information as marked by majority opinion of radiologists. Laymen indicated 63% improvement in their understanding by reading model-generated layman summaries. Comparison with zero-shot performance of ChatGPT indicated that the proposed model reduced the rate of hallucination by half and rate of missing important information by fivefold. The proposed model can generate reliable summaries for radiology reports understandable by patients with vastly different levels of medical knowledge.</t>
  </si>
  <si>
    <t>Tariq, Amara; Trivedi, Shubham; Urooj, Aisha; Ramasamy, Gokul; Fathizadeh, Sam; Stib, Matthew; Tan, Nelly; Patel, Bhavik; Banerjee, Imon</t>
  </si>
  <si>
    <t>Tariq, A (corresponding author), Mayo Clin Arizona, Scottsdale, AZ 85259 USA.</t>
  </si>
  <si>
    <t>ramasamy.gokul@mayo.edu; tan.nelly@mayo.edu; banerjee.imon@mayo.edu; tariq.amara@mayo.edu; samf2@uic.edu; patel.bhavik@mayo.edu; stib.matthew@mayo.edu; urooj.aisha@mayo.edu; trivedi.shubham@mayo.edu</t>
  </si>
  <si>
    <t>Mayo Clinic Arizona Center for Digital Health (CHD) Dalio AIM/ML Enablement Award 2024</t>
  </si>
  <si>
    <t>This study was funded by Mayo Clinic Arizona Center for Digital Health (CHD) Dalio AIM/ML Enablement Award 2024.</t>
  </si>
  <si>
    <t>[Tariq, Amara; Trivedi, Shubham; Urooj, Aisha; Ramasamy, Gokul; Stib, Matthew; Tan, Nelly; Patel, Bhavik; Banerjee, Imon] Mayo Clin Arizona, Scottsdale, AZ 85259 USA; [Fathizadeh, Sam] Univ Illinois, Coll Med, Chicago, IL USA</t>
  </si>
  <si>
    <t>Mayo Clinic; Mayo Clinic Phoenix; University of Illinois System; University of Illinois Chicago; University of Illinois Chicago Hospital</t>
  </si>
  <si>
    <t>Patient-centric Summarization of Radiology Findings Using Two-step Training of Large Language Models</t>
  </si>
  <si>
    <t>ACM TRANSACTIONS ON COMPUTING FOR HEALTHCARE</t>
  </si>
  <si>
    <t>large language models; domain-specific training; chest computed tomography</t>
  </si>
  <si>
    <t>Ramasamy, Gokul/NQE-3921-2025</t>
  </si>
  <si>
    <t>Trivedi, Shubham/0000-0003-0526-7970; Ramasamy, Gokul/0000-0001-8401-8061; Tan, Nelly/0000-0001-9636-6944; Banerjee, Imon/0000-0002-3327-8004; Stib, Matthew/0000-0002-4693-2239; Fathizadeh, Sam/0009-0002-7138-9386</t>
  </si>
  <si>
    <t>39</t>
  </si>
  <si>
    <t>ASSOC COMPUTING MACHINERY</t>
  </si>
  <si>
    <t>1601 Broadway, 10th Floor, NEW YORK, NY USA</t>
  </si>
  <si>
    <t>2691-1957</t>
  </si>
  <si>
    <t>2637-8051</t>
  </si>
  <si>
    <t>ACM T COMPUT HEALTHC</t>
  </si>
  <si>
    <t>ACM Trans. Comput. Healthc.</t>
  </si>
  <si>
    <t>10.1145/3709154</t>
  </si>
  <si>
    <t>http://dx.doi.org/10.1145/3709154</t>
  </si>
  <si>
    <t>2RT4T</t>
  </si>
  <si>
    <t>WOS:001489746900002</t>
  </si>
  <si>
    <t>Wang, JS; Swoboda, DM; Nazha, A</t>
  </si>
  <si>
    <t>PURPOSEAnalyzing complex medical data sets is specialized and time-consuming. This study aimed to develop and evaluate a novel multiagent artificial intelligence (AI) framework for automating medical data analysis workflows and to compare its performance against nonagent-based approaches using large language models (LLMs).METHODSA six-party AI agent system was developed using the AutoGen platform, with specialized agents for planning, data retrieval, cleaning, statistical analysis, and review, powered by OpenAI gpt-4o. This framework was applied to deidentified single patient-level data sets from 20 recent studies in the field of bone marrow transplantation (2021-2023). The primary objective was to evaluate its accuracy in replicating published primary outcomes, benchmarked against direct use of the Web site-based ChatGPT 4o.RESULTSThe multiagent framework successfully replicated 53.3% (95% CI, 40.7 to 66.0) of primary outcomes, significantly outperforming ChatGPT 4o (35.0% [95% CI, 22.9 to 47.1]; P = .04). The agent framework's failures were predominantly due to data transformation issues (46.4%) and analysis code errors (21.4%). In contrast, ChatGPT 4o failures largely stemmed from incorrect statistical method application (38.4%) and data transformation (45.6%), often attempting to resolve code errors by switching to alternative, incorrect statistical methods. Hallucinations of variables or results were not observed in the multiagent approach.CONCLUSIONOur multiagent AI framework demonstrated superior accuracy and robustness in automating biomedical data analysis compared with a generalized LLM.</t>
  </si>
  <si>
    <t>Wang, Jiasheng; Swoboda, David M.; Nazha, Aziz</t>
  </si>
  <si>
    <t>Wang, JS (corresponding author), Ohio State Univ, Dept Med, Div Hematol, Comprehens Canc Ctr, Columbus, OH 43210 USA.</t>
  </si>
  <si>
    <t>Jiasheng.Wang@osumc.edu</t>
  </si>
  <si>
    <t>[Wang, Jiasheng] Ohio State Univ, Dept Med, Div Hematol, Comprehens Canc Ctr, Columbus, OH 43210 USA; [Swoboda, David M.] Tampa Gen Hosp, Canc Inst, Tampa, FL USA; [Nazha, Aziz] Thomas Jefferson Univ, Sidney Kimmel Canc Ctr, Dept Med Oncol, Philadelphia, PA USA</t>
  </si>
  <si>
    <t>James Cancer Hospital &amp; Solove Research Institute; Ohio State University; University System of Ohio; Ohio State University; Tampa General Hospital; Thomas Jefferson University</t>
  </si>
  <si>
    <t>Autonomous Analysis of Curated Patient Data Using a Large Language Model-Based Multiagent Framework</t>
  </si>
  <si>
    <t>JCO CLINICAL CANCER INFORMATICS</t>
  </si>
  <si>
    <t>Swoboda, David/0000-0002-6102-1695; Wang, Jiasheng/0000-0003-3053-5439</t>
  </si>
  <si>
    <t>2473-4276</t>
  </si>
  <si>
    <t>JCO CLIN CANCER INFO</t>
  </si>
  <si>
    <t>JCO Clin. Cancer Info.</t>
  </si>
  <si>
    <t>e2500176</t>
  </si>
  <si>
    <t>10.1200/CCI-25-00176</t>
  </si>
  <si>
    <t>http://dx.doi.org/10.1200/CCI-25-00176</t>
  </si>
  <si>
    <t>Z6505</t>
  </si>
  <si>
    <t>41418093</t>
  </si>
  <si>
    <t>WOS:001642824500001</t>
  </si>
  <si>
    <t>Zhang, DF; Du, HZ; Wang, XL; Zhu, MD; Pang, XX; Wei, DQ; Wang, XF</t>
  </si>
  <si>
    <t>In the domain of Chinese clinical medical question-answering (QA), traditional Large Language Models (LLMs) encounter challenges such as hallucinations and difficulties in updating knowledge for knowledge-intensive tasks. To address these issues, this research presents a Chinese clinical medical QA model that integrates Retrieval-Augmented Generation (RAG) and a medical knowledge graph, named CMedRAGBot. First, a Chinese medical knowledge graph encompassing multiple entity types-including diseases, medications, and symptoms-is constructed. Based on this knowledge graph, a Named Entity Recognition (NER) model built on a Chinese-RoBERTa and BiGRU architecture is designed, with data augmentation strategies employed to enhance its generalization capability. In addition, prompt engineering techniques are used to implement intent recognition for user queries, mapping them to predefined intent categories. Finally, the aforementioned modules are integrated to form a complete Chinese clinical medical QA system. In the experimental evaluation, CMedRAGBot is deployed on five state-of-the-art LLMs (including ChatGPT-4o, ChatGPT-o1, DeepSeek-R1, Llama-3.3-70B-Instruct, and Gemini 2.0 Flash) and tested using specialized question banks derived from the Chinese Clinical Medical Qualification Examinations and Residency Standardization Training Examinations from 2000 to 2023. The results indicate that the integration of CMedRAGBot significantly improves the test accuracy of all models, with increases of up to approximately 10%. Furthermore, ablation experiments reveal that data augmentation enhances NER model's F1 score from 95.27% to 97.55%, while the inclusion of an intent recognition module markedly improves the model's ability to understand complex queries, thereby further boosting answer accuracy. Source code of the research is available at https://github.com/zhdongfang/CMedRAGBot.Graphical AbstractThe proposed CMedRAGBot mainly includes four steps: (1) A Chinese medical knowledge graph is constructed to encompass multiple entity types such as diseases, medications, and symptoms. (2) An NER model based on Chinese-RoBERTa and BiGRU is designed, with data augmentation to enhance generalization capability. (3) Prompt engineering is employed to identify user intent and map queries to predefined intent categories. (4) The aforementioned modules are integrated with LLMs to build CMedRAGBot. This method effectively addresses the knowledge acquisition, comprehension, and hallucination challenges faced by traditional LLMs in Chinese medical question answering, thus providing novel insights for intelligent diagnosis and treatment</t>
  </si>
  <si>
    <t>Zhang, Dongfang; Du, Haoze; Wang, Xiaolei; Zhu, Mingdong; Pang, Xiaoxiao; Wei, Dongqing; Wang, Xianfang</t>
  </si>
  <si>
    <t>Zhang, DF; Wang, XF (corresponding author), Henan Inst Technol, Sch Comp Sci &amp; Technol, Xinxiang 453003, Peoples R China.; Wang, XF (corresponding author), North Henan Med Univ, Sch Intelligent Med Engn, Xinxiang 453514, Peoples R China.; Wang, XF (corresponding author), Mfg IoT Big Data Engn Technol Res Ctr Henan Prov, Xinxiang 453003, Peoples R China.</t>
  </si>
  <si>
    <t>hdu5@ncsu.edu; dongfang@hait.edu.cn; dqwei@sjtu.edu.cn; wangxiaolei@hait.edu.cn; 2wangfang@163.com; zhumingdong@hait.edu.cn; pangxiao@hait.edu.cn</t>
  </si>
  <si>
    <t>Natural Science Foundation of Henan Province [252300421294]; Key Project of the Henan Provincial Natural Science Foundation [KQ2002]; Doctoral Program of Henan Institute of Technology [252102210016, 252102211028]; Henan Provincial Science and Technology Project for Key Research and Development [245101610001]; Major Project of the Joint Fund of Henan Provincial Science and Technology Research and Development Program (Industrial Category) [62072157, 32030063]; National Natural Science Foundation of China [202300410102]; Natural Science Foundation of Henan Province [2023YFE0199200]; Intergovernmental International Scientific and Technological Innovation and Cooperation Program of the National Key RD Program [2024YFA1306402]; National Key RD Program; Shanghai Jiao Tong University</t>
  </si>
  <si>
    <t>Natural Science Foundation of Henan Province (National Natural Science Foundation of Henan Province); Key Project of the Henan Provincial Natural Science Foundation; Doctoral Program of Henan Institute of Technology; Henan Provincial Science and Technology Project for Key Research and Development; Major Project of the Joint Fund of Henan Provincial Science and Technology Research and Development Program (Industrial Category); National Natural Science Foundation of China (National Natural Science Foundation of China (NSFC)); Natural Science Foundation of Henan Province (National Natural Science Foundation of Henan Province); Intergovernmental International Scientific and Technological Innovation and Cooperation Program of the National Key RD Program; National Key RD Program; Shanghai Jiao Tong University</t>
  </si>
  <si>
    <t>This work was supported by Key Project of the Henan Provincial Natural Science Foundation (No. 252300421294), Doctoral Program of Henan Institute of Technology (No. KQ2002), Henan Provincial Science and Technology Project for Key Research and Development (Nos. 252102210016, 252102211028), Major Project of the Joint Fund of Henan Provincial Science and Technology Research and Development Program (Industrial Category) (No. 245101610001), National Natural Science Foundation of China (Nos. 62072157, 32030063), Natural Science Foundation of Henan Province (No. 202300410102), Intergovernmental International Scientific and Technological Innovation and Cooperation Program of the National Key R&amp;D Program (No. 2023YFE0199200), and National Key R&amp;D Program (No. 2024YFA1306402). The computations were partially performed at the Bioinformatics Big Data High-Performance Computing Platform of Henan Institute of Technology, Pengcheng Lab, and theCenter for High-Performance Computing, and Shanghai Jiao Tong University. The conception of this research was supported and thoughtfully guided by Professor Dong Xu from the University of Missouri, for which we express our profound gratitude.</t>
  </si>
  <si>
    <t>[Zhang, Dongfang; Wang, Xiaolei; Zhu, Mingdong; Pang, Xiaoxiao; Wang, Xianfang] Henan Inst Technol, Sch Comp Sci &amp; Technol, Xinxiang 453003, Peoples R China; [Du, Haoze] North Carolina State Univ, Dept Comp Sci, Raleigh, NC 27695 USA; [Wei, Dongqing] Shanghai Jiao Tong Univ, Sch Life Sci &amp; Biotechnol, State Key Lab Microbial Metab, Joint Int Res Lab Metab &amp; Dev Sci, Shanghai 200030, Peoples R China; [Wei, Dongqing] Zhongguancun Sci Pk, Zhongjing Res &amp; Industrializat Inst Chinese Med, Nanyang 473006, Peoples R China; [Wang, Xianfang] North Henan Med Univ, Sch Intelligent Med Engn, Xinxiang 453514, Peoples R China; [Wang, Xianfang] Mfg IoT Big Data Engn Technol Res Ctr Henan Prov, Xinxiang 453003, Peoples R China; [Wei, Dongqing] Qihe Lab, Hebi 458030, Peoples R China</t>
  </si>
  <si>
    <t>Henan Institute of Technology; North Carolina State University; Shanghai Jiao Tong University; North Henan Medical University</t>
  </si>
  <si>
    <t>CMedRAGBot: A Chinese Medical Chatbot Based on Graph RAG and Large Language Models</t>
  </si>
  <si>
    <t>INTERDISCIPLINARY SCIENCES-COMPUTATIONAL LIFE SCIENCES</t>
  </si>
  <si>
    <t>Retrieval-augmented generation; Chinese medical chatbot; Large language model; Knowledge graph; Named entity recognition</t>
  </si>
  <si>
    <t>Zhang, Dongfang/MBH-2560-2025; Wei, Dongqing/E-6398-2010; Du, Haoze/KZT-9202-2024</t>
  </si>
  <si>
    <t>Wei, Dongqing/0000-0003-4200-7502; Wang, Xian-Fang/0000-0001-8355-1470</t>
  </si>
  <si>
    <t>SPRINGER HEIDELBERG</t>
  </si>
  <si>
    <t>HEIDELBERG</t>
  </si>
  <si>
    <t>TIERGARTENSTRASSE 17, D-69121 HEIDELBERG, GERMANY</t>
  </si>
  <si>
    <t>1913-2751</t>
  </si>
  <si>
    <t>1867-1462</t>
  </si>
  <si>
    <t>INTERDISCIP SCI</t>
  </si>
  <si>
    <t>Interdiscip. Sci.</t>
  </si>
  <si>
    <t>844</t>
  </si>
  <si>
    <t>859</t>
  </si>
  <si>
    <t>10.1007/s12539-025-00715-5</t>
  </si>
  <si>
    <t>http://dx.doi.org/10.1007/s12539-025-00715-5</t>
  </si>
  <si>
    <t>JUN 2025</t>
  </si>
  <si>
    <t>L3266</t>
  </si>
  <si>
    <t>40474035</t>
  </si>
  <si>
    <t>WOS:001502708700001</t>
  </si>
  <si>
    <t>Huang, YH; Yang, GZ; Shen, YH; Chen, HG; Wu, WB; Li, XJ; Wu, YH; Zhang, K; Xu, JN; Zhang, J</t>
  </si>
  <si>
    <t>Background: Large language models (LLMs) have made significant advancements in natural language processing (NLP) and are gradually showing potential for application in the medical field. However, LLMs still face challenges in medicine. Objective: This study aims to evaluate the efficiency, accuracy, and cost of LLMs in handling complex medical cases and to assess their potential and applicability as tools for clinical decision support. Methods: We selected cases from the database of the Department of Cardiothoracic Surgery, the Third Affiliated Hospital of Sun Yat-sen University (2021-2024), and conducted a multidimensional preliminary evaluation of the latest LLMs in clinical decision-making for complex cases. The evaluation included measuring the time taken for the LLMs to generate decision recommendations, Likert scores, and calculating decision costs to assess the execution efficiency, accuracy, and cost-effectiveness of the models. Results: A total of 80 complex cases were included in this study, and the performance of multiple LLMs in clinical decision-making was evaluated. Experts required 33.60 minutes on average (95% CI 32.57-34.63), far longer than any LLM. GPTo1 (0.71, 95% CI 0.67-0.74), GPT4o (0.88, 95% CI 0.83-0.92), and Deepseek (0.94, 95% CI 0.90-0.96) all finished under a minute without statistical differences. Although Kimi, Gemini, LLaMa3-8B, and LLaMa3-70B took 1.02-3.20 minutes, they were still faster than experts. In terms of decision accuracy, Deepseek-R1 had the highest accuracy (mean Likert score=4.19), with no significant difference compared to GPTo1 (P=.699), and both performed significantly better than GPT4o, Kimi, Gemini, LLaMa3-70B, and LLaMa3-8B (P&lt;.001). Deepseek-R1 and GPTo1 demonstrated the lowest hallucination rates-6/80 (8%) and 5/80 (6%), respectively-significantly outperforming GPT-4o (7/80, 9%), Kimi (10/80, 12%), and the Gemini and LLaMa3 models, which exhibited substantially higher rates ranging from 13/80 (16%) to 25/80 (31%). Regarding decision costs, all LLMs showed significantly lower costs than the Multidisciplinary Team, with open-source models such as Deepseek-R1 offering a zero direct cost advantage. Conclusions: GPTo1 and Deepseek-R1 show strong clinical potential, boosting efficiency, maintaining accuracy, and reducing costs. GPT4o and Kimi performed moderately, indicating suitability for broader clinical tasks. Further research is needed to validate LLaMa3 series and Gemini in clinical decision.</t>
  </si>
  <si>
    <t>Huang, Yuanheng; Yang, Guozhen; Shen, Yahui; Chen, Huiguo; Wu, Weibin; Li, Xiaojun; Wu, Yonghui; Zhang, Kai; Xu, Jiannan; Zhang, Jian</t>
  </si>
  <si>
    <t>Zhang, J (corresponding author), Sun Yat sen Univ, Affiliated Hosp 3, Dept Cardiothorac Surg, 2693 Kaichuang Ave, Guangzhou 510000, Peoples R China.</t>
  </si>
  <si>
    <t>sumszhangjian@163.com</t>
  </si>
  <si>
    <t>National Natural Science Foundation of China [82373186]</t>
  </si>
  <si>
    <t>This study was supported by the National Natural Science Foundation of China (grant number 82373186) . We would like to express our deepest gratitude to all those who have provided their support and assistance in the completion of this project.</t>
  </si>
  <si>
    <t>[Huang, Yuanheng; Yang, Guozhen; Chen, Huiguo; Wu, Weibin; Li, Xiaojun; Wu, Yonghui; Zhang, Kai; Xu, Jiannan; Zhang, Jian] Sun Yat sen Univ, Affiliated Hosp 3, Dept Cardiothorac Surg, 2693 Kaichuang Ave, Guangzhou 510000, Peoples R China; [Shen, Yahui] Shaanxi Prov Canc Hosp, Dept Gynecol Oncol, Xian, Peoples R China</t>
  </si>
  <si>
    <t>Sun Yat Sen University</t>
  </si>
  <si>
    <t>Application of Large Language Models in Complex Clinical Cases: Cross-Sectional Evaluation Study</t>
  </si>
  <si>
    <t>large language models; artificial intelligence; clinical decision support; complex medical cases; cross-sectional studies</t>
  </si>
  <si>
    <t>Wu, Yonghui/ABX-2603-2022; zhang, kai/KLZ-6019-2024; Yang, Guozhen/R-1545-2016</t>
  </si>
  <si>
    <t>Wu, Weibin/0000-0002-2272-8735; Huang, Yuanheng/0000-0003-3357-8645</t>
  </si>
  <si>
    <t>e73941</t>
  </si>
  <si>
    <t>10.2196/73941</t>
  </si>
  <si>
    <t>http://dx.doi.org/10.2196/73941</t>
  </si>
  <si>
    <t>6RX2T</t>
  </si>
  <si>
    <t>41055081</t>
  </si>
  <si>
    <t>WOS:001560556800002</t>
  </si>
  <si>
    <t>Zhang, BY; Bornet, A; Yazdani, A; Khlebnikov, P; Milutinovic, M; Rouhizadeh, H; Amini, P; Teodoro, D</t>
  </si>
  <si>
    <t>Large language models (LLMs) have the potential to enhance the verification of health claims. However, issues with hallucination and comprehension of logical statements require these models to be closely scrutinized in healthcare applications. We introduce CliniFact, a scientific claim dataset created from hypothesis testing results in clinical research, covering 992 unique interventions for 22 disease categories. The dataset used study arms and interventions, primary outcome measures, and results from clinical trials to derive and label clinical research claims. These claims were then linked to supporting information describing clinical trial results in scientific publications. CliniFact contains 1,970 instances from 992 unique clinical trials related to 1,540 unique publications. When evaluating LLMs against CliniFact, discriminative models, such as BioBERT with an accuracy of 80.2%, outperformed generative counterparts, such as Llama3-70B, which reached 53.6% accuracy (p-value &lt; 0.001). Our results demonstrate the potential of CliniFact as a benchmark for evaluating LLM performance in clinical research claim verification.</t>
  </si>
  <si>
    <t>Zhang, Boya; Bornet, Alban; Yazdani, Anthony; Khlebnikov, Philipp; Milutinovic, Marija; Rouhizadeh, Hossein; Amini, Poorya; Teodoro, Douglas</t>
  </si>
  <si>
    <t>Zhang, BY; Teodoro, D (corresponding author), Univ Geneva, Fac Med, Dept Radiol &amp; Med Informat, Geneva, Switzerland.</t>
  </si>
  <si>
    <t>douglas.teodoro@unige.ch; boya.zhang@unige.ch</t>
  </si>
  <si>
    <t>[Zhang, Boya; Bornet, Alban; Yazdani, Anthony; Milutinovic, Marija; Rouhizadeh, Hossein; Teodoro, Douglas] Univ Geneva, Fac Med, Dept Radiol &amp; Med Informat, Geneva, Switzerland; [Khlebnikov, Philipp; Amini, Poorya] Risklick AG, Bern, Switzerland</t>
  </si>
  <si>
    <t>University of Geneva</t>
  </si>
  <si>
    <t>A dataset for evaluating clinical research claims in large language models</t>
  </si>
  <si>
    <t>SCIENTIFIC DATA</t>
  </si>
  <si>
    <t>Teodoro, Douglas/AAN-8343-2020</t>
  </si>
  <si>
    <t>Zhang, Boya/0000-0002-4439-8212; Yazdani, Anthony/0000-0003-3309-6128; Teodoro, Douglas/0000-0001-6238-4503; Bornet, Alban/0000-0002-7266-627X</t>
  </si>
  <si>
    <t>2052-4463</t>
  </si>
  <si>
    <t>SCI DATA</t>
  </si>
  <si>
    <t>Sci. Data</t>
  </si>
  <si>
    <t>JAN 16 2025</t>
  </si>
  <si>
    <t>86</t>
  </si>
  <si>
    <t>10.1038/s41597-025-04417-x</t>
  </si>
  <si>
    <t>http://dx.doi.org/10.1038/s41597-025-04417-x</t>
  </si>
  <si>
    <t>S9G6A</t>
  </si>
  <si>
    <t>39820357</t>
  </si>
  <si>
    <t>WOS:001401221000001</t>
  </si>
  <si>
    <t>Arun, S; Park, E; Klosterman, K; Zhu, C; Arun, R; Stratton, PW; Gangaswamiah, H</t>
  </si>
  <si>
    <t>Background/Objectives: Large language models (LLMs) are increasingly applied to medical image interpretation; however, their diagnostic accuracy and reliability in musculoskeletal radiology remain uncertain. This study evaluates the diagnostic performance and confidence calibration of LLMs in detecting and classifying bone tumors on radiographs. Methods: This retrospective observational study analyzed a dataset of 257 radiographs with confirmed diagnoses obtained from Radiopaedia, including normal studies and a spectrum of benign and malignant bone tumors. Cases were selected to ensure representation across multiple tumor types. Three LLMs (ChatGPT 5.3, X-ray Interpreter GPT-4.1, and X-ray Interpreter Gemini) evaluated each image using a standardized prompt assessing abnormality detection, tumor detection, classification, and confidence. Outcomes included diagnostic accuracy, false positive abnormality rates, false negative rates, tumor hallucination rates, and confidence calibration. Results: Abnormality detection was high across models, with Gemini demonstrating the highest sensitivity (up to 100%). Tumor detection was strongest in lesions with characteristic features, including osteosarcoma and osteochondroma. False negative rates varied substantially, with GPT-4.1 demonstrating the highest rate (29.9%), followed by ChatGPT (24.8%) and Gemini (6.6%). Primary diagnostic accuracy was highest for osteosarcoma in GPT-4.1 (80%), while ChatGPT 5.3 performed best in benign lesions, including osteochondroma (84.6%) and non-ossifying fibroma (76.9%). Tumor subtype classification remained limited across all models and was poorest for Ewing sarcoma (0% in ChatGPT and GPT-4.1; 10.3% in Gemini). False positive abnormality rates were highest in GPT-4.1 (40.7%), followed by Gemini (25.9%) and ChatGPT (13.5%). Tumor hallucination occurred only in Gemini (12.3%). All models demonstrated confidence miscalibration, with higher confidence observed in incorrect predictions and in tumor-negative cases. Conclusions: LLMs demonstrate strong performance in detecting radiographic abnormalities but remain limited in tumor subtype classification, particularly for diagnostically challenging lesions such as Ewing sarcoma. Elevated false positive and false negative rates, along with systematic overconfidence-especially in GPT-4.1-highlight important limitations for clinical use. These findings support the role of LLMs as adjunctive tools rather than independent diagnostic systems.</t>
  </si>
  <si>
    <t>Arun, Sanjana; Park, Eujung; Klosterman, Katja; Zhu, Carissa; Arun, Ronak; Stratton, Palmer Wrigley; Gangaswamiah, Hamsa</t>
  </si>
  <si>
    <t>Arun, S (corresponding author), Univ Arizona, Coll Med Phoenix, Phoenix, AZ 85004 USA.</t>
  </si>
  <si>
    <t>sanjarun@arizona.edu; carissazhu@arizona.edu; ronakarun2004@gmail.com; hamsa_jee@yahoo.com; eujungpark@arizona.edu; katjakloste@arizona.edu; pswrigle@asu.edu</t>
  </si>
  <si>
    <t>[Arun, Sanjana; Park, Eujung; Klosterman, Katja; Zhu, Carissa] Univ Arizona, Coll Med Phoenix, Phoenix, AZ 85004 USA; [Arun, Ronak] Univ Michigan, Language Sch, Ann Arbor, MI 48109 USA; [Arun, Ronak] Univ Michigan, Arts Dept, Ann Arbor, MI 48109 USA; [Stratton, Palmer Wrigley] Arizona State Univ, Biol Sci, Tempe, AZ 85287 USA; [Gangaswamiah, Hamsa] Robert Wood Johnson Barnabas Hlth, New Brunswick, NJ 08901 USA</t>
  </si>
  <si>
    <t>University of Arizona; University of Arizona Health Sciences; University of Michigan System; University of Michigan; University of Michigan System; University of Michigan; Arizona State University; Arizona State University-Tempe</t>
  </si>
  <si>
    <t>Diagnostic Performance and Confidence Calibration of Large Language Models for Bone Tumor Radiographs</t>
  </si>
  <si>
    <t>artificial intelligence; radiographs; large language models; bone tumors; diagnostic accuracy; medical imaging</t>
  </si>
  <si>
    <t>MAY 11 2026</t>
  </si>
  <si>
    <t>1460</t>
  </si>
  <si>
    <t>10.3390/diagnostics16101460</t>
  </si>
  <si>
    <t>http://dx.doi.org/10.3390/diagnostics16101460</t>
  </si>
  <si>
    <t>IM8HI</t>
  </si>
  <si>
    <t>42196826</t>
  </si>
  <si>
    <t>WOS:001775414700001</t>
  </si>
  <si>
    <t>Zhu, GH; Zhang, X; Chen, CX</t>
  </si>
  <si>
    <t>Background This study aimed to evaluate the reliability of five representative Chinese large language models (LLMs) in dental implantology. It also explored effective strategies for model enhancement. Methods A dataset of 100 dental implant-related questions (50 multiple-choice and 50 open-ended) was developed, covering medical knowledge, complex reasoning, and safety and ethics. Standard answers were validated by experts. Five LLMs-A: BaiXiaoYing, B: ChatGLM-4, C: ERNIE Bot 3.5, D: Qwen 2.5, and E: Kimi.ai-were tested using two metrics: recall and hallucination rate. Two enhancement techniques, chain of thought (CoT) reasoning and long text modeling (LTM), were applied, and their effectiveness was analyzed by comparing the metrics before and after the application of these techniques. Data analysis was conducted using SPSS software. ANOVA with Tukey HSD tests compared recall and hallucination rates across models, while paired t-tests evaluated changes before and after enhancement strategies. Results For multiple-choice questions, Group D (Qwen 2.5) achieved the highest recall at 0.9060 +/- 0.0087, while Group C (ERNIE Bot 3.5) had the lowest hallucination rate at 0.1245 +/- 0.0022. For open-ended questions, Group D maintained the highest recall at 0.7938 +/- 0.0216, and Group C exhibited the lowest hallucination rate at 0.2390 +/- 0.0029. Among enhancement strategies, chain-of-thought (CoT) reasoning improved Group D's recall by 0.0621 +/- 0.1474 (P &lt; 0.05) but caused a non-significant increase in hallucination rate (0.0390 +/- 0.1639, P &gt; 0.05). Long-text modeling (LTM) significantly enhanced recall by 0.1119 +/- 0.2000 (P &lt; 0.05) and reduced hallucination rate by 0.2985 +/- 0.4220 (P &lt; 0.05). Conclusions Qwen 2.5 and ERNIE Bot 3.5 demonstrated exceptional reliability in dental implantology, excelling in answer accuracy and minimizing misinformation across question types. Open-ended queries posed higher risks of hallucinations compared to structured multiple-choice tasks, highlighting the need for targeted validation in free-text scenarios. Chain-of-thought (CoT) reasoning modestly improved accuracy but carried the trade-off of potential hallucination increases, while long-text modeling (LTM) significantly enhanced both accuracy and reliability simultaneously. These findings underscore LTM's utility in optimizing large language models for specialized dental applications, balancing depth of reasoning with factual grounding to support clinical decision-making and educational training.</t>
  </si>
  <si>
    <t>Zhu, Guohui; Zhang, Xiao; Chen, Chunxia</t>
  </si>
  <si>
    <t>Chen, CX (corresponding author), Nankai Univ, Tianjin Stomatol Hosp, Sch Med, Dept Periodontol, Tianjin 300041, Peoples R China.; Chen, CX (corresponding author), Tianjin Key Lab Oral &amp; Maxillofacial Funct Reconst, Tianjin 300041, Peoples R China.</t>
  </si>
  <si>
    <t>my_tjskqyy@163.com</t>
  </si>
  <si>
    <t>A Key Discipline Construction Cultivation Project in Prosthodontics at Tianjin Stomatology Hospital</t>
  </si>
  <si>
    <t>The authors thank several doctors from Tianjin Stomatological Hospital and Tianjin Medical University Stomatological Hospital for their valuable input in analyzing the standard answers for the samples.</t>
  </si>
  <si>
    <t>[Zhu, Guohui; Chen, Chunxia] Nankai Univ, Tianjin Stomatol Hosp, Sch Med, Dept Periodontol, Tianjin 300041, Peoples R China; [Zhu, Guohui; Chen, Chunxia] Tianjin Key Lab Oral &amp; Maxillofacial Funct Reconst, Tianjin 300041, Peoples R China; [Zhang, Xiao] Renmin Univ China, Beijing 100872, Peoples R China</t>
  </si>
  <si>
    <t>Tianjin Medical University; Nankai University; Renmin University of China</t>
  </si>
  <si>
    <t>Assessing and enhancing the reliability of Chinese large language models in dental implantology</t>
  </si>
  <si>
    <t>BMC ORAL HEALTH</t>
  </si>
  <si>
    <t>Dental implantology; Large language models; Chain-of-thought reasoning; Long-text modeling; Hallucination rate; Recall</t>
  </si>
  <si>
    <t>Zhu, Guohui/JCN-7058-2023</t>
  </si>
  <si>
    <t>1472-6831</t>
  </si>
  <si>
    <t>BMC Oral Health</t>
  </si>
  <si>
    <t>JUL 26 2025</t>
  </si>
  <si>
    <t>1242</t>
  </si>
  <si>
    <t>10.1186/s12903-025-06648-1</t>
  </si>
  <si>
    <t>http://dx.doi.org/10.1186/s12903-025-06648-1</t>
  </si>
  <si>
    <t>Dentistry, Oral Surgery &amp; Medicine</t>
  </si>
  <si>
    <t>5KS8B</t>
  </si>
  <si>
    <t>40713564</t>
  </si>
  <si>
    <t>WOS:001538004700003</t>
  </si>
  <si>
    <t>Gilbert, S; Kather, JN; Hogan, A</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</si>
  <si>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 'communication problem'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</si>
  <si>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Gilbert, Stephen; Kather, Jakob Nikolas; Hogan, Aidan</t>
  </si>
  <si>
    <t>Gilbert, S (corresponding author), TUD Dresden Univ Technol, Else Kroner Fresenius Ctr Digital Hlth, Dresden, Germany.</t>
  </si>
  <si>
    <t>stephen.gilbert@tu-dresden.de</t>
  </si>
  <si>
    <t>Bundesministerium fuer Bildung und Forschung (BMBF) project; European Union; ANID-Millennium Science Initiative Program [ICN17 002]; Fondecyt Grant [1221926]</t>
  </si>
  <si>
    <t>Bundesministerium fuer Bildung und Forschung (BMBF) project; European Union (European Union (EU)); ANID-Millennium Science Initiative Program; Fondecyt Grant (Comision Nacional de Investigacion Cientifica y Tecnologica (CONICYT), CONICYT FONDECYT)</t>
  </si>
  <si>
    <t>S.G. received funding through a Bundesministerium fuer Bildung und Forschung (BMBF) project (Personal Mastery of Health &amp; Wellness Data, PATH) on consent in health data sharing, financed through the European Union NextGenerationEU program. A.H. received funding from ANID-Millennium Science Initiative Program-Code ICN17 002 and Fondecyt Grant 1221926.</t>
  </si>
  <si>
    <t>[Gilbert, Stephen; Kather, Jakob Nikolas] TUD Dresden Univ Technol, Else Kroner Fresenius Ctr Digital Hlth, Dresden, Germany; [Hogan, Aidan] Univ Chile, Dept Comp Sci, Santiago, Chile; [Hogan, Aidan] Univ Chile, Millennium Inst Fdn Res Data, DCC, Santiago, Chile</t>
  </si>
  <si>
    <t>Universidad de Chile; Universidad de Chile</t>
  </si>
  <si>
    <t>Augmented non-hallucinating large language models as medical information curators</t>
  </si>
  <si>
    <t>Gilbert, Stephen/LZF-0032-2025; Kather, Jakob Nikolas/D-4279-2015</t>
  </si>
  <si>
    <t>Gilbert, Stephen/0000-0002-1997-1689; Hogan, Aidan/0000-0001-9482-1982; Kather, Jakob Nikolas/0000-0002-3730-5348</t>
  </si>
  <si>
    <t>APR 23 2024</t>
  </si>
  <si>
    <t>100</t>
  </si>
  <si>
    <t>10.1038/s41746-024-01081-0</t>
  </si>
  <si>
    <t>http://dx.doi.org/10.1038/s41746-024-01081-0</t>
  </si>
  <si>
    <t>OK6Y5</t>
  </si>
  <si>
    <t>WOS:001207216300001</t>
  </si>
  <si>
    <t>Kumari, M; Chauhan, R; Jain, R; Garg, P</t>
  </si>
  <si>
    <t>The integration of large language models (LLMs) into biomedical domains faces critical challenges including knowledge retrieval limitations and hallucinations. This study presents BiomedKAI, a novel multi-agent architecture integrating dynamically updated biomedical knowledge graphs with pre-trained LLMs as a scalable alternative to domain-specific model training. The framework introduces CARE-RAG (Context-Aware Retrieval-Enhanced Generation), which implements query-type-aware retrieval strategies that dynamically adjust search parameters, traversal depths, and scoring weights based on classified query intent. CARE-RAG addresses limitations in traditional RAG systems by combining vector semantic search with depth-governed graph exploration and relevance-weighted entity prioritization to minimize information loss. Six specialized agents (Diagnostic, Treatment, Drug Interaction, General Medical, Preventive Care, and Research) operate on a comprehensive biomedical knowledge graph containing 43,000 genes, 230,000 proteins, 17,380 drugs, and 12,119 diseases. Experimental validation demonstrates: 84.4% accuracy on MedQA examinations, 85.7% diagnostic precision on NEJM clinical cases (versus 64% for GPT-4), and 99.22% effectiveness in identifying medical misinformation, while achieving 66.5% token efficiency compared to conventional RAG. These results indicate CARE-RAG enables general-purpose LLMs to achieve expert-level biomedical performance with computational efficiency. The tool is freely available at: http://pitools.niper.ac.in/BiomedKAI/home.</t>
  </si>
  <si>
    <t>Kumari, Madhavi; Chauhan, Rohit; Jain, Rashi; Garg, Prabha</t>
  </si>
  <si>
    <t>Garg, P (corresponding author), Natl Inst Pharmaceut Educ &amp; Res NIPER, Dept Pharmacoinformat, Sect 67, Mohali 160062, Punjab, India.</t>
  </si>
  <si>
    <t>prabhagarg@niper.ac.in; xyzmadhavi@gmail.com; rohit.911.chauhan@gmail.com; rashijain0188@gmail.com</t>
  </si>
  <si>
    <t>[Kumari, Madhavi; Jain, Rashi; Garg, Prabha] Natl Inst Pharmaceut Educ &amp; Res NIPER, Dept Pharmacoinformat, Sect 67, Mohali 160062, Punjab, India; [Chauhan, Rohit] Natl Inst Technol NIT Durgapur, Dept Comp Sci, MG Rd, Durgapur 713209, W Bengal, India</t>
  </si>
  <si>
    <t>National Institute of Pharmaceutical Education &amp; Research, S.A.S. Nagar (Mohali); National Institute of Technology (NIT System); National Institute of Technology Durgapur</t>
  </si>
  <si>
    <t>A novel context-aware retrieval framework for biomedical knowledge integration with large language models</t>
  </si>
  <si>
    <t>LLMs; Biomedical NLP; Biomedical entity recognition; Information retrieval; Medical question answering; Healthcare AI; Medical informatics</t>
  </si>
  <si>
    <t>, Rohit Chauhan/0009-0007-1205-5729; kumari, madhavi/0000-0001-9224-5168</t>
  </si>
  <si>
    <t>127</t>
  </si>
  <si>
    <t>C</t>
  </si>
  <si>
    <t>103902</t>
  </si>
  <si>
    <t>10.1016/j.inffus.2025.103902</t>
  </si>
  <si>
    <t>http://dx.doi.org/10.1016/j.inffus.2025.103902</t>
  </si>
  <si>
    <t>9YP5B</t>
  </si>
  <si>
    <t>WOS:001618127000001</t>
  </si>
  <si>
    <t>Wang, L; Ma, YY; Bi, WS; Lv, HL; Li, YX</t>
  </si>
  <si>
    <t>Background: The study of disease progression relies on clinical data, including text data, and extracting valuable features from text data has been a research hot spot. With the rise of large language models (LLMs), semantic -based extraction pipelines gaining acceptance in clinical research. However, the security and feature hallucination issues of LLMs require further attention. Objective: This study aimed to introduce a novel modular LLM pipeline, which could semantically extract features from textual patient admission records. Methods: The pipeline was designed to process a systematic succession of concept extraction, aggregation, question generation, corpus extraction, and question -and -answer scale extraction, which was tested via 2 low -parameter LLMs: Qwen-14B-Chat (QWEN) and Baichuan2-13B-Chat (BAICHUAN). A data set of 25,709 pregnancy cases from the People's Hospital of Guangxi Zhuang Autonomous Region, China, was used for evaluation with the help of a local expert's annotation. The pipeline evaluated with the metrics of accuracy and precision, null ratio, and time consumption. Additionally, we evaluated its performance via a quantified version of Qwen-14B-Chat on a consumer -grade GPU. Results: The pipeline demonstrates a high level of precision in feature extraction, as evidenced by the accuracy and precision results of Qwen-14B-Chat (95.52% and 92.93%, respectively) and Baichuan2-13B-Chat (95.86% and 90.08%, respectively). Furthermore, the pipeline exhibited low null ratios and variable time consumption. The INT4-quantified version of QWEN delivered an enhanced performance with 97.28% accuracy and a 0% null ratio. Conclusions: The pipeline exhibited consistent performance across different LLMs and efficiently extracted clinical features from textual data. It also showed reliable performance on consumer -grade hardware. This approach offers a viable and effective solution for mining clinical research data from textual records.</t>
  </si>
  <si>
    <t>Wang, Lei; Ma, Yinyao; Bi, Wenshuai; Lv, Hanlin; Li, Yuxiang</t>
  </si>
  <si>
    <t>Lv, HL (corresponding author), BGI Res, 1-2F, Bldg 2, Wuhan Opt Valley Int Biomed Enterpri, Wuhan 430074, Peoples R China.</t>
  </si>
  <si>
    <t>lvhanlin@genomics.cn</t>
  </si>
  <si>
    <t>Guangxi Key Research and Development Program [AB22035056]</t>
  </si>
  <si>
    <t>Guangxi Key Research and Development Program</t>
  </si>
  <si>
    <t>This work was supported by Guangxi Key Research and Development Program (AB22035056) .</t>
  </si>
  <si>
    <t>[Wang, Lei; Bi, Wenshuai; Lv, Hanlin; Li, Yuxiang] BGI Res, Wuhan, Peoples R China; [Wang, Lei; Li, Yuxiang] BGI Res, Guangdong Bigdata Engn Technol Res Ctr Life Sci, Shenzhen, Peoples R China; [Ma, Yinyao] Peoples Hosp Guangxi Zhuang Autonomous Reg, Dept Obstet, Nanning, Peoples R China; [Lv, Hanlin] BGI Res, 1-2F, Bldg 2, Wuhan Opt Valley Int Biomed Enterpri, Wuhan 430074, Peoples R China</t>
  </si>
  <si>
    <t>Beijing Genomics Institute (BGI)</t>
  </si>
  <si>
    <t>An Entity Extraction Pipeline for Medical Text Records Using Large Language Models: Analytical Study</t>
  </si>
  <si>
    <t>clinical data extraction; large language models; feature hallucination; modular approach; unstructured data processing</t>
  </si>
  <si>
    <t>CLINICAL INFORMATION</t>
  </si>
  <si>
    <t>Lv, Hanlin/NGS-0528-2025; Li, Yuxiang/JZD-8214-2024</t>
  </si>
  <si>
    <t>WANG, LEI/0009-0005-2757-1748; Lv, Hanlin/0000-0002-1876-7846; bi, wenshuai/0009-0009-3011-896X; Li, Yuxiang/0000-0002-1575-3692</t>
  </si>
  <si>
    <t>49</t>
  </si>
  <si>
    <t>MAR 29 2024</t>
  </si>
  <si>
    <t>e54580</t>
  </si>
  <si>
    <t>10.2196/54580</t>
  </si>
  <si>
    <t>http://dx.doi.org/10.2196/54580</t>
  </si>
  <si>
    <t>TY5Q2</t>
  </si>
  <si>
    <t>38551633</t>
  </si>
  <si>
    <t>WOS:001244836100001</t>
  </si>
  <si>
    <t>Williams, CYK; Bains, J; Tang, TY; Patel, K; Lucas, AN; Chen, FA; Miao, BY; Butte, AJ; Kornblith, AE</t>
  </si>
  <si>
    <t>Large language models (LLMs) possess a range of capabilities which may be applied to the clinical domain, including text summarization. As ambient artificial intelligence scribes and other LLM-based tools begin to be deployed within healthcare settings, rigorous evaluations of the accuracy of these technologies are urgently needed. In this cross-sectional study of 100 randomly sampled adult Emergency Department (ED) visits from 2012 to 2023 at the University of California, San Francisco ED, we sought to investigate the performance of GPT-4 and GPT-3.5-turbo in generating ED encounter summaries and evaluate the prevalence and type of errors for each section of the encounter summary across three evaluation criteria: 1) Inaccuracy of LLM-summarized information; 2) Hallucination of information; 3) Omission of relevant clinical information. In total, 33% of summaries generated by GPT-4 and 10% of those generated by GPT-3.5-turbo were entirely error-free across all evaluated domains. Summaries generated by GPT-4 were mostly accurate, with inaccuracies found in only 10% of cases, however, 42% of the summaries exhibited hallucinations and 47% omitted clinically relevant information. Inaccuracies and hallucinations were most commonly found in the Plan sections of LLM-generated summaries, while clinical omissions were concentrated in text describing patients' Physical Examination findings or History of Presenting Complaint. The potential harmfulness score across errors was low, with a mean score of 0.57 (SD 1.11) out of 7 and only three errors scoring 4 ('Potential for permanent harm') or greater. In summary, we found that LLMs could generate accurate encounter summaries but were liable to hallucination and omission of clinically relevant information. Individual errors on average had a low potential for harm. A comprehensive understanding of the location and type of errors found in LLM-generated clinical text is important to facilitate clinician review of such content and prevent patient harm.</t>
  </si>
  <si>
    <t>Williams, Christopher Y. K.; Bains, Jaskaran; Tang, Tianyu; Patel, Kishan; Lucas, Alexa N.; Chen, Fiona; Miao, Brenda Y.; Butte, Atul J.; Kornblith, Aaron E.</t>
  </si>
  <si>
    <t>Williams, CYK (corresponding author), Univ Calif San Francisco, Bakar Computat Hlth Sci Inst, San Francisco, CA 94143 USA.</t>
  </si>
  <si>
    <t>Eunice Kennedy Shriver National Institute of Child Health and Human Development of the National Institutes of Health [K23HD110716]; UCSF Bakar Computational Health Sciences Institute; UCSF AI Tiger Team; Academic Research Services, Research Information Technology; Versa chat (the chat user interface)</t>
  </si>
  <si>
    <t>Eunice Kennedy Shriver National Institute of Child Health and Human Development of the National Institutes of Health; UCSF Bakar Computational Health Sciences Institute; UCSF AI Tiger Team; Academic Research Services, Research Information Technology; Versa chat (the chat user interface)</t>
  </si>
  <si>
    <t>Dr Aaron E. Kornblith is supported by Eunice Kennedy Shriver National Institute of Child Health and Human Development of the National Institutes of Health under award number K23HD110716. The authors acknowledge the use of the UCSF Information Commons computational research platform, developed and supported by UCSF Bakar Computational Health Sciences Institute. The authors also thank the UCSF AI Tiger Team, Academic Research Services, Research Information Technology, and the Chancellor's Task Force for Generative AI for their software development, analytical and technical support related to the use of Versa API gateway (the UCSF secure implementation of large language models and generative AI via API gateway), Versa chat (the chat user interface), and related data asset and services.</t>
  </si>
  <si>
    <t>[Williams, Christopher Y. K.; Miao, Brenda Y.; Butte, Atul J.; Kornblith, Aaron E.] Univ Calif San Francisco, Bakar Computat Hlth Sci Inst, San Francisco, CA 94143 USA; [Bains, Jaskaran; Tang, Tianyu; Patel, Kishan; Lucas, Alexa N.; Chen, Fiona; Kornblith, Aaron E.] Univ Calif San Francisco, Dept Emergency Med, San Francisco, CA USA</t>
  </si>
  <si>
    <t>University of California System; University of California San Francisco; University of California System; University of California San Francisco</t>
  </si>
  <si>
    <t>Evaluating large language models for drafting emergency department encounter summaries</t>
  </si>
  <si>
    <t>DISCHARGE; BURNOUT; TIME; CARE</t>
  </si>
  <si>
    <t>Williams, Christopher Y.K/GPG-2012-2022; Butte, Atul/ACV-6666-2022; Kornblith, Aaron/HQZ-5869-2023</t>
  </si>
  <si>
    <t>Kornblith, Aaron/0000-0002-1344-575X; Williams, Christopher Y.K/0000-0001-8867-1623</t>
  </si>
  <si>
    <t>e0000899</t>
  </si>
  <si>
    <t>10.1371/journal.pdig.0000899</t>
  </si>
  <si>
    <t>http://dx.doi.org/10.1371/journal.pdig.0000899</t>
  </si>
  <si>
    <t>3WS3X</t>
  </si>
  <si>
    <t>40526634</t>
  </si>
  <si>
    <t>WOS:001510823000001</t>
  </si>
  <si>
    <t>Tofeeq, K; Naseer, A; Wali, A</t>
  </si>
  <si>
    <t>This study systematically evaluates the performance of state-of-the-art large language models (LLMs) in medical and healthcare applications, focusing on their accuracy in answering domain-specific questions. Using benchmark medical question-answering datasets-PubMedQA, MedQA, and MedMCQA-we assess a diverse set of LLMs, including GPT-4, Med-PaLM-2, OpenBioLLM, BioMistral, MediTron, MedAlpaca, and AlpaCare. Our analysis highlights the varying capabilities of these models across different datasets, emphasizing the impact of model scale, domain-specific fine-tuning, and dataset-specific challenges. Larger models such as OpenBioLLM-70B and Med-PaLM-2, consistently outperformed smaller models, showcasing the benefits of extensive training data and computational resources. However, smaller models, like BioMistral-7B, demonstrated competitive performance on specific datasets, suggesting their potential for resource-constrained environments. Beyond accuracy, we explore the broader implications of LLMs in healthcare, including their applications in medical diagnosis, patient care, clinical decision support, and drug discovery. Despite their promise, LLMs face critical challenges, such as the need for explainability, robust data security, bias mitigation, and hallucination reduction. We conclude that while challenges remain, LLMs hold significant potential to transform healthcare by enhancing efficiency, improving patient outcomes, and facilitating advancements in medical research. Addressing the limitations and promoting responsible innovation will be essential to unlocking their full potential for a patient-centered and equitable healthcare future.</t>
  </si>
  <si>
    <t>Tofeeq, Khuzaima; Naseer, Asma; Wali, Aamir</t>
  </si>
  <si>
    <t>Wali, A (corresponding author), Natl Univ Comp &amp; Emerging Sci, FAST Sch Comp, Lahore, Pakistan.</t>
  </si>
  <si>
    <t>l201304@lhr.nu.edu.pk; asma.naseer@nu.edu.pk; aamir.wali@nu.edu.pk</t>
  </si>
  <si>
    <t>[Tofeeq, Khuzaima; Naseer, Asma; Wali, Aamir] Natl Univ Comp &amp; Emerging Sci, FAST Sch Comp, Lahore, Pakistan</t>
  </si>
  <si>
    <t>Large language models in healthcare: a systematic evaluation on medical Q/A datasets</t>
  </si>
  <si>
    <t>HEALTH INFORMATION SCIENCE AND SYSTEMS</t>
  </si>
  <si>
    <t>LLMs; Healthcare; Evaluation; Question answering</t>
  </si>
  <si>
    <t>Wali, Aamir/AAA-7028-2022</t>
  </si>
  <si>
    <t>34</t>
  </si>
  <si>
    <t>2047-2501</t>
  </si>
  <si>
    <t>HEALTH INF SCI SYST</t>
  </si>
  <si>
    <t>Health Inf. Sci. Syst.</t>
  </si>
  <si>
    <t>NOV 21 2025</t>
  </si>
  <si>
    <t>10.1007/s13755-025-00397-9</t>
  </si>
  <si>
    <t>http://dx.doi.org/10.1007/s13755-025-00397-9</t>
  </si>
  <si>
    <t>C0372</t>
  </si>
  <si>
    <t>41281608</t>
  </si>
  <si>
    <t>WOS:001620122800001</t>
  </si>
  <si>
    <t>Grillo, R; Llanos, AH; Costa, C; Melhem-Elias, F</t>
  </si>
  <si>
    <t>This study evaluates the performance of six large language models (LLMs) in generating content relevant to oral and maxillofacial surgery (OMFS), focusing on their ability to provide accurate, comprehensive, and relevant information across five specific tasks. Each LLM was assessed based on its responses to five prompts: (1) postoperative instructions for third molar surgery; (2) a list of best-selling books on orthognathic surgery; (3) the most cited articles in OMFS; (4) novel ideas for systematic reviews; and (5) emerging trends in OMFS. Responses were scored for relevance, comprehensiveness, and accuracy using predefined criteria. Statistical analysis was performed using the Kruskal-Wallis test to compare tool performance. The LLMs performed similarly overall, with varying strengths and weaknesses. For postoperative instructions, they all provided comparable recommendations, though Perplexity underperformed. In identifying best-selling books, Gemini and Perplexity excelled, while ChatGPT and Copilot struggled with retrieving highly cited articles. Copilot and Claude were more effective in suggesting novel systematic review topics, while ChatGPT, Claude, Copilot, and DeepSeek identified emerging trends most accurately. LLMs demonstrate significant potential in supporting OMFS-related tasks, but their performance varies depending on the specific application. While they excel at synthesising existing information and identifying trends, limitations inaccuracy and occasional hallucinations highlight the need for human oversight. These findings underscore the importance of integrating artificial intelligence (AI) as a supplementary tool in clinical, academic, and research settings, ensuring its use complements, rather than replaces, human expertise. (c) 2025 The British Association of Oral and Maxillofacial Surgeons. Published by Elsevier Ltd. All rights are reserved, including those for text and data mining, AI training, and similar technologies.</t>
  </si>
  <si>
    <t>Grillo, Ricardo; Llanos, Alexandre Hugo; Costa, Claudio; Melhem-Elias, Fernando</t>
  </si>
  <si>
    <t>Grillo, R (corresponding author), Univ Sao Paulo, Sch Dent, Av Prof Lineu Prestes 2227,Cidade Univ, BR-05508000 Sao Paulo, SP, Brazil.</t>
  </si>
  <si>
    <t>grillo@usp.br</t>
  </si>
  <si>
    <t>[Grillo, Ricardo; Melhem-Elias, Fernando] Univ Sao Paulo, Sch Dent, Dept Oral &amp; Maxillofacial Surg, Sao Paulo, Brazil; [Llanos, Alexandre Hugo; Costa, Claudio] Univ Sao Paulo, Sch Dent, Dept Stomatol, Sao Paulo, Brazil</t>
  </si>
  <si>
    <t>Universidade de Sao Paulo; Universidade de Sao Paulo</t>
  </si>
  <si>
    <t>Comparison of large language models in oral and maxillofacial surgery</t>
  </si>
  <si>
    <t>BRITISH JOURNAL OF ORAL &amp; MAXILLOFACIAL SURGERY</t>
  </si>
  <si>
    <t>maxillofacial injuries; artificial intelligence; orthognathic surgery; surgery, oral; third molar surgery</t>
  </si>
  <si>
    <t>Llanos, Alexandre Hugo/AAF-2604-2020; Elias, Fernando/ACT-1103-2022; Grillo, Ricardo/AAL-6203-2021</t>
  </si>
  <si>
    <t>Llanos, Alexandre Hugo/0000-0003-1751-8239</t>
  </si>
  <si>
    <t>CHURCHILL LIVINGSTONE</t>
  </si>
  <si>
    <t>EDINBURGH</t>
  </si>
  <si>
    <t>JOURNAL PRODUCTION DEPT, ROBERT STEVENSON HOUSE, 1-3 BAXTERS PLACE, LEITH WALK, EDINBURGH EH1 3AF, MIDLOTHIAN, SCOTLAND</t>
  </si>
  <si>
    <t>0266-4356</t>
  </si>
  <si>
    <t>1532-1940</t>
  </si>
  <si>
    <t>BRIT J ORAL MAX SURG</t>
  </si>
  <si>
    <t>Br. J. Oral Maxillofac. Surg.</t>
  </si>
  <si>
    <t>JAN 2026</t>
  </si>
  <si>
    <t>64</t>
  </si>
  <si>
    <t>10.1016/j.bjoms.2025.08.015</t>
  </si>
  <si>
    <t>http://dx.doi.org/10.1016/j.bjoms.2025.08.015</t>
  </si>
  <si>
    <t>Dentistry, Oral Surgery &amp; Medicine; Surgery</t>
  </si>
  <si>
    <t>CT7XL</t>
  </si>
  <si>
    <t>41076417</t>
  </si>
  <si>
    <t>WOS:001674249800001</t>
  </si>
  <si>
    <t>Alazzawi, M; Lam, K</t>
  </si>
  <si>
    <t>Background: The popularity of large language models (LLMs) has grown exponentially across health care. Despite the wealth of literature on proposed applications in medical education, there remains a critical gap regarding their real-world use, benefits, and challenges as experienced by medical students themselves. Objective: We aimed to explore qualitatively and characterize the perceived benefits, facilitators, and barriers associated with the use of LLMs among a cohort of London-based medical students. Methods: Semistructured interviews were conducted with 15 medical students from preclinical and clinical stages at London-based medical schools. Guided by the technology acceptance model, interview transcripts underwent an inductive thematic analysis to identify themes on actual system use, perceived usefulness, ease of use, and attitudes toward LLMs. Results: All participants reported frequent use of ChatGPT for concise topic summarization, clarification of complex concepts, generation of examination-style questions, and summarization of research. Students described LLMs as a complementary tool to traditional materials, valuing their immediacy ("Instead of getting a textbook, I can ask ChatGPT to summarise something in X words and read it in under a minute") and ease of use. Peer demonstration and device-agnostic accessibility emerged as key facilitators. Of note, wider applications such as simulating clinical interviews were discovered through peers rather than through formal teaching. Significant barriers were reported. Hallucinations, fabricated references, and outdated information led to loss of trust, with more junior students finding inaccurate outputs difficult to detect ("I stopped using it because I found it to be inaccurate, and I don't want to be learning the wrong things"). Half of the participants interviewed reported a sense of overreliance, defaulting to its use for answers with a perceived loss of critical thinking ability. Students noted inequalities in access to advanced features and voiced concerns about privacy when using LLMs in clinical scenarios. Conclusions: LLMs have been widely adopted by medical students. While students perceived the efficiency, flexibility, and conversational interface of LLMs as beneficial, substantial reservations remain regarding their reliability, potential de-skilling, and the loss of academic integrity. These findings underpin the urgent need for curricula to both support safe LLM use and also adapt assessment and teaching strategies for artificial intelligence-augmented student practice. Future research should broaden geographical representation, investigate applications in low-resource settings, and integrate educators' perspectives to establish future curricular guidance in an artificial intelligence era.</t>
  </si>
  <si>
    <t>Alazzawi, Maya; Lam, Kyle</t>
  </si>
  <si>
    <t>Lam, K (corresponding author), Imperial Coll London, Dept Surg &amp; Canc, Queen Elizabeth Queen Mother Wing,Praed St, London W2 1NY, England.</t>
  </si>
  <si>
    <t>k.lam@imperial.ac.uk</t>
  </si>
  <si>
    <t>[Alazzawi, Maya; Lam, Kyle] Imperial Coll London, Dept Surg &amp; Canc, Queen Elizabeth Queen Mother Wing,Praed St, London W2 1NY, England</t>
  </si>
  <si>
    <t>Imperial College London</t>
  </si>
  <si>
    <t>Uptake of Large Language Models by London Medical Students: Exploratory Qualitative Interview Study</t>
  </si>
  <si>
    <t>JMIR FORMATIVE RESEARCH</t>
  </si>
  <si>
    <t>large language models; artificial intelligence; AI; generative artificial intelligence; undergraduate medical education</t>
  </si>
  <si>
    <t>RESPONSES; CHATGPT</t>
  </si>
  <si>
    <t>Lam, Kyle/IYS-5925-2023</t>
  </si>
  <si>
    <t>2561-326X</t>
  </si>
  <si>
    <t>JMIR FORM RES</t>
  </si>
  <si>
    <t>JMIR Form. Res.</t>
  </si>
  <si>
    <t>e82828</t>
  </si>
  <si>
    <t>10.2196/82828</t>
  </si>
  <si>
    <t>http://dx.doi.org/10.2196/82828</t>
  </si>
  <si>
    <t>DY2HH</t>
  </si>
  <si>
    <t>41553752</t>
  </si>
  <si>
    <t>WOS:001694904500013</t>
  </si>
  <si>
    <t>Miao, BY; Williams, CYK; Chinedu-Eneh, E; Zack, T; Alsentzer, E; Butte, AJ; Chen, IY</t>
  </si>
  <si>
    <t>Understanding reasons for treatment switching is of significant medical interest, but these factors are often only found in unstructured clinical notes and can be difficult to extract. We evaluated the zero-shot abilities of GPT-4 and eight other open-source large language models (LLMs) to extract contraceptive switching information from 1964 clinical notes derived from the UCSF Information Commons dataset. GPT-4 extracted the contraceptives started and stopped at each switch with microF1 scores of 0.85 and 0.88, respectively, compared to 0.81 and 0.88 for the best open-source model. When evaluated by clinical experts, GPT-4 extracted reasons for switching with an accuracy of 91.4% (2.2% hallucination rate). Transformer-based topic modeling identified patient preference, adverse events, and insurance coverage as key reasons. These findings demonstrate the value of LLMs in identifying complex treatment factors and provide insights into reasons for contraceptive switching in real-world settings.</t>
  </si>
  <si>
    <t>Miao, Brenda Y.; Williams, Christopher Y. K.; Chinedu-Eneh, Ebenezer; Zack, Travis; Alsentzer, Emily; Butte, Atul J.; Chen, Irene Y.</t>
  </si>
  <si>
    <t>Miao, BY (corresponding author), Univ Calif San Francisco, Bakar Computat Hlth Sci Inst, San Francisco, CA 94158 USA.</t>
  </si>
  <si>
    <t>miao.brenda1@gmail.com</t>
  </si>
  <si>
    <t>National Center for Advancing Translational Sciences, National Institutes of Health, through UCSF-CTSI [UL1 TR001872]; UCSF Bakar Computational Health Sciences Institute; CTSI Research Technology Program</t>
  </si>
  <si>
    <t>National Center for Advancing Translational Sciences, National Institutes of Health, through UCSF-CTSI; UCSF Bakar Computational Health Sciences Institute; CTSI Research Technology Program</t>
  </si>
  <si>
    <t>Research reported in this publication was supported by the National Center for Advancing Translational Sciences, National Institutes of Health, through UCSF-CTSI Grant Number UL1 TR001872. The content is solely the responsibility of the authors and does not necessarily represent the official views of the National Institutes of Health. The authors acknowledge the use of the UCSF Information Commons computational research platform, developed and supported by UCSF Bakar Computational Health Sciences Institute in collaboration with IT Academic Research Services, Center for Intelligent Imaging Computational Core, and CTSI Research Technology Program. We also thank Madhumita Sushil for valuable feedback on this project.</t>
  </si>
  <si>
    <t>[Miao, Brenda Y.; Williams, Christopher Y. K.; Zack, Travis; Butte, Atul J.] Univ Calif San Francisco, Bakar Computat Hlth Sci Inst, San Francisco, CA 94158 USA; [Chinedu-Eneh, Ebenezer] Univ Calif San Francisco, Dept Med, San Francisco, CA USA; [Zack, Travis] Univ Calif San Francisco, Helen Diller Family Comprehens Canc Ctr, San Francisco, CA USA; [Alsentzer, Emily] Brigham &amp; Womens Hosp, Div Gen Internal Med, Boston, MA USA; [Alsentzer, Emily] Harvard Med Sch, Boston, MA USA; [Butte, Atul J.] Univ Calif, Ctr Data Driven Insights &amp; Innovat, Off President, Oakland, CA 94607 USA; [Chen, Irene Y.] Univ Calif Berkeley, Computat Precis Hlth, Berkeley, CA USA; [Chen, Irene Y.] Univ Calif San Francisco, San Francisco, CA USA; [Chen, Irene Y.] Univ Calif Berkeley, Elect Engn &amp; Comp Sci, Berkeley, CA USA; [Chen, Irene Y.] Univ Calif Berkeley, Berkeley AI Res, Berkeley, CA USA</t>
  </si>
  <si>
    <t>University of California System; University of California San Francisco; University of California System; University of California San Francisco; University of California System; University of California San Francisco; UCSF Medical Center; UCSF Helen Diller Family Comprehensive Cancer Center; Harvard University; Harvard University Medical Affiliates; Brigham &amp; Women's Hospital; Harvard University; Harvard Medical School; University of California System; University of California Berkeley; University of California System; University of California Berkeley; University of California System; University of California San Francisco; University of California System; University of California Berkeley; University of California System; University of California Berkeley</t>
  </si>
  <si>
    <t>Understanding contraceptive switching rationales from real world clinical notes using large language models</t>
  </si>
  <si>
    <t>NATIONAL-SURVEY; FAILURE</t>
  </si>
  <si>
    <t>Butte, Atul/ACV-6666-2022; Williams, Christopher Y.K/GPG-2012-2022</t>
  </si>
  <si>
    <t>Alsentzer, Emily/0000-0002-5370-1746; Williams, Christopher Y.K/0000-0001-8867-1623</t>
  </si>
  <si>
    <t>51</t>
  </si>
  <si>
    <t>APR 23 2025</t>
  </si>
  <si>
    <t>221</t>
  </si>
  <si>
    <t>10.1038/s41746-025-01615-0</t>
  </si>
  <si>
    <t>http://dx.doi.org/10.1038/s41746-025-01615-0</t>
  </si>
  <si>
    <t>1TY4Z</t>
  </si>
  <si>
    <t>40269253</t>
  </si>
  <si>
    <t>WOS:001473589900003</t>
  </si>
  <si>
    <t>Syeda, QA; Reddy, BR</t>
  </si>
  <si>
    <t>Large Language Models (LLMs) have shown impressive abilities in natural language understanding and generation that have been widely used in various applications like content creation, answer generation, Q&amp;A systems and have shown impressive capabilities in processing knowledge. The attention mechanism aids transformer-based models, like ChatGPT, to articulate well-structured and grammatically sound sentences. Nevertheless, these models are prone to hallucinations lacking fact-based information and structured reasoning. In contrast, Knowledge Graphs (KGs) are semantically rich graph-based data structures which are interconnected facts represented as entities (nodes) and relations (edges) enhancing factual grounding and explainability in LLMs. These semantic networks store structured and organized information enabling explicit modeling of domain knowledge. This survey presents a systematic review that aims at synthesizing KGs and LLMs. We present a detailed overview on Knowledge Graph construction, Multi-modal KG construction, Domain-specific KG construction with a focus on healthcare. Additionally, we classify integration strategies in three ways, namely, 1) KG enhanced LLMs, 2) LLMs-augmented KGs and 3) Synergized LLMs+KGs, the neuro symbolic architectures. We discuss recent research developments like HybridRAG and GraphRAG based on graph-based retrieval-augmented generation. We emphasized evaluation metrics and real-world applications in enterprise and clinical domains. We conclude by discussing open challenges in cross-modal alignment, dynamic knowledge updates and multi-hop reasoning. We outline future research directions towards reliable knowledge-grounded intelligent systems. We foresee that this research provides deeper insights for future research initiatives in the field of knowledge graphs.</t>
  </si>
  <si>
    <t>Syeda, Qurratul Aine; Reddy, B. Ravinder</t>
  </si>
  <si>
    <t>Reddy, BR (corresponding author), Anurag Univ, Sch Engn, Dept Comp Sci &amp; Engn, Hyderabad, India.</t>
  </si>
  <si>
    <t>ravinderreddycse@anurag.edu.in</t>
  </si>
  <si>
    <t>KG construction, KG completion, natural</t>
  </si>
  <si>
    <t>The evaluation of KG-LLM systems is fundamentally different from the traditional evaluation of KGs, which is primarily based on link prediction metrics. The KG-LLM systems are developed to support different tasks, including KG construction, KG completion, natural</t>
  </si>
  <si>
    <t>[Syeda, Qurratul Aine; Reddy, B. Ravinder] Anurag Univ, Sch Engn, Dept Comp Sci &amp; Engn, Hyderabad, India</t>
  </si>
  <si>
    <t>Knowledge graphs and large language models: Construction paradigms, integration approaches, and emerging applications</t>
  </si>
  <si>
    <t>GraphRAG; Hallucinations; HybridRAG; Knowledge graphs; Large language model</t>
  </si>
  <si>
    <t>152</t>
  </si>
  <si>
    <t>OCT 9 2026</t>
  </si>
  <si>
    <t>351</t>
  </si>
  <si>
    <t>A</t>
  </si>
  <si>
    <t>116601</t>
  </si>
  <si>
    <t>10.1016/j.knosys.2026.116601</t>
  </si>
  <si>
    <t>http://dx.doi.org/10.1016/j.knosys.2026.116601</t>
  </si>
  <si>
    <t>LI3VX</t>
  </si>
  <si>
    <t>WOS:001825310800001</t>
  </si>
  <si>
    <t>Strasser, LM; Anschuetz, W; Dennstädt, F; Hastings, J</t>
  </si>
  <si>
    <t>Background: Artificial intelligence continues to transform health care, offering promising applications in clinical practice and medical education. While large language models (LLMs), as a form of generative artificial intelligence, have shown potential to match or surpass medical students in licensing examinations, their performance varies across languages. Recent studies highlight the complex influence and interdependency of factors such as language and model type on LLMs' accuracy; yet, cross-language comparisons remain underexplored. Objective:This study evaluates the performance of LLMs in answering medical multiple-choice questions quantitatively and qualitatively across 3 languages (German, French, and Italian), aiming to uncover model capabilities in a multilingual medical education context. Methods: For this mixed methods study, 114 publicly accessible multiple-choice questions in German, French, and Italian from an online self-assessment tool were analyzed. A quantitative performance analysis of several LLMs developed by OpenAI, Meta AI, Anthropic, and DeepSeek was conducted to evaluate their performance on answering the questions in text-only format. For the comparative analysis, a variation of input question language (German, French, and Italian) and prompt language (English vs language-matched) was used. The 2 best-performing LLMs were then prompted to provide answer explanations for incorrectly answered questions. A subsequent qualitative analysis was conducted on these explanations to identify the reasons leading to the incorrect answers. Results: The performance of LLMs in answering medical multiple-choice questions varied by model and language, showing substantial differences in accuracy (between 64% and 87%). The effect of input question language was significant (P&lt;.01) with models performing best on German questions. Across the analyzed LLMs, prompting in English generally led to better performance in comparison to language-matched prompts, but the top-performing models exceptionally showed comparable results for language-matched prompts. Qualitative analysis revealed that answer explanations of the analyzed models (GPT4o and Claude-Sonnet-3.7) showed different reasoning errors. In several explanations, this occurred despite factual accuracy on the represented topic. Furthermore, this analysis revealed 3 questions to be insufficiently precise. Conclusions: Our results underline the potential of LLMs in answering medical examination questions and highlight the importance of careful consideration of model choice, prompt, and input languages, because of relevant performance variability across these factors. Analysis of answer explanations demonstrates a valuable use case of LLMs for improving examination question quality in medical education, if data security regulations permit their use. Human oversight of language-sensitive or clinically nuanced content remains essential to determine whether incorrect output stems from flaws in the questions themselves or from errors generated by the LLMs. There is a need for ongoing evaluation as well as transparent reporting to ensure reliable integration of LLMs into medical education contexts.</t>
  </si>
  <si>
    <t>Strasser, Livia Maria; Anschuetz, Wilma; Dennstadt, Fabio; Hastings, Janna</t>
  </si>
  <si>
    <t>Strasser, LM (corresponding author), Univ St Gallen, Sch Med, Med Knowledge &amp; Decis Support, St Jakobstr 21, CH-9000 St Gallen, Switzerland.</t>
  </si>
  <si>
    <t>strasser.livia@hotmail.com</t>
  </si>
  <si>
    <t>School of Medicine at the University of St Gallen (HSG) in Switzerland</t>
  </si>
  <si>
    <t>This study was supported by the School of Medicine at the University of St Gallen (HSG) in Switzerland.</t>
  </si>
  <si>
    <t>[Strasser, Livia Maria; Dennstadt, Fabio; Hastings, Janna] Univ St Gallen, Sch Med, Med Knowledge &amp; Decis Support, St Jakobstr 21, CH-9000 St Gallen, Switzerland; [Anschuetz, Wilma] Univ Bern, Inst Med Educ, Dept Assessment &amp; Evaluat, Bern, Switzerland; [Dennstadt, Fabio] Bern Univ Hosp, Dept Radiat Oncol, Inselspital, Bern, Switzerland; [Dennstadt, Fabio] Univ Bern, Bern, Switzerland; [Hastings, Janna] Univ Zurich, Inst Implementat Sci Hlth Care, Zurich, Switzerland; [Hastings, Janna] Idiap Res Inst, Martigny, Switzerland</t>
  </si>
  <si>
    <t>University of St Gallen; University of Bern; University of Bern; University Hospital of Bern; University of Bern; Swiss School of Public Health (SSPH+); University of Zurich; Idiap Research Institute, Switzerland</t>
  </si>
  <si>
    <t>Performance Evaluation of Large Language Models in Multilingual Medical Multiple-Choice Questions: Mixed Methods Study</t>
  </si>
  <si>
    <t>JMIR MEDICAL EDUCATION</t>
  </si>
  <si>
    <t>medical question answering; LLM; LLM evaluation; education; natural language processing; multiple-choice questions; large language model</t>
  </si>
  <si>
    <t>CHATGPT; AI</t>
  </si>
  <si>
    <t>Dennstädt, Fabio/AGE-9074-2022; Hastings, Janna/ADQ-0837-2022</t>
  </si>
  <si>
    <t>2369-3762</t>
  </si>
  <si>
    <t>JMIR MED EDUC</t>
  </si>
  <si>
    <t>JMIR Med. Educ.</t>
  </si>
  <si>
    <t>e81399</t>
  </si>
  <si>
    <t>10.2196/81399</t>
  </si>
  <si>
    <t>http://dx.doi.org/10.2196/81399</t>
  </si>
  <si>
    <t>Education, Scientific Disciplines</t>
  </si>
  <si>
    <t>Education &amp; Educational Research</t>
  </si>
  <si>
    <t>EX0US</t>
  </si>
  <si>
    <t>41813244</t>
  </si>
  <si>
    <t>WOS:001711795200001</t>
  </si>
  <si>
    <t>Deng, YY; Zhao, S; Miao, YM; Zhu, JJ; Li, J</t>
  </si>
  <si>
    <t>Large language models (LLMs) have demonstrated remarkable potential in medical applications. However, they still face critical challenges such as hallucinations, knowledge inconsistency, and insufficient integration of domain-specific medical expertise. To address these limitations, we introduce MedKA, a novel knowledge graph-augmented approach for fine-tuning and evaluating medical LLMs. Our approach systematically transforms structured knowledge from a medical knowledge graph into a high-quality QA corpus, cMKGQA, by clustering multiple fields around clinically meaningful scenarios (e.g., diagnosis, treatment planning). This grouping strategy enables comprehensive and use-case-specific data construction and supports one-stage training of the LLM, ensuring better alignment with structured medical knowledge. This transformation process ensures the comprehensive integration of domain-specific knowledge while maintaining factual consistency. To evaluate the factuality of LLM-generated response, we further propose the Knowledge Graph-based Auxiliary Evaluation Metrics (KG-AEMs)-a novel benchmarking framework that compares LLM outputs with finegrained, attribute-level ground truth from knowledge graph. Experimental results demonstrate that MedKA achieves state-of-the-art performance, significantly outperforming existing models, including LLaMA-3.1-8B-Chinese-Chat, HuatuoGPT2-7B, and Apollo2-7B. On the cMKGQA dataset, MedKA achieves 44.63 BLEU-1 and 17.62 BLEU-4 scores, with particularly strong performance in areas such as medication recommendations and diagnostic tests as measured by KG-AEMs. Our approach highlights the potential of integrating knowledge graphs into LLM fine-tuning to improve the accuracy and reliability of medical AI systems. It advances factual accuracy in medical dialogue systems and provides a comprehensive framework for evaluating the integration of medical knowledge into LLMs. This work is publicly available on Github: https://github.com/Yai017/ MedKA.</t>
  </si>
  <si>
    <t>Deng, Yiyan; Zhao, Shen; Miao, Yongming; Zhu, Junjie; Li, Jin</t>
  </si>
  <si>
    <t>Li, J (corresponding author), Nanjing Univ Informat Sci &amp; Technol, Dept Artificial Intelligence, Nanjing, Jiangsu, Peoples R China.</t>
  </si>
  <si>
    <t>li.j@zju.edu.cn</t>
  </si>
  <si>
    <t>National Natural Science Foundation of China (NSFC) [82302352, 82441028, 82441029]</t>
  </si>
  <si>
    <t>National Natural Science Foundation of China (NSFC) (National Natural Science Foundation of China (NSFC))</t>
  </si>
  <si>
    <t>This work was supported in part by the National Natural Science Foundation of China (NSFC) under Grant 82302352, 82441028 and 82441029.</t>
  </si>
  <si>
    <t>[Deng, Yiyan; Miao, Yongming; Zhu, Junjie; Li, Jin] Nanjing Univ Informat Sci &amp; Technol, Dept Artificial Intelligence, Nanjing, Jiangsu, Peoples R China; [Zhao, Shen] Fudan Univ, Shanghai Canc Ctr, Dept Breast Surg, Shanghai, Peoples R China; [Zhao, Shen] Fudan Univ, Shanghai Med Coll, Dept Oncol, Shanghai, Peoples R China; [Miao, Yongming; Zhu, Junjie; Li, Jin] Jiangsu Key Lab Intelligent Med Image Comp, Nanjing, Jiangsu, Peoples R China</t>
  </si>
  <si>
    <t>Nanjing University of Information Science &amp; Technology; Fudan University; Fudan University</t>
  </si>
  <si>
    <t>MedKA: A knowledge graph-augmented approach to improve factuality in medical Large Language Models</t>
  </si>
  <si>
    <t>Knowledge graph; Large Language Models; Factuality evaluation; Natural Language Processing</t>
  </si>
  <si>
    <t>Deng, Yiyan/0009-0002-1381-9966; 苗, 永铭/0009-0006-1288-8029; Li, Jin/0009-0006-2316-9169</t>
  </si>
  <si>
    <t>63</t>
  </si>
  <si>
    <t>168</t>
  </si>
  <si>
    <t>104871</t>
  </si>
  <si>
    <t>10.1016/j.jbi.2025.104871</t>
  </si>
  <si>
    <t>http://dx.doi.org/10.1016/j.jbi.2025.104871</t>
  </si>
  <si>
    <t>5AA2T</t>
  </si>
  <si>
    <t>40639554</t>
  </si>
  <si>
    <t>WOS:001530727500001</t>
  </si>
  <si>
    <t>Suresh, S; Misra, SM</t>
  </si>
  <si>
    <t>Generative artificial intelligence, especially large language models (LLMs), has the potential to affect every level of pediatric education and training. Demonstrating speed and adaptability, LLMs can aid educators, trainees, and practicing pediatricians with tasks such as enhancing curriculum design through the creation of cases, videos, and assessments; creating individualized study plans and providing real-time feedback for trainees; and supporting pediatricians by enhancing information searches, clinic efficiency, and bedside teaching. LLMs can refine patient education materials to address patients' specific needs. The current versions of LLMs sometimes provide "hallucinations" or incorrect information but are likely to improve. There are ethical concerns related to bias in the output of LLMs, the potential for plagiarism, and the possibility of the overuse of an online tool at the expense of in-person learning. The potential benefits of LLMs in pediatric education can outweigh the potential risks if employed judiciously by content experts who conscientiously review the output. All stakeholders must firmly establish rules and policies to provide rigorous guidance and assure the safe and proper use of this transformative tool in the care of the child. In this article, we outline the history, current uses, and challenges with generative artificial intelligence in pediatrics education. We provide examples of LLM output, including performance on a pediatrics examination guide and the creation of patient care instructions. Future directions to establish a safe and appropriate path for the use of LLMs will be discussed.</t>
  </si>
  <si>
    <t>Suresh, Srinivasan; Misra, Sanghamitra M.</t>
  </si>
  <si>
    <t>Suresh, S (corresponding author), Univ Pittsburgh, Dept Pediat, Div Hlth Informat Emergency Med, Sch Med, Pittsburgh, PA USA.; Suresh, S (corresponding author), UPMC Childrens Hosp Pittsburgh, Dept Pediat, 4401 Penn Ave, Pittsburgh, PA 15224 USA.</t>
  </si>
  <si>
    <t>suresh@chp.edu</t>
  </si>
  <si>
    <t>[Suresh, Srinivasan] Univ Pittsburgh, Dept Pediat, Div Hlth Informat Emergency Med, Sch Med, Pittsburgh, PA USA; [Suresh, Srinivasan] UPMC Childrens Hosp Pittsburgh, Dept Pediat, 4401 Penn Ave, Pittsburgh, PA 15224 USA; [Misra, Sanghamitra M.] Baylor Coll Med, Div Acad Gen Pediat, Dept Pediat, Houston, TX USA; [Misra, Sanghamitra M.] Texas Childrens Hosp, Houston, TX USA</t>
  </si>
  <si>
    <t>Pennsylvania Commonwealth System of Higher Education (PCSHE); University of Pittsburgh; Pennsylvania Commonwealth System of Higher Education (PCSHE); University of Pittsburgh; Baylor College of Medicine; Baylor College of Medicine; Baylor College Medical Hospital</t>
  </si>
  <si>
    <t>Large Language Models in Pediatric Education: Current Uses and Future Potential</t>
  </si>
  <si>
    <t>PEDIATRICS</t>
  </si>
  <si>
    <t>Misra, Sanghamitra/0000-0001-5192-5095</t>
  </si>
  <si>
    <t>AMER ACAD PEDIATRICS</t>
  </si>
  <si>
    <t>Itasca</t>
  </si>
  <si>
    <t>345 Park Boulevard, Itasca, IL, UNITED STATES</t>
  </si>
  <si>
    <t>0031-4005</t>
  </si>
  <si>
    <t>1098-4275</t>
  </si>
  <si>
    <t>Pediatrics</t>
  </si>
  <si>
    <t>154</t>
  </si>
  <si>
    <t>e2023064683</t>
  </si>
  <si>
    <t>10.1542/peds.2023-064683</t>
  </si>
  <si>
    <t>http://dx.doi.org/10.1542/peds.2023-064683</t>
  </si>
  <si>
    <t>4KC2G</t>
  </si>
  <si>
    <t>39108227</t>
  </si>
  <si>
    <t>WOS:001519905600009</t>
  </si>
  <si>
    <t>Bronze</t>
  </si>
  <si>
    <t>Al Nazi, Z; Hristidis, V; McLean, AL; Meem, JA; Chowdhury, MTA</t>
  </si>
  <si>
    <t>Effective Question Answering (QA) on large biomedical document collections requires effective document retrieval techniques. The latter remains a challenging task due to the domain-specific vocabulary and semantic ambiguity in user queries. We propose BMQExpander, a novel ontology-aware query expansion pipeline that combines medical knowledge-definitions and relationships-from the UMLS Metathesaurus with the generative capabilities of large language models (LLMs) to enhance retrieval effectiveness. We implemented several state-of-the-art baselines, including sparse and dense retrievers, query expansion methods, and biomedical-specific solutions. We show that BMQExpander has superior retrieval performance on three popular biomedical Information Retrieval (IR) benchmarks: NFCorpus, TREC-COVID, and SciFact-with improvements of up to 22.1% in NDCG@10 over sparse baselines and up to 6.5% over the strongest baseline. Further, BMQExpander generalizes robustly under query perturbation settings, in contrast to supervised baselines, achieving up to 12.5% improvement over the strongest baseline. As a side contribution, we publish our paraphrased benchmarks. Finally, our qualitative analysis shows that BMQExpander has the potential to reduce hallucinations compared to other LLM-based query expansion baselines.</t>
  </si>
  <si>
    <t>Al Nazi, Zabir; Hristidis, Vagelis; McLean, Aaron Lawson; Meem, Jannat Ara; Chowdhury, Md Taukir Azam</t>
  </si>
  <si>
    <t>Al Nazi, Z; Hristidis, V (corresponding author), Univ Calif Riverside, Riverside, CA 92521 USA.</t>
  </si>
  <si>
    <t>vagelis@cs.ucr.edu; znazi002@ucr.edu; aaron.lawsonmclean@med.unijena.de; jmeem001@ucr.edu; mchow068@ucr.edu</t>
  </si>
  <si>
    <t>[Al Nazi, Zabir; Hristidis, Vagelis; Meem, Jannat Ara; Chowdhury, Md Taukir Azam] Univ Calif Riverside, Riverside, CA 92521 USA; [McLean, Aaron Lawson] Friedrich Schiller Univ Jena, Jena, Germany</t>
  </si>
  <si>
    <t>University of California System; University of California Riverside; Friedrich Schiller University of Jena</t>
  </si>
  <si>
    <t>Bmqexpander: ontology-guided query expansion for biomedical document retrieval using large language models</t>
  </si>
  <si>
    <t>DATA MINING AND KNOWLEDGE DISCOVERY</t>
  </si>
  <si>
    <t>Biomedical information retrieval; Medical ontology; Query expansion; UMLS metathesaurus; Large language models; Chain of thought</t>
  </si>
  <si>
    <t>Chowdhury, Towhidul/LQN-6076-2024</t>
  </si>
  <si>
    <t>1384-5810</t>
  </si>
  <si>
    <t>1573-756X</t>
  </si>
  <si>
    <t>DATA MIN KNOWL DISC</t>
  </si>
  <si>
    <t>Data Min. Knowl. Discov.</t>
  </si>
  <si>
    <t>10.1007/s10618-026-01220-z</t>
  </si>
  <si>
    <t>http://dx.doi.org/10.1007/s10618-026-01220-z</t>
  </si>
  <si>
    <t>IY3OP</t>
  </si>
  <si>
    <t>WOS:001783242600001</t>
  </si>
  <si>
    <t>Chen, QY; Hu, Y; Peng, XQ; Xie, QQ; Jin, Q; Gilson, A; Singer, MB; Ai, XG; Lai, PT; Wang, ZZ; Keloth, VK; Raja, K; Huang, JM; He, H; Lin, FC; Du, JC; Zhang, R; Zheng, WJ; Adelman, RA; Lu, ZY; Xu, H</t>
  </si>
  <si>
    <t>The rapid growth of biomedical literature poses challenges for manual knowledge curation and synthesis. Biomedical Natural Language Processing (BioNLP) automates the process. While Large Language Models (LLMs) have shown promise in general domains, their effectiveness in BioNLP tasks remains unclear due to limited benchmarks and practical guidelines. We perform a systematic evaluation of four LLMs-GPT and LLaMA representatives-on 12 BioNLP benchmarks across six applications. We compare their zero-shot, few-shot, and fine-tuning performance with the traditional fine-tuning of BERT or BART models. We examine inconsistencies, missing information, hallucinations, and perform cost analysis. Here, we show that traditional fine-tuning outperforms zero- or few-shot LLMs in most tasks. However, closed-source LLMs like GPT-4 excel in reasoning-related tasks such as medical question answering. Open-source LLMs still require fine-tuning to close performance gaps. We find issues like missing information and hallucinations in LLM outputs. These results offer practical insights for applying LLMs in BioNLP.</t>
  </si>
  <si>
    <t>Chen, Qingyu; Hu, Yan; Peng, Xueqing; Xie, Qianqian; Jin, Qiao; Gilson, Aidan; Singer, Maxwell B.; Ai, Xuguang; Lai, Po-Ting; Wang, Zhizheng; Keloth, Vipina K.; Raja, Kalpana; Huang, Jimin; He, Huan; Lin, Fongci; Du, Jingcheng; Zhang, Rui; Zheng, W. Jim; Adelman, Ron A.; Lu, Zhiyong; Xu, Hua</t>
  </si>
  <si>
    <t>Xu, H (corresponding author), Yale Univ, Yale Sch Med, Dept Biomed Informat &amp; Data Sci, New Haven, CT 06520 USA.; Lu, ZY (corresponding author), NIH, Natl Lib Med, Bethesda, MD 20894 USA.</t>
  </si>
  <si>
    <t>zhiyong.lu@nih.gov; hua.xu@yale.edu</t>
  </si>
  <si>
    <t>U.S. Department of Health &amp; Human Services | NIH | U.S. National Library of Medicine (NLM) [1R01LM014604, 4R00LM014024, R01AG078154, 1R01AG066749, W81XWH-22-1-0164]; National Institutes of Health; Intramural Research Program of the National Library of Medicine</t>
  </si>
  <si>
    <t>U.S. Department of Health &amp; Human Services | NIH | U.S. National Library of Medicine (NLM); National Institutes of Health (United States Department of Health &amp; Human Services, National Institutes of Health (NIH) - USA); Intramural Research Program of the National Library of Medicine (United States Department of Health &amp; Human Services, National Institutes of Health (NIH) - USA, NIH National Library of Medicine (NLM))</t>
  </si>
  <si>
    <t>This study is supported by the following National Institutes of Health grants: 1R01LM014604 (Q.C., R.A.A., and H.X), 4R00LM014024 (Q.C.), R01AG078154 (R.Z., and H.X), 1R01AG066749 (W.J.Z), W81XWH-22-1-0164 (W.J.Z), and the Intramural Research Program of the National Library of Medicine (Q.C., Q.J., P.L., Z.W., and Z.L).</t>
  </si>
  <si>
    <t>[Chen, Qingyu; Peng, Xueqing; Xie, Qianqian; Ai, Xuguang; Keloth, Vipina K.; Raja, Kalpana; Huang, Jimin; He, Huan; Lin, Fongci; Xu, Hua] Yale Univ, Yale Sch Med, Dept Biomed Informat &amp; Data Sci, New Haven, CT 06520 USA; [Chen, Qingyu; Jin, Qiao; Lai, Po-Ting; Wang, Zhizheng; Lu, Zhiyong] NIH, Natl Lib Med, Bethesda, MD 20894 USA; [Hu, Yan; Du, Jingcheng; Zheng, W. Jim] Univ Texas Hlth Sci Ctr Houston, McWilliams Sch Biomed Informat, Houston, TX USA; [Gilson, Aidan; Singer, Maxwell B.; Adelman, Ron A.] Yale Univ, Yale Sch Med, Dept Ophthalmol &amp; Visual Sci, New Haven, CT USA; [Zhang, Rui] Univ Minnesota, Med Sch, Dept Surg, Div Computat Hlth Sci, Minneapolis, MN 55454 USA; [Zhang, Rui] Univ Minnesota, Ctr Learning Hlth Syst Sci, Minneapolis, MN 55455 USA</t>
  </si>
  <si>
    <t>Yale University; National Institutes of Health (NIH) - USA; NIH National Library of Medicine (NLM); University of Texas System; University of Texas Health Science Center Houston; Yale University; University of Minnesota System; University of Minnesota Twin Cities; University of Minnesota System; University of Minnesota Twin Cities</t>
  </si>
  <si>
    <t>Benchmarking large language models for biomedical natural language processing applications and recommendations</t>
  </si>
  <si>
    <t>NATURE COMMUNICATIONS</t>
  </si>
  <si>
    <t>Du, Jingcheng/AAQ-5022-2020; Singer, Maxwell/LCI-9753-2024; Peng, Xueqing/GSN-3085-2022; Lu, Zhiyong/D-3243-2017; Ai, Xuguang/OOL-4604-2025; Lai, Po-Ting/JGM-5295-2023</t>
  </si>
  <si>
    <t>Xie, Qianqian/0000-0002-9588-7454; Singer, Maxwell/0000-0001-9583-3846; Jin, Qiao/0000-0002-1268-7239; Ai, Xuguang/0009-0000-2432-8316; Lai, Po-Ting/0000-0003-2025-318X</t>
  </si>
  <si>
    <t>96</t>
  </si>
  <si>
    <t>44</t>
  </si>
  <si>
    <t>2041-1723</t>
  </si>
  <si>
    <t>NAT COMMUN</t>
  </si>
  <si>
    <t>Nat. Commun.</t>
  </si>
  <si>
    <t>3280</t>
  </si>
  <si>
    <t>10.1038/s41467-025-56989-2</t>
  </si>
  <si>
    <t>http://dx.doi.org/10.1038/s41467-025-56989-2</t>
  </si>
  <si>
    <t>0ZM1R</t>
  </si>
  <si>
    <t>WOS:001459702500003</t>
  </si>
  <si>
    <t>Zhong, XF; Liu, R</t>
  </si>
  <si>
    <t>Background Pertussis (whooping cough) is a highly contagious respiratory infection that continues to cause substantial morbidity and mortality, particularly among infants, and has re-emerged globally among adolescents and adults. Large language models (LLMs) are increasingly used for health communication and science popularization; however, evidence regarding their readability, quality, and educational suitability for disease-specific patient education remains limited. To date, no systematic evaluation has focused on LLM-generated pertussis health education materials. Objective This study aimed to systematically evaluate and compare the performance of five mainstream LLMs in generating pertussis-related science popularization content, with particular attention to readability, informational quality, and educational suitability. Methods A cross-sectional simulation study was conducted using 20 frequently asked pertussis-related questions covering five domains: basic knowledge, symptom presentation, diagnostic methods, treatment and management, and prevention and prognosis. On October 28, 2025, all questions were identically input into five publicly accessible LLMs. Text readability was assessed using seven classical indices. Two independent pharmacists performed blinded evaluations using the Chinese version of the Patient Education Materials Assessment Tool for print materials (C-PEMAT-P) and the Global Quality Score (GQS). Additionally, two independent clinical experts assessed the factual accuracy and guideline concordance of each LLM-generated response against the Chinese Pertussis Diagnosis and Treatment Guidelines (2024) using a 4-point scale. Inter-rater agreement was evaluated using Cohen's kappa coefficient. Results ChatGPT, DeepSeek, and Doubao achieved significantly higher C-PEMAT and GQS scores than Wenxin Yiyan and Gemini (p &lt; 0.001), indicating superior understandability, actionability, and overall quality. Median C-PEMAT scores across all models suggested generally acceptable accessibility for patient education. Regarding factual accuracy and guideline concordance, ChatGPT achieved the highest mean score. No harmful advice or direct guideline contradictions were identified in any model output. Correlation analyses showed weak associations between traditional readability metrics and GQS, whereas C-PEMAT demonstrated a moderate positive correlation with GQS (r = 0.34). Conclusion Mainstream LLMs show preliminary capability in generating pertussis-related health education materials, although substantial inter-model variability persists. Domain-specific patient education assessment tools better capture perceived informational quality than generic readability metrics. These findings support the cautious, assistive use of LLMs in health communication within a human-AI collaborative framework.</t>
  </si>
  <si>
    <t>Zhong, Xue Feng; Liu, Rong</t>
  </si>
  <si>
    <t>Liu, R (corresponding author), Univ South China, Affiliated Changsha Cent Hosp, Hengyang Med Sch, Dept Pharm, Changsha, Peoples R China.</t>
  </si>
  <si>
    <t>liurongzjlgz@163.com</t>
  </si>
  <si>
    <t>[Zhong, Xue Feng] Zhejiang Univ, Affiliated Jinhua Hosp, Jinhua Municipal Cent Hosp, Dept Clin Trials Drugs,Sch Med, Jinhua, Peoples R China; [Liu, Rong] Univ South China, Affiliated Changsha Cent Hosp, Hengyang Med Sch, Dept Pharm, Changsha, Peoples R China</t>
  </si>
  <si>
    <t>Zhejiang University; University of South China</t>
  </si>
  <si>
    <t>Benchmarking the readability, quality, and educational suitability of large language models in communicating pertussis</t>
  </si>
  <si>
    <t>FRONTIERS IN PUBLIC HEALTH</t>
  </si>
  <si>
    <t>artificial intelligence; large language models; online medical education; pertussis; public health education</t>
  </si>
  <si>
    <t>2296-2565</t>
  </si>
  <si>
    <t>FRONT PUBLIC HEALTH</t>
  </si>
  <si>
    <t>Front. Public Health</t>
  </si>
  <si>
    <t>1799204</t>
  </si>
  <si>
    <t>10.3389/fpubh.2026.1799204</t>
  </si>
  <si>
    <t>http://dx.doi.org/10.3389/fpubh.2026.1799204</t>
  </si>
  <si>
    <t>Public, Environmental &amp; Occupational Health</t>
  </si>
  <si>
    <t>IM5AT</t>
  </si>
  <si>
    <t>42200119</t>
  </si>
  <si>
    <t>WOS:001775194800001</t>
  </si>
  <si>
    <t>Wu, JG; Wu, X; Zheng, YF; Yang, J</t>
  </si>
  <si>
    <t>Objective: Large language models (LLMs) offer promising potential in answering real-time medical queries, but they often produce lengthy, generic, and even hallucinatory responses. We aim to develop a reliable and interpretable medical dialogue system that incorporates clinical reasoning and then mitigates the risk of hallucination. Methods: Two large datasets of real-world online consultation, MedDG and KaMed, were used for evaluation. We proposed a Medical Dialogue System with Knowledge Enhancement and Clinical Pathway Encoding (MedKP), which integrates an external medical knowledge graph and encodes internal clinical pathways to model physician reasoning. Performance was compared with state-of-the-art baselines, including GPT-4o and LLaMA3.1-70B. A multi-dimensional evaluation framework assessed (1) clinical relevance (medical entity-based), (2) textual similarity (ROUGE, BLEU), (3) semantic alignment (BERTScore), and (4) hallucination and consistency via an external LLM-based judge, as well as parallel human evaluation. Results: Across both datasets, MedKP (6B) achieved the best overall performance, outperforming other advanced baselines and producing responses that align more closely with those of human physicians. For clinical relevance, MedKP reached a macro F1-score of medical entity at 31.41 on MedDG (previous best DFMed: 24.76, improved 30.41%) and 26.62 on KaMed (previous best LLaM-A3.1-70B: 20.67, improved 25.62%). Consistent improvements were observed across other metrics. Ablation studies further validated the effectiveness of each model component. Conclusion: Our results highlight the critical role of clinical reasoning in advancing trustworthy AI for digital healthcare. By enhancing the reliability, coherence, and transparency of AI-generated responses, this pathway-aware approach bridges the gap between LLMs and real-world clinical workflows, improving the accessibility of high-quality telemedicine services, particularly benefiting underserved populations.</t>
  </si>
  <si>
    <t>Wu, Jiageng; Wu, Xian; Zheng, Yefeng; Yang, Jie</t>
  </si>
  <si>
    <t>Wu, X (corresponding author), Jarvis Res Ctr, Tencent YouTu Lab, Beijing, Peoples R China.; Yang, J (corresponding author), Brigham &amp; Womens Hosp, Dept Med, Boston, MA 02115 USA.; Yang, J (corresponding author), Harvard Med Sch, Boston, MA 02115 USA.</t>
  </si>
  <si>
    <t>kevinxwu@tencent.com; jyang66@bwh.harvard.edu</t>
  </si>
  <si>
    <t>[Wu, Jiageng; Yang, Jie] Harvard Med Sch, Brigham &amp; Womens Hosp, Dept Med, Div Pharmacoepidemiol &amp; Pharmacoecon, Boston, MA USA; [Wu, Xian; Zheng, Yefeng] Jarvis Res Ctr, Tencent YouTu Lab, Beijing, Peoples R China; [Zheng, Yefeng] Westlake Univ, Hangzhou, Peoples R China; [Yang, Jie] Harvard Univ, Harvard Data Sci Initiat, Cambridge, MA USA; [Yang, Jie] Broad Inst MIT &amp; Harvard, Cambridge, MA USA</t>
  </si>
  <si>
    <t>Harvard University; Harvard Medical School; Harvard University Medical Affiliates; Brigham &amp; Women's Hospital; Tencent; Westlake University; Harvard University; Harvard University; Massachusetts Institute of Technology (MIT); Broad Institute</t>
  </si>
  <si>
    <t>Clinical pathway-aware large language models for reliable and transparent medical dialogue</t>
  </si>
  <si>
    <t>Large language model; Medical consultation; Dialogue system</t>
  </si>
  <si>
    <t>HEALTH</t>
  </si>
  <si>
    <t>Zheng, Yefeng/ABG-7053-2020; Wu, Xian/JRW-5738-2023; Wu, Jiageng/MEP-7684-2025</t>
  </si>
  <si>
    <t>Yang, Jie/0000-0001-5696-363X; Wu, Jiageng/0000-0003-0984-0818</t>
  </si>
  <si>
    <t>77</t>
  </si>
  <si>
    <t>104942</t>
  </si>
  <si>
    <t>10.1016/j.jbi.2025.104942</t>
  </si>
  <si>
    <t>http://dx.doi.org/10.1016/j.jbi.2025.104942</t>
  </si>
  <si>
    <t>9ZG4A</t>
  </si>
  <si>
    <t>41177245</t>
  </si>
  <si>
    <t>WOS:001618568200002</t>
  </si>
  <si>
    <t>Jin, LY; Ong, JCL; Elangovan, K; Ke, YH; Pyle, A; Ting, DSW; Liu, N</t>
  </si>
  <si>
    <t>Background: Randomized controlled trials (RCTs) face challenges such as limited generalizability, insufficient recruitment diversity, and high failure rates, often due to restrictive eligibility criteria and inefficient patient selection. Large language models (LLMs) have shown promise in various clinical tasks, but their potential role in RCT design remains underexplored. Objective: This study investigates the ability of LLMs, specifically GPT-4-Turbo-Preview, to assist in designing RCTs that enhance generalizability, recruitment diversity, and reduce failure rates, while maintaining clinical safety and ethical standards. Methods: We conducted a noninterventional, observational study analyzing 20 parallel-arm RCTs, comprising 10 completed and 10 registered studies published after January 2024 to mitigate pretraining biases. The LLM was tasked with generating RCT designs based on input criteria, including eligibility, recruitment strategies, interventions, and outcomes. The accuracy of LLM-generated designs was quantitatively assessed by 2 independent clinical experts by comparing them to clinically validated ground truth data from ClinicalTrials.gov. We have conducted statistical analysis using natural language processing-based methods, including Bilingual Evaluation Understudy (BLEU), Recall-Oriented Understudy for Gisting Evaluation (ROUGE)-L, and Metric for Evaluation of Translation with Explicit ORdering (METEOR), for objective scoring on corresponding LLM outputs. Qualitative assessments were performed using Likert scale ratings (1-3) for domains such as safety, clinical accuracy, objectivity or bias, pragmatism, inclusivity, and diversity. Results: The LLM achieved an overall accuracy of 72% in replicating RCT designs. Recruitment and intervention designs demonstrated high agreement with the ground truth, achieving 88% and 93% accuracy, respectively. However, LLMs showed lower accuracy in designing eligibility criteria (55%) and outcomes measurement (53%). Natural language processing statistical analysis reported BLEU=0.04, ROUGE-L=0.20, and METEOR=0.18 on average objective scoring of LLM outputs. Qualitative evaluations showed that LLM-generated designs scored above 2 points and closely matched the original designs in scores across all domains, indicating strong clinical alignment. Specifically, both original and LLM-based designs ranked similarly high in safety, clinical accuracy, and objectivity or bias in published RCTs. Moreover, LLM-based design ranked noninferior to original designs in registered RCTs in multiple domains. In particular, LLMs enhanced diversity and pragmatism, which are key factors in improving RCT generalizability and addressing failure rates. Conclusions: LLMs, such as GPT-4-Turbo-Preview, have demonstrated potential in improving RCT design, particularly in recruitment and intervention planning, while enhancing generalizability and addressing diversity. However, expert oversight and regulatory measures are essential to ensure patient safety and ethical standards. The findings support further integration of LLMs into clinical trial design, although continued refinement is necessary to address limitations in eligibility and outcomes measurement.</t>
  </si>
  <si>
    <t>Jin, Liyuan; Ong, Jasmine Chiat Ling; Elangovan, Kabilan; Ke, Yuhe; Pyle, Alexandra; Ting, Daniel Shu Wei; Liu, Nan</t>
  </si>
  <si>
    <t>Liu, N (corresponding author), Duke NUS Med Sch, 8 Coll Rd, Singapore 169857, Singapore.</t>
  </si>
  <si>
    <t>liu.nan@duke-nus.edu.sg</t>
  </si>
  <si>
    <t>Duke-NUS Signature Research Program - Ministry of Health, Singapore</t>
  </si>
  <si>
    <t>This work was supported by the Duke-NUS Signature Research Program, funded by the Ministry of Health, Singapore. The funder had no role in study design, conduct, data analysis, and interpretation. Any opinions, findings, and conclusions or recommendations expressed in this material are those of the authors and do not reflect the views of the Singapore Ministry of Health.</t>
  </si>
  <si>
    <t>[Jin, Liyuan; Ong, Jasmine Chiat Ling; Ke, Yuhe; Ting, Daniel Shu Wei; Liu, Nan] Duke NUS Med Sch, 8 Coll Rd, Singapore 169857, Singapore; [Ong, Jasmine Chiat Ling] Singapore Gen Hosp, Div Pharm, Singapore, Singapore; [Elangovan, Kabilan; Pyle, Alexandra; Ting, Daniel Shu Wei] SingHealth, Artificial Intelligence Off, Singapore, Singapore; [Ke, Yuhe] Singapore Gen Hosp, Dept Anaesthesiol &amp; Perioperat Med, Singapore, Singapore; [Ting, Daniel Shu Wei] Singapore Natl Eye Ctr, Singapore, Singapore; [Liu, Nan] Natl Univ Singapore, NUS Artificial Intelligence Inst, Singapore, Singapore</t>
  </si>
  <si>
    <t>National University of Singapore; Singapore General Hospital; Singapore General Hospital; Singapore National Eye Center; National University of Singapore</t>
  </si>
  <si>
    <t>Large Language Models in Randomized Controlled Trials Design: Observational Study</t>
  </si>
  <si>
    <t>GPT-4; LLM-generated clinical trial designs; clinical trial design evaluation; recruitment diversity; eligibility criteria; clinical research ethics; trial failure reduction</t>
  </si>
  <si>
    <t>CLINICAL-TRIALS; FAILURE</t>
  </si>
  <si>
    <t>Ong, Jasmine/OIU-8666-2025; Liu, Nan/HCS-2632-2022; Ting, Daniel/QOC-0597-2026</t>
  </si>
  <si>
    <t>Liu, Nan/0000-0003-3610-4883; Ong, Jasmine/0000-0001-6916-5960; Jin, Liyuan/0000-0001-6738-1424; Elangovan, Kabilan/0000-0002-7711-7368</t>
  </si>
  <si>
    <t>SEP 3 2025</t>
  </si>
  <si>
    <t>e67469</t>
  </si>
  <si>
    <t>10.2196/67469</t>
  </si>
  <si>
    <t>http://dx.doi.org/10.2196/67469</t>
  </si>
  <si>
    <t>8JS1G</t>
  </si>
  <si>
    <t>41055064</t>
  </si>
  <si>
    <t>WOS:001590296900003</t>
  </si>
  <si>
    <t>Miao, YM; Wen, JX; Luo, YM; Li, J</t>
  </si>
  <si>
    <t>Background: Large Language Models (LLMs) have shown remarkable potential in medical question answering (QA), yet their deployment in clinical settings remains limited by hallucinations, inconsistent reasoning, and difficulties in handling complex biomedical information. Methods: To address these challenges, we propose MedARC (Medical Agent Refinement and Collaboration), a novel multi-agent framework that enhances medical QA through structured debate among multiple LLM agents. MedARC introduces two key mechanisms: (1) structured inter-agent summarization to extract and refine key agreements and disagreements across agents, and (2) confidence-aware aggregation to synthesize final answers based on the most reliable and well-reasoned contributions. Results: We evaluate MedARC on three representative medical QA benchmarks, spanning yes/no, factoid, and open-ended QA tasks. Experimental results demonstrate that MedARC significantly improves performance over zero-shot and chain-of-thought (CoT) prompting baselines. For instance, in the yes/no QA task on PubMedQA, MedARC boosts accuracy from 72.9 % (zero-shot) to 77.2 % using DeepSeek-V3 as the backbone model. Human evaluation further confirms gains in factual consistency and completeness with MedARC. We conduct extensive ablation studies and sensitivity analyses, revealing that MedARC's structured summarization and aggregation modules contribute independently to performance improvements. Additionally, we explore the impact of heterogeneous agent configurations and varying numbers of debate rounds on overall system effectiveness. Conclusions: Overall, MedARC provides a reliable and scalable solution for enhancing LLM-based medical QA systems. The code for this study is publicly available on GitHub (https://github.com/asdmiao/MedARC).</t>
  </si>
  <si>
    <t>Miao, Yongming; Wen, Jiaxin; Luo, Yuemei; Li, Jin</t>
  </si>
  <si>
    <t>Li, J (corresponding author), Nanjing Univ Informat Sci &amp; Technol, Sch Artificial Intelligence, Nanjing, Peoples R China.</t>
  </si>
  <si>
    <t>li.j@nuist.edu.cn</t>
  </si>
  <si>
    <t>National Natural Science Foundation of China (NSFC) [82302352, 82441029]</t>
  </si>
  <si>
    <t>This work was supported in part by the National Natural Science Foundation of China (NSFC) under Grant 82302352 and 82441029.</t>
  </si>
  <si>
    <t>[Miao, Yongming; Wen, Jiaxin; Luo, Yuemei; Li, Jin] Nanjing Univ Informat Sci &amp; Technol, Sch Artificial Intelligence, Nanjing, Peoples R China; [Miao, Yongming; Luo, Yuemei; Li, Jin] Nanjing Univ Informat Sci &amp; Technol, Jiangsu Key Lab Intelligent Med Image Comp, Nanjing, Peoples R China</t>
  </si>
  <si>
    <t>Nanjing University of Information Science &amp; Technology; Nanjing University of Information Science &amp; Technology</t>
  </si>
  <si>
    <t>MedARC: Adaptive multi-agent refinement and collaboration for enhanced medical reasoning in large language models</t>
  </si>
  <si>
    <t>INTERNATIONAL JOURNAL OF MEDICAL INFORMATICS</t>
  </si>
  <si>
    <t>Medical question answering; Large language models; Multi-agent system; Clinical natural language processing</t>
  </si>
  <si>
    <t>LUO, YUEMEI/KHD-0708-2024</t>
  </si>
  <si>
    <t>苗, 永铭/0009-0006-1288-8029</t>
  </si>
  <si>
    <t>1386-5056</t>
  </si>
  <si>
    <t>1872-8243</t>
  </si>
  <si>
    <t>INT J MED INFORM</t>
  </si>
  <si>
    <t>Int. J. Med. Inform.</t>
  </si>
  <si>
    <t>206</t>
  </si>
  <si>
    <t>106136</t>
  </si>
  <si>
    <t>10.1016/j.ijmedinf.2025.106136</t>
  </si>
  <si>
    <t>http://dx.doi.org/10.1016/j.ijmedinf.2025.106136</t>
  </si>
  <si>
    <t>Computer Science, Information Systems; Health Care Sciences &amp; Services; Medical Informatics</t>
  </si>
  <si>
    <t>Computer Science; Health Care Sciences &amp; Services; Medical Informatics</t>
  </si>
  <si>
    <t>8ZO7M</t>
  </si>
  <si>
    <t>41109093</t>
  </si>
  <si>
    <t>WOS:001601091300001</t>
  </si>
  <si>
    <t>Wu, DD; Chen, KY; Wu, XC; Jin, JF; Xu, F</t>
  </si>
  <si>
    <t>Purpose: To evaluate the performance of large language models (LLMs) in infectious disease-specific clinical reasoning and decision-making. Patients and Methods: A comprehensive evaluation of four widely used LLMs-DeepSeek-R1, ChatGPT-5, Grok 3, and Gemini 2.5 Flash-was conducted using a dual assessment framework that combined examination-based questions with real-world clinical cases. LLMs performance was compared with that of infectious disease residents. Examination outcomes were assessed using accuracy and score rates, while clinical case responses were evaluated by expert reviewers using predefined Likert-scale criteria. In addition, doctors' independent clinical decisions were compared with those supported by LLMs to assess the potential value of human-AI collaboration. Results: Across examination-based assessments, LLMs performed comparably to infectious disease residents, with no significant differences observed in accuracy or score rates (p = 0.54). LLMs showed a trend toward better performance on low-order, knowledgebased questions (p = 0.34), whereas doctors tended to perform better on simple case-based questions (p = 0.74), particularly those requiring higher-order clinical reasoning (p = 0.10). In real-world clinical case evaluations (n=10), LLM-generated responses achieved high ratings for accuracy, completeness, individualization, safety, and readability, with comparable performance across models (p &gt; 0.05). Importantly, doctors' decision-making supported by LLMs showed a trend toward improved accuracy compared with independent decisions (p = 0.19). Notably, for completeness, doctors supported by LLMs achieved significantly higher scores compared with both doctors alone (p = 0.0015) and the LLMs alone (p = 0.0010). Nevertheless, clinically meaningful errors occurred in certain high-risk scenarios, underscoring the limitations of standalone LLM decision-making. Conclusion: LLMs show substantial potential in infectious disease education and clinical decision support, particularly for knowledge-based tasks. However, their limitations in complex clinical reasoning underscore the necessity of clinician oversight. A human- AI collaborative approach appears to offer the greatest benefit, enhancing decision quality while maintaining clinical safety. Continued refinement of regulatory and medico-legal frameworks is critical to support the safe, ethical, and responsible deployment of LLMs in clinical practice.</t>
  </si>
  <si>
    <t>Wu, Dandan; Chen, Keying; Wu, Xiaocui; Jin, Jiongfei; Xu, Feng</t>
  </si>
  <si>
    <t>Xu, F (corresponding author), Zhejiang Univ, Affiliated Hosp 2, Sch Med, Dept Infect Dis, Hangzhou, Zhejiang, Peoples R China.</t>
  </si>
  <si>
    <t>xufeng99@zju.edu.cn</t>
  </si>
  <si>
    <t>Noncommunicable Chronic Diseases-National Science and Technology Major Project [2025ZD0549100]; Key research and development program of Zhejiang Province [2025C02093]</t>
  </si>
  <si>
    <t>Noncommunicable Chronic Diseases-National Science and Technology Major Project; Key research and development program of Zhejiang Province</t>
  </si>
  <si>
    <t>This research was funded by Noncommunicable Chronic Diseases-National Science and Technology Major Project (2025ZD0549100) and Key research and development program of Zhejiang Province (2025C02093) . The authors declare that generative artificial intelligence tools (ChatGPT-5 and DeepSeek-R1) were used during manuscript preparation for language editing and improvement of clarity and readability. The AI tool was not used to generate scientific content, analyze data, or draw clinical conclusions. All content was reviewed and approved by the authors, who take full responsibility for the manuscript.</t>
  </si>
  <si>
    <t>[Wu, Dandan; Chen, Keying; Wu, Xiaocui; Jin, Jiongfei; Xu, Feng] Zhejiang Univ, Affiliated Hosp 2, Sch Med, Dept Infect Dis, Hangzhou, Zhejiang, Peoples R China; [Jin, Jiongfei] Ningbo Univ, Affiliated Yangming Hosp, Dept Infect Dis, Ningbo, Zhejiang, Peoples R China</t>
  </si>
  <si>
    <t>Zhejiang University</t>
  </si>
  <si>
    <t>Evaluation of Large Language Models in Infectious Disease Decision-Making: From Examination to Clinical Practice</t>
  </si>
  <si>
    <t>INFECTION AND DRUG RESISTANCE</t>
  </si>
  <si>
    <t>large language models; infectious diseases; clinical decision-making; human-AI collaboration</t>
  </si>
  <si>
    <t>DOVE MEDICAL PRESS LTD</t>
  </si>
  <si>
    <t>ALBANY</t>
  </si>
  <si>
    <t>PO BOX 300-008, ALBANY, AUCKLAND 0752, NEW ZEALAND</t>
  </si>
  <si>
    <t>1178-6973</t>
  </si>
  <si>
    <t>INFECT DRUG RESIST</t>
  </si>
  <si>
    <t>Infect. Drug Resistance</t>
  </si>
  <si>
    <t>593763</t>
  </si>
  <si>
    <t>10.2147/IDR.S593763</t>
  </si>
  <si>
    <t>http://dx.doi.org/10.2147/IDR.S593763</t>
  </si>
  <si>
    <t>Infectious Diseases; Pharmacology &amp; Pharmacy</t>
  </si>
  <si>
    <t>JN9PQ</t>
  </si>
  <si>
    <t>42311928</t>
  </si>
  <si>
    <t>WOS:001793831700001</t>
  </si>
  <si>
    <t>Sun, LS; Liu, DD; Wang, MX; Han, YY; Zhang, YQ; Zhou, BW; Ren, Y; Zhu, P</t>
  </si>
  <si>
    <t>The digital health field's pursuit of massive, personalized healthcare continuously faces constraints from doctors' resources and capacity limitations. Recently, the emergence of large language models (LLMs), with their remarkable comprehension and processing abilities, has revolutionized digital health and enhanced massive, personalized healthcare. Although these LLMs have achieved significant advancements, they have also introduced inevitable hallucinations, which impact patient safety when used in massive applications. To address these challenges, this study proposes a digital hospital for a massive, personalized, reliable healthcare service named the Chat Chain-Brain-based Doctor (CHATCBD). In addition, this study transforms the LLM-based diagnostic process into a digital hospital architecture, designs a controllable AI agents framework, and develops a self-audit mechanism to enhance their reliability. The proposed CHATCBD uses blockchain technology to decentralize external regulation of the LLMs' personalized diagnoses. It introduces a blockchain-based personalized routing management mechanism to improve patient-centered decision-making and designs a blockchain-based audit framework based on a proposed mathematical model that ensures both the professionalism and honesty of audits, serving as a safety net for addressing LLM hallucinations. The results of extensive experiments conducted on 13 datasets from multiple perspectives demonstrate that the proposed CHATCBD system can significantly enhance the capabilities of LLMs in personalized healthcare.</t>
  </si>
  <si>
    <t>Sun, Lianshan; Liu, Diandong; Wang, Maoxue; Han, Yongyi; Zhang, Yanqing; Zhou, Biwei; Ren, Yi; Zhu, Peng</t>
  </si>
  <si>
    <t>Sun, LS (corresponding author), Shaanxi Univ Sci &amp; Technol, Coll Elect Informat &amp; Artificial Intelligence, Xian 710021, Peoples R China.</t>
  </si>
  <si>
    <t>sunlianshan@sust.edu.cn</t>
  </si>
  <si>
    <t>Natural Science Basic Research Program of Shaanxi [2023-JC-YB-581]; National Natural Science Foundation of China [62471280]; National Key R&amp;D Program of China [2022YFD2100605]</t>
  </si>
  <si>
    <t>Natural Science Basic Research Program of Shaanxi; National Natural Science Foundation of China (National Natural Science Foundation of China (NSFC)); National Key R&amp;D Program of China (National Key Research &amp; Development Program of China)</t>
  </si>
  <si>
    <t>This work was supported in part by the Natural Science Basic Research Program of Shaanxi under Grant 2023-JC-YB-581, in part by the National Natural Science Foundation of China under Grant 62471280, and in part by the National Key R&amp;D Program of China under Grant 2022YFD2100605.</t>
  </si>
  <si>
    <t>[Sun, Lianshan; Liu, Diandong; Han, Yongyi; Zhang, Yanqing; Zhou, Biwei] Shaanxi Univ Sci &amp; Technol, Coll Elect Informat &amp; Artificial Intelligence, Xian 710021, Peoples R China; [Sun, Lianshan; Liu, Diandong; Han, Yongyi; Zhang, Yanqing; Zhou, Biwei] Shaanxi Joint Lab Artificial Intelligence, Xian 710021, Peoples R China; [Wang, Maoxue] Nanjing Univ, Affiliated Drum Tower Hosp, Med Sch, Dept Radiol, Nanjing, Peoples R China; [Ren, Yi] Xidian Univ, Lab Artificial Intelligence, Hangzhou Inst Technol, Xian 710032, Peoples R China; [Zhu, Peng] Nanjing Univ Sci &amp; Technol, Sch Econ &amp; Management, Nanjing 210094, Peoples R China</t>
  </si>
  <si>
    <t>Shaanxi University of Science &amp; Technology; Nanjing University; Xidian University; Nanjing University of Science &amp; Technology</t>
  </si>
  <si>
    <t>Taming Unleashed Large Language Models With Blockchain for Massive Personalized Reliable Healthcare</t>
  </si>
  <si>
    <t>IEEE JOURNAL OF BIOMEDICAL AND HEALTH INFORMATICS</t>
  </si>
  <si>
    <t>Medical services; Reliability; Blockchains; Medical diagnostic imaging; Retrieval augmented generation; Hospitals; History; Electronic healthcare; Collaboration; Cognition; Agent; blockchain; digital health; large language model; reliability</t>
  </si>
  <si>
    <t>ren, yi/MGA-3759-2025; wang, maoxue/JJG-8506-2023; Zhu, Peng/CAA-9954-2022</t>
  </si>
  <si>
    <t>, Maoxue/0000-0003-1515-3133; Liu, Diandong/0009-0003-7094-2511; ren, yi/0009-0008-8453-9447; Han, yongyi/0009-0002-6523-4206; sun, lianshan/0000-0002-5738-7862</t>
  </si>
  <si>
    <t>IEEE-INST ELECTRICAL ELECTRONICS ENGINEERS INC</t>
  </si>
  <si>
    <t>PISCATAWAY</t>
  </si>
  <si>
    <t>445 HOES LANE, PISCATAWAY, NJ 08855-4141 USA</t>
  </si>
  <si>
    <t>2168-2194</t>
  </si>
  <si>
    <t>2168-2208</t>
  </si>
  <si>
    <t>IEEE J BIOMED HEALTH</t>
  </si>
  <si>
    <t>IEEE J. Biomed. Health Inform.</t>
  </si>
  <si>
    <t>4498</t>
  </si>
  <si>
    <t>4511</t>
  </si>
  <si>
    <t>10.1109/JBHI.2025.3528526</t>
  </si>
  <si>
    <t>http://dx.doi.org/10.1109/JBHI.2025.3528526</t>
  </si>
  <si>
    <t>Computer Science, Information Systems; Computer Science, Interdisciplinary Applications; Mathematical &amp; Computational Biology; Medical Informatics</t>
  </si>
  <si>
    <t>Computer Science; Mathematical &amp; Computational Biology; Medical Informatics</t>
  </si>
  <si>
    <t>3MW9K</t>
  </si>
  <si>
    <t>40031172</t>
  </si>
  <si>
    <t>WOS:001504143000048</t>
  </si>
  <si>
    <t>Kocaman, V; Kaya, MA; Feier, AM; Talby, D</t>
  </si>
  <si>
    <t>Background: The proliferation of both general purpose and health care-specific large language models (LLMs) has intensified the challenge of effectively evaluating and comparing them. Data contamination plagues the validity of public benchmarks, self-preference distorts LLM-as-a-judge approaches, and there is a gap between the tasks used to test models and those used in clinical practice. Objective: In response, we propose CLEVER (Clinical Large Language Model Evaluation-Expert Review), a methodology for blind, randomized, preference-based evaluation by practicing medical doctors on specific tasks. Methods: We demonstrate the methodology by comparing GPT-4o (OpenAI) against 2 health care-specific LLMs, with 8 billion and 70 billion parameters, over 3 tasks: clinical text summarization, clinical information extraction, and question answering on biomedical research. Results: Medical doctors prefer the medical model-small LLM trained by John Snow Labs over GPT-4o 45% to 92% more often on the dimensions of factuality, clinical relevance, and conciseness. Conclusions: The models show comparable performance on open-ended medical question answering, suggesting that health care-specific LLMs can outperform much larger general purpose LLMs in tasks that require understanding of clinical context. We test the validity of CLEVER evaluations by conducting interannotator agreement, interclass correlation, and washout period analysis.</t>
  </si>
  <si>
    <t>Kocaman, Veysel; Kaya, Mustafa Aytug; Feier, Andrei Marian; Talby, David</t>
  </si>
  <si>
    <t>Kocaman, V (corresponding author), John Snow Labs Inc, 16192 Coastal Highway, Lewes, DE 19958 USA.</t>
  </si>
  <si>
    <t>veysel@johnsnowlabs.com</t>
  </si>
  <si>
    <t>[Kocaman, Veysel; Feier, Andrei Marian; Talby, David] John Snow Labs Inc, 16192 Coastal Highway, Lewes, DE 19958 USA; [Kaya, Mustafa Aytug] George Mason Univ, Computat Sci &amp; Informat, Fairfax, VA USA</t>
  </si>
  <si>
    <t>George Mason University</t>
  </si>
  <si>
    <t>Clinical Large Language Model Evaluation by Expert Review (CLEVER): Framework Development and Validation</t>
  </si>
  <si>
    <t>large language models; medical LLMs; evaluation framework; clinical relevance; factuality; natural language processing; generative AI; NLP; artificial intelligence</t>
  </si>
  <si>
    <t>Feier, Andrei-Marian/JYO-6666-2024</t>
  </si>
  <si>
    <t>Kocaman, Veysel/0000-0002-0065-6478; Kaya, Mustafa Aytug/0009-0009-7824-6389; Feier, Andrei-Marian/0000-0002-1004-8839; Talby, David/0000-0003-2782-5478</t>
  </si>
  <si>
    <t>e72153</t>
  </si>
  <si>
    <t>10.2196/72153</t>
  </si>
  <si>
    <t>http://dx.doi.org/10.2196/72153</t>
  </si>
  <si>
    <t>S8768</t>
  </si>
  <si>
    <t>41343765</t>
  </si>
  <si>
    <t>WOS:001637033400004</t>
  </si>
  <si>
    <t>Cohen, AB; Adamson, B; Larch, JK; Amster, G</t>
  </si>
  <si>
    <t>Background: The suitability of artificial intelligence (AI) and large language models (LLMs) to assist in curating real-world data (RWD) from electronic health records (EHR) for research holds transformative potential. Programmed death-ligand 1 (PD-L1) biomarker testing guides cancer treatment decisions, but results are hard to access because lab reports are unstructured and require clinical expertise to interpret. Additionally, results vary by cancer type, and documentation patterns have changed over time. This study explored the ability of LLMs to rapidly extract PD-L1 biomarker details from the EHR. Materials and Methods: We applied open-source LLMs (Llama-2-7B and Mistral-v0.1-7B) to extract seven biomarker details relating to PD-L1 testing from the Flatiron Health US nationwide EHR-derived database: collection/receipt/report date, cell type, percent staining, combined positive score, and staining intensity. Two approaches were used: zero-shot experiments (no fine-tuning) exploring a range of prompts and fine-tuning on manually curated answers from 500, 1000, and 1500 documents. In both cases, we validated performance using 250 human-abstracted answers across 10 cancer types. Additionally, we compared the LLM's ability to extract PD-L1 percent staining to a deep learning model baseline trained on &gt;10,000 examples. Results: We successfully used LLMs to extract biomarker testing details from EHR documents. Fine-tuned outputs consistently conformed to the desired RWD structure. In contrast, zero-shot outputs were frequently invalid and exhibited hallucinations. Fine-tuning performance improved with additional training examples. F1 scores ranged from 0.8 to 0.95, and date accuracy (within 15 days) ranged from 0.85 to 0.9. Fine-tuned LLMs exceeded the performance of the deep learning model baseline (Delta F1 = 0.05) despite the significant difference in training data. Conclusion: LLMs, fine-tuned with high-quality labeled data, accurately extracted complex PD-L1 test details from EHRs despite considerable variability in cancer type, documentation, and time. In contrast, zero-shot prompt extraction was not effective at the model scale examined here. Validation required access to high-quality data labeled by experts with access to the source EHR.</t>
  </si>
  <si>
    <t>Cohen, Aaron B.; Adamson, Blythe; Larch, Jonathan Kelly; Amster, Guy</t>
  </si>
  <si>
    <t>Cohen, AB (corresponding author), Flatiron Hlth, 233 Spring St, New York, NY 10013 USA.</t>
  </si>
  <si>
    <t>acohen@flatiron.com</t>
  </si>
  <si>
    <t>Flatiron Health, Inc.</t>
  </si>
  <si>
    <t>This study was sponsored by Flatiron Health, Inc.-anindependent member of the Roche Group.</t>
  </si>
  <si>
    <t>[Cohen, Aaron B.; Adamson, Blythe; Larch, Jonathan Kelly; Amster, Guy] Flatiron Hlth, 233 Spring St, New York, NY 10013 USA; [Cohen, Aaron B.] NYU Langone, Sch Med, New York, NY USA; [Adamson, Blythe] Univ Washington, Comparat Hlth Outcomes Policy &amp; Econ Inst, Seattle, WA USA</t>
  </si>
  <si>
    <t>NYU Langone Medical Center; University of Washington; University of Washington Seattle</t>
  </si>
  <si>
    <t>Large Language Model Extraction of PD-L1 Biomarker Testing Details From Electronic Health Records</t>
  </si>
  <si>
    <t>AI IN PRECISION ONCOLOGY</t>
  </si>
  <si>
    <t>real-world data; natural language processing; artificial intelligence; machine learning; validation</t>
  </si>
  <si>
    <t>PATTERNS</t>
  </si>
  <si>
    <t>SAGE PUBLICATIONS INC</t>
  </si>
  <si>
    <t>THOUSAND OAKS</t>
  </si>
  <si>
    <t>2455 TELLER RD, THOUSAND OAKS, CA 91320 USA</t>
  </si>
  <si>
    <t>2993-091X</t>
  </si>
  <si>
    <t>2993-0928</t>
  </si>
  <si>
    <t>AI PRECIS ONCOL</t>
  </si>
  <si>
    <t>AI Precis. Oncol.</t>
  </si>
  <si>
    <t>10.1089/aipo.2024.0043</t>
  </si>
  <si>
    <t>http://dx.doi.org/10.1089/aipo.2024.0043</t>
  </si>
  <si>
    <t>Oncology; Medical Informatics</t>
  </si>
  <si>
    <t>HU8YU</t>
  </si>
  <si>
    <t>WOS:001763258900003</t>
  </si>
  <si>
    <t>van Kessel, R; Anderson, M; McMillan, B; Matthews, MR; Rust, P; Pearcy, P; Nasir, K; Mossialos, E</t>
  </si>
  <si>
    <t>Objective Meaningful assessments of how large language models (LLMs) incorporate clinical guidelines require large-scale testing over many queries. Here, we evaluate the prevalence of clinical guideline omissions and hallucinations in a large sample of diagnostic LLM outputs.Methods We used simulated case vignettes and zero-shot prompting to generate diagnostic outputs and rationales from GPT-4.1 and DeepSeek-V3. English case vignettes were created for hypercholesterolaemia and type-2 diabetes mellitus. Each vignette contained identical medical information, while sociodemographic characteristics varied in terms of sex, ethnicity and location. We calculated the prevalence of existing and hallucinated clinical guidelines in LLM outputs across disease, LLM and sociodemographic characteristics.Results We analysed a total of 12 197 LLM outputs, which quantifies three hazard areas: omissions (up to 97% for DeepSeek-V3 and 46% for GPT-4.1), hallucinations (up to 9%) and inconsistencies (guideline citation rate ranging from 0% to 78.39% across sociodemographic vignettes). Omission and hallucination rates were generally similar across vignettes with different sex or ethnicity data, yet were particularly sensitive to patient location.Discussion This study highlights significant variability in clinical guideline prediction across two different diseases, three different sociodemographic variables and two LLMs, even when the LLMs were instructed by identical prompts, establishing clinical guideline prediction in LLM outputs as a stochastic event.Conclusion The stochastic nature of LLMs creates a unique challenge for evidence generation and clinical deployment. Being able to measure and capture this stochasticity within high-quality research designs will be a prerequisite to advancing the responsible deployment of LLMs in healthcare.</t>
  </si>
  <si>
    <t>van Kessel, Robin; Anderson, Michael; McMillan, Brian; Matthews, Marc R.; Rust, Paul; Pearcy, Pauline; Nasir, Khurram; Mossialos, Elias</t>
  </si>
  <si>
    <t>van Kessel, R (corresponding author), London Sch Econ &amp; Polit Sci, AI &amp; Digital Unit, LSE Hlth, London, England.; van Kessel, R (corresponding author), World Econ Forum, Ctr Hlth &amp; Healthcare, Cologny, Switzerland.</t>
  </si>
  <si>
    <t>matthews.marc@mayo.edu; paul.rust@uni-wh.de; e.a.mossialos@lse.ac.uk; knasir@houstonmethodist.org; r.van-kessel@lse.ac.uk; brian.mcmillan@manchester.ac.uk; michael.anderson-3@manchester.ac.uk; p.pearcy@lse.ac.uk</t>
  </si>
  <si>
    <t>Hoffmann Fellowship Programme [N/A]</t>
  </si>
  <si>
    <t>Hoffmann Fellowship Programme</t>
  </si>
  <si>
    <t>RvK was supported by the Hoffmann Fellowship Programme of the World Economic Forum and the London School of Economics and Political Science.</t>
  </si>
  <si>
    <t>[van Kessel, Robin; Anderson, Michael; Pearcy, Pauline; Mossialos, Elias] London Sch Econ &amp; Polit Sci, AI &amp; Digital Unit, LSE Hlth, London, England; [van Kessel, Robin] World Econ Forum, Ctr Hlth &amp; Healthcare, Cologny, Switzerland; [Anderson, Michael; McMillan, Brian] Univ Manchester, Ctr Primary Care &amp; Hlth Serv Res, Manchester, England; [Matthews, Marc R.] Mayo Clin, Dept Family Med, Rochester, MN USA; [Rust, Paul] Witten Herdecke Univ, Fac Hlth, Sch Med, Witten, Germany; [Nasir, Khurram] Houston Methodist, DeBakey Heart &amp; Vasc Ctr, Div Prevent &amp; Wellness, Houston, TX USA; [Nasir, Khurram] Houston Methodist, Ctr Cardiovasc Computat &amp; Precis Hlth, DeBakey Heart &amp; Vasc Ctr, Houston, TX USA; [Nasir, Khurram] Houston Methodist Rice Digital Hlth Inst, Houston, TX USA</t>
  </si>
  <si>
    <t>University of London; London School Economics &amp; Political Science; University of Manchester; Mayo Clinic; Houston Methodist; Houston Methodist</t>
  </si>
  <si>
    <t>Omission and hallucination prevalence of clinical guidelines in diagnostic large language model outputs</t>
  </si>
  <si>
    <t>BMJ HEALTH &amp; CARE INFORMATICS</t>
  </si>
  <si>
    <t>Artificial intelligence; Large Language Models; Evidence-Based Medicine; Decision Making, Computer-Assisted</t>
  </si>
  <si>
    <t>PHYSICIANS</t>
  </si>
  <si>
    <t>van Kessel, Robin/GWV-1883-2022; Mossialos, Elias/X-3674-2019; Nasir, Khurram/A-2317-2008; McMillan, Brian/J-8932-2019</t>
  </si>
  <si>
    <t>Mossialos, Elias/0000-0001-8664-9297</t>
  </si>
  <si>
    <t>2632-1009</t>
  </si>
  <si>
    <t>BMJ HEALTH CARE INFO</t>
  </si>
  <si>
    <t>BMJ Health Care Inform.</t>
  </si>
  <si>
    <t>APR 24 2026</t>
  </si>
  <si>
    <t>e101959</t>
  </si>
  <si>
    <t>10.1136/bmjhci-2025-101959</t>
  </si>
  <si>
    <t>http://dx.doi.org/10.1136/bmjhci-2025-101959</t>
  </si>
  <si>
    <t>HA0LQ</t>
  </si>
  <si>
    <t>42031418</t>
  </si>
  <si>
    <t>WOS:001749114200001</t>
  </si>
  <si>
    <t>Hoque, M; Chowdhury, RN; Hasan, MR; Peter, OOE; Khalifa, F; Rahman, MM</t>
  </si>
  <si>
    <t>Rapidly growing medical imaging volumes have increased radiologist workloads, creating demand for automated tools that support interpretation and reduce reporting delays. Vision-language models (VLMs) can generate clinically relevant captions to accelerate report drafting, yet their varying parameter scales require systematic evaluation for clinical utility. This study evaluated ten multimodal models fine-tuned on the Radiology Objects in Context version 2 (ROCOv2) dataset containing 116,635 images across eight modalities. We compared four Large VLMs (LVLMs) including LLaVA variants and IDEFICS-9B against four Small VLMs (SVLMs) including MoonDream2, Qwen variants, and SmolVLM, alongside two fully fine-tuned baseline architectures (VisionGPT2 and CNN-Transformer). Low-Rank Adaptation (LoRA), applied to fewer than 1% of selected model parameters, proved optimal among adaptation strategies, outperforming broader LoRA configurations. Models were assessed on relevance (semantic similarity) and factuality (concept-level correctness) metrics. Performance showed clear stratification: LVLMs (0.273 to 0.317 overall), SVLMs (0.188 to 0.279), and baselines (0.154 to 0.177). LLaVA-Mistral-7B achieved the highest performance with relevance and factuality scores of 0.516 and 0.118, respectively, substantially exceeding the VisionGPT2 baseline (0.325, 0.028). Among the SVLMs, MoonDream2 demonstrated competitive relevance (0.466), approaching the performance of some LVLMs despite its smaller size. To investigate performance enhancement strategies for underperforming SVLMs, we prepended predicted imaging modality labels at inference time, which yielded variable results. These findings provide quantitative benchmarks for VLM selection in medical imaging, demonstrating that while model scale influences performance, architectural design and targeted adaptation enable select compact models to achieve competitive results.</t>
  </si>
  <si>
    <t>Hoque, Mahmudul; Chowdhury, Raisa Nusrat; Hasan, Md Rakibul; Peter, Ojonugwa Oluwafemi Ejiga; Khalifa, Fahmi; Rahman, Md Mahmudur</t>
  </si>
  <si>
    <t>Rahman, MM (corresponding author), Morgan State Univ, Dept Comp Sci, Baltimore, MD 21251 USA.</t>
  </si>
  <si>
    <t>md.rahman@morgan.edu</t>
  </si>
  <si>
    <t>Advanced Cyberinfrastructure Coordination Ecosystem: Services &amp; Support (ACCESS) program [#2138259, #2138286, #2138307, #2137603, #2138296]; National Science Foundation (NSF) [2131307]</t>
  </si>
  <si>
    <t>Advanced Cyberinfrastructure Coordination Ecosystem: Services &amp; Support (ACCESS) program; National Science Foundation (NSF) (National Science Foundation (NSF))</t>
  </si>
  <si>
    <t>This work was supported by the National Science Foundation (NSF) grant (ID. 2131307) "CISE-MSI: DP: IIS: III: Deep Learning-Based Automated Concept and Caption Generation of Medical Images Towards Developing an Effective Decision Support System." We also thank the Advanced Cyberinfrastructure Coordination Ecosystem: Services &amp; Support (ACCESS) program (supported by NSF grants #2138259, #2138286, #2138307, #2137603, and #2138296) for awarding computational infrastructure through allocation CIS251271.</t>
  </si>
  <si>
    <t>[Hoque, Mahmudul; Chowdhury, Raisa Nusrat; Peter, Ojonugwa Oluwafemi Ejiga; Rahman, Md Mahmudur] Morgan State Univ, Dept Comp Sci, Baltimore, MD 21251 USA; [Hasan, Md Rakibul] Univ Texas San Antonio, Dept Informat Syst &amp; Cybersecur, San Antonio, TX 78249 USA; [Khalifa, Fahmi] Morgan State Univ, Dept Elect &amp; Comp Engn, Baltimore, MD 21251 USA</t>
  </si>
  <si>
    <t>Morgan State University; University of Texas System; University of Texas at San Antonio; Morgan State University</t>
  </si>
  <si>
    <t>An Empirical Evaluation of Low-Rank Adapted Vision-Language Models for Radiology Image Captioning</t>
  </si>
  <si>
    <t>BIOENGINEERING-BASEL</t>
  </si>
  <si>
    <t>vision-language models; medical image captioning; radiology report generation; Low-Rank Adaptation; ROCOv2 dataset; caption quality; parameter-efficient fine-tuning</t>
  </si>
  <si>
    <t>Ejiga Peter, Ojonugwa Oluwafemi/OOK-2770-2025; Hoque, Mahmudul/NBX-5562-2025; Khalifa, Fahmi/I-5663-2018</t>
  </si>
  <si>
    <t>Hasan, Rakibul/0000-0002-6179-2238; Ejiga Peter, Ojonugwa Oluwafemi/0009-0003-2039-3075; Hoque, Mahmudul/0009-0006-5532-4135; Khalifa, Fahmi/0000-0003-3318-2851</t>
  </si>
  <si>
    <t>2306-5354</t>
  </si>
  <si>
    <t>Bioengineering-Basel</t>
  </si>
  <si>
    <t>DEC 5 2025</t>
  </si>
  <si>
    <t>1330</t>
  </si>
  <si>
    <t>10.3390/bioengineering12121330</t>
  </si>
  <si>
    <t>http://dx.doi.org/10.3390/bioengineering12121330</t>
  </si>
  <si>
    <t>Biotechnology &amp; Applied Microbiology; Engineering, Biomedical</t>
  </si>
  <si>
    <t>Biotechnology &amp; Applied Microbiology; Engineering</t>
  </si>
  <si>
    <t>AF4WA</t>
  </si>
  <si>
    <t>41463627</t>
  </si>
  <si>
    <t>WOS:001646886000001</t>
  </si>
  <si>
    <t>He, D; Pu, HR; He, JF</t>
  </si>
  <si>
    <t>Venous thromboembolism is a disease with high incidence and fatality rate, and the coverage rate of prevention and treatment is insufficient in China. Aiming at the problems of low efficiency, strong subjectivity, and low extraction and utilization of electronic medical record data by traditional evaluation methods, this study proposes a multi-scale adaptive evaluation framework based on retrieval-augmented generation. In this framework, we first optimize the knowledge base construction through entity-context dynamic association and Milvus vector retrieval. Next, the Qwen2.5-7B large language model is fine-tuned with clinical knowledge via Low-Rank Adaptation technology. Finally, a generation-verification closed-loop mechanism is designed to suppress model hallucination. Experiments show that the accuracy of the framework on the Caprini, Padua, Wells, and Geneva scales is 79.56%, 88.32%, 90.51%, and 84.67%, respectively. The comprehensive performance is better than that of clinical expert evaluation, especially in complex cases. The ablation experiments confirmed that the entity-context association and self-verification augmentation mechanism contributed significantly to the improvement in evaluation accuracy. This study not only provides a high-precision, traceable intelligent tool for VTE clinical decision-making, but also validates the technical feasibility, and will further explore multi-modal data fusion and incremental learning to optimize dynamic risk assessment in the future.</t>
  </si>
  <si>
    <t>He, Dong; Pu, Hongrui; He, Jianfeng</t>
  </si>
  <si>
    <t>He, JF (corresponding author), Kunming Univ Sci &amp; Technol, Fac Informat Engn &amp; Automat, Kunming 650500, Peoples R China.</t>
  </si>
  <si>
    <t>jfenghe@kust.edu.cn; hedong@stu.kust.edu.cn; puhongrui@stu.kust.edu.cn</t>
  </si>
  <si>
    <t>National Natural Science Foundation of China; Yunnan Key Laboratory of Smart City in Cyberspace Security [202102AE090031]</t>
  </si>
  <si>
    <t>National Natural Science Foundation of China (National Natural Science Foundation of China (NSFC)); Yunnan Key Laboratory of Smart City in Cyberspace Security</t>
  </si>
  <si>
    <t>This study received funding from the National Natural Science Foundation of China, No. 82160347; Yunnan Key Laboratory of Smart City in Cyberspace Security, No. 202102AE090031.</t>
  </si>
  <si>
    <t>[He, Dong; Pu, Hongrui; He, Jianfeng] Kunming Univ Sci &amp; Technol, Fac Informat Engn &amp; Automat, Kunming 650500, Peoples R China</t>
  </si>
  <si>
    <t>Kunming University of Science &amp; Technology</t>
  </si>
  <si>
    <t>Venous Thrombosis Risk Assessment Based on Retrieval-Augmented Large Language Models and Self-Validation</t>
  </si>
  <si>
    <t>ELECTRONICS</t>
  </si>
  <si>
    <t>venous thromboembolism; risk assessment; retrieval-augmented generation; large language models; knowledge base</t>
  </si>
  <si>
    <t>THROMBOEMBOLISM</t>
  </si>
  <si>
    <t>He, Dong/0009-0000-1191-2273</t>
  </si>
  <si>
    <t>2079-9292</t>
  </si>
  <si>
    <t>ELECTRONICS-SWITZ</t>
  </si>
  <si>
    <t>Electronics</t>
  </si>
  <si>
    <t>MAY 26 2025</t>
  </si>
  <si>
    <t>2164</t>
  </si>
  <si>
    <t>10.3390/electronics14112164</t>
  </si>
  <si>
    <t>http://dx.doi.org/10.3390/electronics14112164</t>
  </si>
  <si>
    <t>Computer Science, Information Systems; Engineering, Electrical &amp; Electronic; Physics, Applied</t>
  </si>
  <si>
    <t>Computer Science; Engineering; Physics</t>
  </si>
  <si>
    <t>3PL7I</t>
  </si>
  <si>
    <t>WOS:001505890500001</t>
  </si>
  <si>
    <t>Maruyama, J; Maki, S; Furuya, T; Nagashima, Y; Kitagawa, K; Toki, Y; Iwata, S; Yazaki, M; Kitamura, T; Gushiken, S; Noguchi, Y; Miura, M; Inoue, M; Shiga, Y; Inage, K; Orita, S; Ohtori, S</t>
  </si>
  <si>
    <t>Introduction: Large language models (LLMs) have shown potential in medical applications. However, their effectiveness in specialized medical domains remains underexplored. The integration of Retrieval-Augmented Generation (RAG) has been proposed to improve these models by reducing hallucinations and enhancing domain-specific information access. Through this evaluation, we aim to assess whether RAG can effectively bridge the gap between LLMs' current capabilities and the accuracy needed for medical use by examining GPT-3.5 Turbo, GPT-4o, and o1-preview on the 2024 Japanese Orthopedic Specialist Examination. Methods: A specialized database was created using the "Standard Textbook of Orthopedics", and GPT-3.5 Turbo, GPT-4o, and o1-preview were evaluated with and without RAG. Models were tested on text-based and image-based questions exactly as presented in Japanese. An error analysis was conducted to identify key performance factors. Results: GPT-3.5 Turbo showed no substantial improvement with RAG, with its overall accuracy remaining at 28 %, compared to its baseline of 29 % without RAG. GPT-4o rose from 62 % to 72 %, while o1-preview increased from 67 % to 84 %. Error analysis indicated that GPT-3.5 Turbo primarily failed to apply retrieved data, whereas GPT-4o and o1-preview made errors when the database lacked relevant information or when dealing with image-based questions. Conclusions: The integration of RAG significantly boosted performance for GPT-4o and especially o1-preview. While both models surpassed the passing threshold, o1-preview demonstrated a level of proficiency relevant to clinical practice. However, RAG did not improve performance on GPT-3.5 Turbo because it lacks effective reasoning abilities. (c) 2025 The Japanese Orthopaedic Association. Published by Elsevier B.V. All rights are reserved, including those for text and data mining, AI training, and similar technologies.</t>
  </si>
  <si>
    <t>Maruyama, Juntaro; Maki, Satoshi; Furuya, Takeo; Nagashima, Yuki; Kitagawa, Kyota; Toki, Yasunori; Iwata, Shuhei; Yazaki, Megumi; Kitamura, Takaki; Gushiken, Sho; Noguchi, Yuji; Miura, Masataka; Inoue, Masahiro; Shiga, Yasuhiro; Inage, Kazuhide; Orita, Sumihisa; Ohtori, Seiji</t>
  </si>
  <si>
    <t>Maki, S (corresponding author), Chiba Univ, Grad Sch Med, Dept Orthoped Surg, 1-8-1 Inohana,Chuou Ku, Chiba 2608670, Japan.</t>
  </si>
  <si>
    <t>satoshimaki@gmail.com</t>
  </si>
  <si>
    <t>Japan Society for the Promotion of Science (JSPS) [JP20K18052]</t>
  </si>
  <si>
    <t>Japan Society for the Promotion of Science (JSPS) (Ministry of Education, Culture, Sports, Science and Technology, Japan (MEXT), Japan Society for the Promotion of Science)</t>
  </si>
  <si>
    <t>This work was supported by Japan Society for the Promotion of Science (JSPS) [Award Number: JP20K18052] .</t>
  </si>
  <si>
    <t>[Maruyama, Juntaro; Maki, Satoshi; Furuya, Takeo; Nagashima, Yuki; Kitagawa, Kyota; Toki, Yasunori; Iwata, Shuhei; Yazaki, Megumi; Kitamura, Takaki; Gushiken, Sho; Noguchi, Yuji; Miura, Masataka; Inoue, Masahiro; Shiga, Yasuhiro; Inage, Kazuhide; Orita, Sumihisa; Ohtori, Seiji] Chiba Univ, Grad Sch Med, Dept Orthoped Surg, 1-8-1 Inohana,Chuou Ku, Chiba 2608670, Japan; [Maki, Satoshi; Orita, Sumihisa] Chiba Univ, Ctr Frontier Med Engn, Chiba, Japan</t>
  </si>
  <si>
    <t>Chiba University; Chiba University</t>
  </si>
  <si>
    <t>Retrieval-augmented generation enhances large language model performance on the Japanese orthopedic board examination</t>
  </si>
  <si>
    <t>JOURNAL OF ORTHOPAEDIC SCIENCE</t>
  </si>
  <si>
    <t>Large language model; Retrieval-augmented generation; Orthopedic specialist examination</t>
  </si>
  <si>
    <t>Inage, Kazuhide/KEI-7914-2024; Miura, Masataka/OIU-0627-2025</t>
  </si>
  <si>
    <t>0949-2658</t>
  </si>
  <si>
    <t>1436-2023</t>
  </si>
  <si>
    <t>J ORTHOP SCI</t>
  </si>
  <si>
    <t>J. Orthop. Sci.</t>
  </si>
  <si>
    <t>1193</t>
  </si>
  <si>
    <t>1198</t>
  </si>
  <si>
    <t>10.1016/j.jos.2025.03.003</t>
  </si>
  <si>
    <t>http://dx.doi.org/10.1016/j.jos.2025.03.003</t>
  </si>
  <si>
    <t>Orthopedics</t>
  </si>
  <si>
    <t>J0970</t>
  </si>
  <si>
    <t>40157875</t>
  </si>
  <si>
    <t>WOS:001627207100025</t>
  </si>
  <si>
    <t>Cang, XM; Ni, MX; Song, CY; Zhao, JL; Guo, YX; Zou, YY; Zhang, Z; Jiang, LG</t>
  </si>
  <si>
    <t>Background: Diabetic retinopathy is a leading cause of preventable vision loss, and patients increasingly seek disease related information through online consultations. Large language models may support patient education, but their reliability and usability vary across systems, particularly in disease specific settings. Methods: Thirty common patient questions about diabetic retinopathy were developed from guidelines and organized into five domains: disease overview, screening and diagnosis, treatment and follow up, lifestyle and prevention, and prognosis and complication management. From November 10 to 15, 2025, two researchers independently submitted all questions to five models (ChatGPT-5, DeepSeek-V3.1, Doubao, Wenxinyiyan 4.5 Turbo, and Kimi) on public platforms under identical conditions without system prompts. Chat histories were reset before each question. Response time, response length, structural metrics, and table outputs were extracted. Two retinal specialists rated each answer on a 1 to 5 Likert scale across accuracy, logical consistency, coherence, safety, and content accessibility. Inter rater agreement was assessed with the intraclass correlation coefficient. Group differences were analyzed using analysis of variance or the Kruskal-Wallis H test with Bonferroni corrected pairwise comparisons. Results: Significant between model differences were observed in output efficiency and textual characteristics (all P &lt; 0.001). ChatGPT-5 responded fastest (15.92 +/- 4.48 s), whereas Wenxinyiyan 4.5 Turbo and DeepSeek-V3.1 were slowest (41.89 +/- 5.09 s and 38.20 +/- 2.96 s). DeepSeek-V3.1 generated the longest answers (1396.37 +/- 189.23 words), while Kimi produced the shortest (579.40 +/- 182.96 words). Only ChatGPT-5 consistently generated structured tables (median 2.00, IQR 1.00-2.00). Content quality differed significantly across all five dimensions (H = 15.34-37.19, all P &lt;= 0.004). ChatGPT-5 achieved the highest median scores for accuracy (5.00, IQR 4.00-5.00) and logical consistency (4.50, IQR 4.00-5.00), whereas Kimi showed the lowest accuracy (3.50, IQR 3.00-4.00). The intraclass correlation coefficient indicated good inter rater reliability (0.87). Conclusion: Performance of large language models in diabetic retinopathy patient consultations is model dependent. ChatGPT-5 demonstrated the best overall usability, combining faster responses, clearer structure, and higher factual accuracy. Other Chinese optimized models provided comparable professional information coverage but require improved accessibility and stability for safe patient facing use.</t>
  </si>
  <si>
    <t>Cang, Xiaomin; Ni, Mengxia; Song, Chunyan; Zhao, Jialuo; Guo, Yingxin; Zou, Yunyun; Zhang, Zhe; Jiang, Ligang</t>
  </si>
  <si>
    <t>Zou, YY; Zhang, Z (corresponding author), Southern Med Univ, Shenzhen Eye Hosp, Shenzhen Eye Med Ctr, Shenzhen, Peoples R China.; Jiang, LG (corresponding author), Wenzhou Med Univ, Quzhou Peoples Hosp, Quzhou Affiliated Hosp, Dept Ophthalmol, Quzhou, Zhejiang, Peoples R China.</t>
  </si>
  <si>
    <t>jiangligang@wmu.edu.cn; 1048482456@qq.com; whypotato@126.com</t>
  </si>
  <si>
    <t>National Natural Science Foundation of China [82571272]; Quzhou City "Southern Confucianism Elites" Special Training Program; Quzhou City Science and Technology Project [2025K003]; Medical and Health Science Program of Zhejiang Province [2025HY1387]; Summit Advancement Disciplines of Zhejiang Province (Wenzhou Medical University Pharmaceutics)</t>
  </si>
  <si>
    <t>National Natural Science Foundation of China (National Natural Science Foundation of China (NSFC)); Quzhou City "Southern Confucianism Elites" Special Training Program; Quzhou City Science and Technology Project; Medical and Health Science Program of Zhejiang Province; Summit Advancement Disciplines of Zhejiang Province (Wenzhou Medical University Pharmaceutics)</t>
  </si>
  <si>
    <t>The author(s) declared that financial support was received for this work and/or its publication. This study was supported by funding from National Natural Science Foundation of China (No. 82571272); 2024 Quzhou City "Southern Confucianism Elites" Special Training Program; Quzhou City Science and Technology Project (No. 2025K003); Medical and Health Science Program of Zhejiang Province (No. 2025HY1387); The Summit Advancement Disciplines of Zhejiang Province (Wenzhou Medical University Pharmaceutics).</t>
  </si>
  <si>
    <t>[Cang, Xiaomin] Southeast Univ, Nantong Peoples Hosp 1, Dept Endocrinol, Nantong, Peoples R China; [Ni, Mengxia] Haian High Tech Dist Cent Hlth Ctr, Nantong, Jiangsu, Peoples R China; [Song, Chunyan; Zhao, Jialuo; Guo, Yingxin; Zou, Yunyun; Zhang, Zhe] Southern Med Univ, Shenzhen Eye Hosp, Shenzhen Eye Med Ctr, Shenzhen, Peoples R China; [Jiang, Ligang] Wenzhou Med Univ, Quzhou Peoples Hosp, Quzhou Affiliated Hosp, Dept Ophthalmol, Quzhou, Zhejiang, Peoples R China</t>
  </si>
  <si>
    <t>Southeast University - China; Shenzhen Eye Hospital; Southern Medical University - China; Wenzhou Medical University</t>
  </si>
  <si>
    <t>ChatGPT-5 versus other mainstream large language models in core diabetic retinopathy patient queries</t>
  </si>
  <si>
    <t>FRONTIERS IN CELL AND DEVELOPMENTAL BIOLOGY</t>
  </si>
  <si>
    <t>accuracy and safety; artificial intelligence; diabetic retinopathy; large language models; ophthalmic digital health; patient-initiated consultation</t>
  </si>
  <si>
    <t>2296-634X</t>
  </si>
  <si>
    <t>FRONT CELL DEV BIOL</t>
  </si>
  <si>
    <t>Front. Cell. Dev. Biol.</t>
  </si>
  <si>
    <t>MAR 25 2026</t>
  </si>
  <si>
    <t>1754221</t>
  </si>
  <si>
    <t>10.3389/fcell.2026.1754221</t>
  </si>
  <si>
    <t>http://dx.doi.org/10.3389/fcell.2026.1754221</t>
  </si>
  <si>
    <t>Cell Biology; Developmental Biology</t>
  </si>
  <si>
    <t>GF3WJ</t>
  </si>
  <si>
    <t>41960186</t>
  </si>
  <si>
    <t>WOS:001735083100001</t>
  </si>
  <si>
    <t>Fink, A; Rau, S; Kästingschäfer, K; Weiss, J; Bamberg, F; Russe, MF</t>
  </si>
  <si>
    <t>Background Large language models (LLMs) hold great promise for optimizing and supporting radiology workflows amidst rising workloads. This review examines potential applications in daily radiology practice, as well as remaining challenges and potential solutions.Method Presentation of potential applications and challenges, illustrated with practical examples and concrete optimization suggestions.Results LLM-based assistance systems have potential applications in almost all language-based process steps of the radiological workflow. Significant progress has been made in areas such as report generation, particularly with retrieval-augmented generation (RAG) and multi-step reasoning approaches. However, challenges related to hallucinations, reproducibility, and data protection, as well as ethical concerns, need to be addressed before widespread implementation.Conclusion LLMs have immense potential in radiology, particularly for supporting language-based process steps, with technological advances such as RAG and cloud-based approaches potentially accelerating clinical implementation.</t>
  </si>
  <si>
    <t>Fink, Anna; Rau, Stephan; Kaestingschaefer, Kai; Weiss, Jakob; Bamberg, Fabian; Russe, Maximilian Frederik</t>
  </si>
  <si>
    <t>Fink, A (corresponding author), Univ Freiburg, Fac Med, Dept Diagnost &amp; Intervent Radiol, Hugstetter Str 55, D-79106 Freiburg, Germany.</t>
  </si>
  <si>
    <t>anna.fink@uniklinik-freiburg.de</t>
  </si>
  <si>
    <t>Berta-Ottenstein-Programme for Clinician Scientists, Faculty of Medicine, University of Freiburg</t>
  </si>
  <si>
    <t>Berta-Ottenstein-Programme for Clinician Scientists, Faculty of Medicine, University of Freiburr No Statement Available</t>
  </si>
  <si>
    <t>[Fink, Anna; Rau, Stephan; Kaestingschaefer, Kai; Weiss, Jakob; Bamberg, Fabian; Russe, Maximilian Frederik] Univ Freiburg, Fac Med, Dept Diagnost &amp; Intervent Radiol, Hugstetter Str 55, D-79106 Freiburg, Germany</t>
  </si>
  <si>
    <t>University of Freiburg</t>
  </si>
  <si>
    <t>From Referral to Reporting: The Potential of Large Language Models in the Radiological Workflow</t>
  </si>
  <si>
    <t>ROFO-FORTSCHRITTE AUF DEM GEBIET DER RONTGENSTRAHLEN UND DER BILDGEBENDEN VERFAHREN</t>
  </si>
  <si>
    <t>Artificial intelligence; Natural Language Processing; Machine Learning; Deep Learning; Radiology</t>
  </si>
  <si>
    <t>CHATBOT</t>
  </si>
  <si>
    <t>Fink, Anna/KLY-9411-2024; Weiss, Jakob/QPA-1788-2026</t>
  </si>
  <si>
    <t>Fink, Anna/0009-0002-9903-283X</t>
  </si>
  <si>
    <t>GEORG THIEME VERLAG KG</t>
  </si>
  <si>
    <t>STUTTGART</t>
  </si>
  <si>
    <t>Oswald-Hesse-Strasse 50, D-70469 STUTTGART, GERMANY</t>
  </si>
  <si>
    <t>1438-9029</t>
  </si>
  <si>
    <t>1438-9010</t>
  </si>
  <si>
    <t>ROFO-FORTSCHR RONTG</t>
  </si>
  <si>
    <t>Rofo-Fortschr. Gebiet Rontgenstrahlen Bildgeb. Verfahr.</t>
  </si>
  <si>
    <t>198</t>
  </si>
  <si>
    <t>01</t>
  </si>
  <si>
    <t>10.1055/a-2641-3059</t>
  </si>
  <si>
    <t>http://dx.doi.org/10.1055/a-2641-3059</t>
  </si>
  <si>
    <t>DD4MM</t>
  </si>
  <si>
    <t>40669506</t>
  </si>
  <si>
    <t>WOS:001530303600001</t>
  </si>
  <si>
    <t>Lehmann, S; Wilhelmy, F; von Dercks, N; Güresir, E; Wach, J</t>
  </si>
  <si>
    <t>Background In the German medical billing system, surgical departments encode their procedures in OPS-codes. These OPS-codes have major impact on DRG grouping and thus mainly determine each case&lt;acute accent&gt;s revenue. In our study, we investigate the ability of the Large Language Model (LLM) GPT to derive correct OPS codes from the surgical report. Methods For our study, 100 patients who underwent meningioma surgery at our clinic between 2023 and 2024 were examined. We recorded the OPS codes assigned by the surgeon after the procedure, as well as the final coding by the hospital&lt;acute accent&gt;s coders before case closure. In addition, the surgical report was extracted and anonymously provided to GPT-4o and GPT CodeMedic together with the current OPS-catalogue. The coding of each group was analyzed descriptively and compared using the Chi-Square test. Additionally, errors and deviations were assessed and analyzed. Results In our analyses, coders (100%) and surgeons (99%) demonstrated to significantly perform higher than LLMs in sufficient coding, for which the basic coding must be correct and unquestionable (GPT-4o 78%, GPT CodeMedic 89%; p &lt; 0.01). For optimal coding, where every code potentially contributing to increase the revenue must be included, only the coders (94%) achieved superiority (GPT-4o p &lt; 0.01; GPT CodeMedic p = 0.02), whereas GPT CodeMedic (83%) even outperformed surgeons (69%) (p = 0.03). The specialized GPT CodeMedic tends to show fewer hallucinations compared to GPT-4o (7% vs. 15%). Conclusion GPT is capable of extracting OPS codes from surgical reports. The most frequent errors made by LLMs can be attributed to a lack of specialized training. Currently, professional coders still significantly outperform LLMs in sufficient and optimal coding. For optimal coding however, GPT shows to perform comparably to surgeon&lt;acute accent&gt;s coding skills. This indicates, that in near future after further training, LLMs may take over this task from surgeons without loss in quality.[GRAPHICS].</t>
  </si>
  <si>
    <t>Lehmann, Sebastian; Wilhelmy, Florian; von Dercks, Nikolaus; Gueresir, Erdem; Wach, Johannes</t>
  </si>
  <si>
    <t>Lehmann, S (corresponding author), Univ Hosp Leipzig, Dept Neurosurg, D-04103 Leipzig, Germany.</t>
  </si>
  <si>
    <t>Sebastian.lehmann@medizin.uni-leipzig.de</t>
  </si>
  <si>
    <t>Projekt DEAL</t>
  </si>
  <si>
    <t>Projekt DEAL (Projekt DEAL)</t>
  </si>
  <si>
    <t>[Lehmann, Sebastian; Wilhelmy, Florian; Gueresir, Erdem; Wach, Johannes] Univ Hosp Leipzig, Dept Neurosurg, D-04103 Leipzig, Germany; [von Dercks, Nikolaus] Univ Hosp Leipzig, Med Management, D-04103 Leipzig, Germany</t>
  </si>
  <si>
    <t>Leipzig University; Leipzig University</t>
  </si>
  <si>
    <t>Large language models for extraction of OPS-codes from operative reports in meningioma surgery</t>
  </si>
  <si>
    <t>ACTA NEUROCHIRURGICA</t>
  </si>
  <si>
    <t>OPS-Coding; Artificial intelligence; GPT; Meningioma surgery</t>
  </si>
  <si>
    <t>Güresir, Erdem/AAL-4484-2020</t>
  </si>
  <si>
    <t>Lehmann, Sebastian/0009-0006-5037-036X</t>
  </si>
  <si>
    <t>SPRINGER WIEN</t>
  </si>
  <si>
    <t>Vienna</t>
  </si>
  <si>
    <t>Prinz-Eugen-Strasse 8-10, A-1040 Vienna, AUSTRIA</t>
  </si>
  <si>
    <t>0001-6268</t>
  </si>
  <si>
    <t>0942-0940</t>
  </si>
  <si>
    <t>ACTA NEUROCHIR</t>
  </si>
  <si>
    <t>Acta Neurochir.</t>
  </si>
  <si>
    <t>JUL 31 2025</t>
  </si>
  <si>
    <t>167</t>
  </si>
  <si>
    <t>209</t>
  </si>
  <si>
    <t>10.1007/s00701-025-06631-3</t>
  </si>
  <si>
    <t>http://dx.doi.org/10.1007/s00701-025-06631-3</t>
  </si>
  <si>
    <t>Clinical Neurology; Surgery</t>
  </si>
  <si>
    <t>Neurosciences &amp; Neurology; Surgery</t>
  </si>
  <si>
    <t>5QQ6N</t>
  </si>
  <si>
    <t>40742565</t>
  </si>
  <si>
    <t>WOS:001542024200002</t>
  </si>
  <si>
    <t>Kim, SH; Wihl, J; Schramm, S; Berberich, C; Rosenkranz, E; Schmitzer, L; Serguen, K; Klenk, C; Lenhart, N; Zimmer, C; Wiestler, B; Hedderich, DM</t>
  </si>
  <si>
    <t>ObjectivesThis study investigated the impact of human-large language model (LLM) collaboration on the accuracy and efficiency of brain MRI differential diagnosis.Materials and methodsIn this retrospective study, forty brain MRI cases with a challenging but definitive diagnosis were randomized into two groups of twenty cases each. Six radiology residents with an average experience of 6.3 months in reading brain MRI exams evaluated one set of cases supported by conventional internet search (Conventional) and the other set utilizing an LLM-based search engine and hybrid chatbot. A cross-over design ensured that each case was examined with both workflows in equal frequency. For each case, readers were instructed to determine the three most likely differential diagnoses. LLM responses were analyzed by a panel of radiologists. Benefits and challenges in human-LLM interaction were derived from observations and participant feedback.ResultsLLM-assisted brain MRI differential diagnosis yielded superior accuracy (70/114; 61.4% (LLM-assisted) vs 53/114; 46.5% (conventional) correct diagnoses, p = 0.033, chi-square test). No difference in interpretation time or level of confidence was observed. An analysis of LLM responses revealed that correct LLM suggestions translated into correct reader responses in 82.1% of cases (60/73). Inaccurate case descriptions by readers (9.2% of cases), LLM hallucinations (11.5% of cases), and insufficient contextualization of LLM responses were identified as challenges related to human-LLM interaction.ConclusionHuman-LLM collaboration has the potential to improve brain MRI differential diagnosis. Yet, several challenges must be addressed to ensure effective adoption and user acceptance.Key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 Inaccurate case descriptions, LLM hallucinations, and insufficient contextualization were identified as potential challenges.Clinical relevanceOur results highlight the potential of an LLM-assisted workflow to increase diagnostic accuracy but underline the necessity to study collaborative efforts between humans and LLMs over LLMs in isolation.Key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 Inaccurate case descriptions, LLM hallucinations, and insufficient contextualization were identified as potential challenges.Clinical relevanceOur results highlight the potential of an LLM-assisted workflow to increase diagnostic accuracy but underline the necessity to study collaborative efforts between humans and LLMs over LLMs in isolation.Key PointsQuestionWhile large language models (LLM) have the potential to support radiological differential diagnosis, the role of human-LLM collaboration in this context remains underexplored.FindingsLLM-assisted brain MRI differential diagnosis yielded superior accuracy over conventional internet search. Inaccurate case descriptions, LLM hallucinations, and insufficient contextualization were identified as potential challenges.Clinical relevanceOur results highlight the potential of an LLM-assisted workflow to increase diagnostic accuracy but underline the necessity to study collaborative efforts between humans and LLMs over LLMs in isolation.</t>
  </si>
  <si>
    <t>Kim, Su Hwan; Wihl, Jonas; Schramm, Severin; Berberich, Cornelius; Rosenkranz, Enrike; Schmitzer, Lena; Serguen, Kerem; Klenk, Christopher; Lenhart, Nicolas; Zimmer, Claus; Wiestler, Benedikt; Hedderich, Dennis M.</t>
  </si>
  <si>
    <t>Kim, SH (corresponding author), Tech Univ Munich, Sch Med &amp; Hlth, Klinikum Rechts Isar, Dept Diagnost &amp; Intervent Neuroradiol, Munich, Germany.</t>
  </si>
  <si>
    <t>suhwan.kim@tum.de</t>
  </si>
  <si>
    <t>[Kim, Su Hwan; Wihl, Jonas; Schramm, Severin; Berberich, Cornelius; Rosenkranz, Enrike; Schmitzer, Lena; Serguen, Kerem; Zimmer, Claus; Wiestler, Benedikt; Hedderich, Dennis M.] Tech Univ Munich, Sch Med &amp; Hlth, Klinikum Rechts Isar, Dept Diagnost &amp; Intervent Neuroradiol, Munich, Germany; [Klenk, Christopher; Lenhart, Nicolas] Tech Univ Munich, Sch Med &amp; Hlth, Klinikum Rechts Isar, Dept Diagnost &amp; Intervent Radiol, Munich, Germany; [Wiestler, Benedikt] Tech Univ Munich, AI Image Guided Diag &amp; Therapy, Munich, Germany</t>
  </si>
  <si>
    <t>Technical University of Munich; Technical University of Munich; Technical University of Munich</t>
  </si>
  <si>
    <t>Human-AI collaboration in large language model-assisted brain MRI differential diagnosis: a usability study</t>
  </si>
  <si>
    <t>Large language models; Artificial intelligence; Brain; Magnetic resonance imaging; Differential diagnosis</t>
  </si>
  <si>
    <t>Kim, Su Hwan/KYO-7239-2024</t>
  </si>
  <si>
    <t>Kim, Su Hwan/0000-0002-5383-2041; Wihl, Jonas/0009-0005-0932-7805; Wiestler, Benedikt/0000-0002-2963-7772</t>
  </si>
  <si>
    <t>5252</t>
  </si>
  <si>
    <t>5263</t>
  </si>
  <si>
    <t>10.1007/s00330-025-11484-6</t>
  </si>
  <si>
    <t>http://dx.doi.org/10.1007/s00330-025-11484-6</t>
  </si>
  <si>
    <t>MAR 2025</t>
  </si>
  <si>
    <t>6CF8O</t>
  </si>
  <si>
    <t>40055233</t>
  </si>
  <si>
    <t>WOS:001439071600001</t>
  </si>
  <si>
    <t>Urooj, B; Fayaz, M; Ali, S; Dang, LM; Kim, KW</t>
  </si>
  <si>
    <t>The integration of vision and language processing into a cohesive system has already shown promise with the application of large language models (LLMs) in medical image analysis. Their capabilities encompass the generation of medical reports, disease classification, visual question answering, and segmentation, providing yet another approach to interpreting multimodal data. This survey aims to compile all known applications of LLMs in the medical image analysis field, spotlighting their promises alongside critical challenges and future avenues. We introduce the concept of X-stage tuning which serves as a framework for LLMs fine-tuning across multiple stages: zero stage, one stage, and multi-stage, wherein each stage corresponds to task complexity and available data. The survey describes issues like sparsity of data, hallucination in outputs, privacy issues, and the requirement for dynamic knowledge updating. Alongside these, we cover prospective features including integration of LLMs with decision support systems, multimodal learning, and federated learning for privacy-preserving model training. The goal of this work is to provide structured guidance to the targeted audience, demystifying the prospects of LLMs in medical image analysis.</t>
  </si>
  <si>
    <t>Urooj, Bushra; Fayaz, Muhammad; Ali, Shafqat; Dang, L. Minh; Kim, Kyung Won</t>
  </si>
  <si>
    <t>Kim, KW (corresponding author), Univ Ulsan, Asan Med Inst Convergence Sci &amp; Technol, Dept Med Sci, Coll Med, Seoul 05505, South Korea.; Dang, LM (corresponding author), Duy Tan Univ, Inst Res &amp; Dev, Da Nang 550000, Vietnam.; Dang, LM (corresponding author), Duy Tan Univ, Fac Informat Technol, Da Nang 550000, Vietnam.</t>
  </si>
  <si>
    <t>muhammadfayaz@sju.ac.kr; danglienminh@duytan.edu.vn; urooj@mail.ulsan.ac.kr; shafqatali@sju.ac.kr; medimash@gmail.com</t>
  </si>
  <si>
    <t>Korea Health Technology R&amp;D Project through the Korea Health Industry Development Institute (KHIDI) [(RS-2018-KH049509)] Funding Source: Medline; the Institute of Information &amp; Communications Technology Planning &amp; Evaluation (IITP) [(RS-2025-02219599)] Funding Source: Medline</t>
  </si>
  <si>
    <t>Korea Health Technology R&amp;D Project through the Korea Health Industry Development Institute (KHIDI) (Korea Health Industry Development Institute (KHIDI)); the Institute of Information &amp; Communications Technology Planning &amp; Evaluation (IITP)</t>
  </si>
  <si>
    <t>[Urooj, Bushra; Kim, Kyung Won] Univ Ulsan, Asan Med Inst Convergence Sci &amp; Technol, Dept Med Sci, Coll Med, Seoul 05505, South Korea; [Fayaz, Muhammad] Sejong Univ, Dept Comp Sci &amp; Engn, Seoul 05006, South Korea; [Ali, Shafqat] Sejong Univ, Dept Software Engn, Seoul 05006, South Korea; [Dang, L. Minh] Duy Tan Univ, Inst Res &amp; Dev, Da Nang 550000, Vietnam; [Dang, L. Minh] Duy Tan Univ, Fac Informat Technol, Da Nang 550000, Vietnam</t>
  </si>
  <si>
    <t>University of Ulsan; Sejong University; Sejong University; Duy Tan University; Duy Tan University</t>
  </si>
  <si>
    <t>Large Language Models in Medical Image Analysis: A Systematic Survey and Future Directions</t>
  </si>
  <si>
    <t>large language models; medical image analysis; x-stage tuning; disease classification; medical report generation; visual question answering; multimodal learning</t>
  </si>
  <si>
    <t>Dang, L./O-9085-2018</t>
  </si>
  <si>
    <t>Urooj, Bushra/0009-0008-5660-167X; Kim, Kyung Won/0000-0002-1532-5970; Fayaz, Muhammad/0009-0008-2201-8128</t>
  </si>
  <si>
    <t>10.3390/bioengineering12080818</t>
  </si>
  <si>
    <t>http://dx.doi.org/10.3390/bioengineering12080818</t>
  </si>
  <si>
    <t>6NW5N</t>
  </si>
  <si>
    <t>40868331</t>
  </si>
  <si>
    <t>WOS:001557822400001</t>
  </si>
  <si>
    <t>Jiang, LY; Chen, JY; Lu, L; Peng, XW; Liu, LH; He, JJ; Xu, J</t>
  </si>
  <si>
    <t>Background: The evaluation and improvement of medical large language models (LLMs) are critical for their real-world deployment, particularly in ensuring accuracy, safety, and ethical alignment. However, existing frameworks are inadequate for dissecting domain-specific error patterns or addressing cross-modal challenges. Objective: To address the limitations of current evaluation methods, this study aims to develop and apply a granular error taxonomy to systematically identify critical weaknesses in leading medical LLMs. The ultimate goal is to establish an actionable road map for enhancing their clinical robustness, safety, and overall trustworthiness. Methods: This study introduces a granular error taxonomy developed through a systematic analysis of 10 top-performing med, UNI-GPT, fusiontech-Med, and GPT-4). Incorrect responses were categorized into 8 distinct types: omissions, hallucination, format mismatch, causal reasoning deficiency, contextual inconsistency, unanswered, output error, and deficiency in medical language generation. Based on these findings, we propose a tiered optimization strategy spanning 4 levels, from prompt engineering and knowledge-augmented retrieval to hybrid neuro-symbolic architectures and causal reasoning frameworks. Results: Based on a comprehensive error analysis of 42,766 question responses generated by the top 10 models, the evaluation using the 8 defined metrics revealed significant vulnerabilities in the leading models. Despite achieving a high accuracy of 0.86 in medical knowledge recall, analysis across the 8 error categories identified omissions as the most prevalent issue, exhibiting a staggering 96.3% omission rate in critical reasoning tasks. Furthermore, safety and ethics evaluations showed alarming inconsistency under option-shuffled conditions, with a low robustness score of 0.79. Our analysis uncovers systemic weaknesses in the models' ability to enforce knowledge boundaries and perform multistep reasoning. Conclusions: This work establishes an actionable road map for developing more clinically robust LLMs. By providing error-driven insights, it redefines evaluation paradigms, ultimately advancing the safety and trustworthiness of artificial intelligence in high-stakes medical environments and promoting its responsible application.</t>
  </si>
  <si>
    <t>Jiang, Luyi; Chen, Jiayuan; Lu, Lu; Peng, Xinwei; Liu, Lihao; He, Junjun; Xu, Jie</t>
  </si>
  <si>
    <t>Xu, J (corresponding author), Shanghai Artificial Intelligence Lab, 129 Longwen Rd, Shanghai 200235, Peoples R China.</t>
  </si>
  <si>
    <t>xujie@pjlab.org.cn</t>
  </si>
  <si>
    <t>[Jiang, Luyi] Fudan Univ, Shanghai Inst Infect Dis &amp; Biosecur, Shanghai Hlth Dev Res Ctr, Shanghai Med Informat Ctr, Shanghai, Peoples R China; [Chen, Jiayuan; Lu, Lu; Peng, Xinwei; Liu, Lihao; He, Junjun; Xu, Jie] Shanghai Artificial Intelligence Lab, 129 Longwen Rd, Shanghai 200235, Peoples R China</t>
  </si>
  <si>
    <t>Fudan University</t>
  </si>
  <si>
    <t>Performance Gaps and Optimization Strategies in Chinese Medical Large Language Models Based on MedBench: Evaluation Study</t>
  </si>
  <si>
    <t>China; medical LLMs; MedBench; incorrect responses; performance optimization; medical large language models</t>
  </si>
  <si>
    <t>Jiang, Luyi/0009-0008-1459-6913</t>
  </si>
  <si>
    <t>e86864</t>
  </si>
  <si>
    <t>10.2196/86864</t>
  </si>
  <si>
    <t>http://dx.doi.org/10.2196/86864</t>
  </si>
  <si>
    <t>LN4BM</t>
  </si>
  <si>
    <t>42456175</t>
  </si>
  <si>
    <t>WOS:001828713200002</t>
  </si>
  <si>
    <t>Ali, M; Taha, Z; Morsey, MM</t>
  </si>
  <si>
    <t>Objective: Large Language Models (LLMs) show strong potential in biomedical informatics but frequently generate hallucinated or factually incorrect responses, limiting their clinical utility. This study aims to develop and evaluate a GraphRAG framework using an ontology-grounded knowledge graph that mitigates hallucinations in clinical question answering. Methods: We designed a domain-specific Resource Description Framework (RDF)/Web Ontology Language (OWL) ontology and knowledge graph using clinical and hospital data from multiple Egyptian institutions. The ontology was integrated with LLMs to enforce structured semantic grounding during question answering. Clinical questions were evaluated under three conditions: (i) baseline ChatGPT-4, (ii) DeepSeek-R1, and (iii) our ontology-grounded framework. Accuracy was evaluated against clinically reported reference answers derived from five peer-reviewed Egyptian hospital studies. Results: Our GraphRAG framework significantly outperformed baseline models. While ChatGPT-4 achieved 37% accuracy and DeepSeek-R1 achieved 52%, the ontology-grounded approach achieved 98% accuracy (59/60 questions). The hallucination rate was reduced from approximately 63% in ChatGPT-4 and 48% in DeepSeek-R1 to just 1.7% in our framework, representing a relative hallucination reduction of more than 61% relative to state-of-the-art LLMs. The framework further ensured consistent, reproducible answers aligned with clinical knowledge, demonstrating its robustness for healthcare applications. Conclusion: Ontology-grounded knowledge graphs provide a reliable and verifiable method for mitigating hallucinations in LLM-based clinical question answering. By embedding structured clinical semantics into the reasoning process, the framework enhances factual accuracy, reproducibility, and safety in biomedical informatics. This work highlights the critical role of semantic knowledge representation in building trustworthy Artificial Intelligence (AI) systems for healthcare decision support.</t>
  </si>
  <si>
    <t>Ali, Mohamed; Taha, Zaki; Morsey, Mohamed Mabrouk</t>
  </si>
  <si>
    <t>Ali, M (corresponding author), Ain Shams Univ, Comp Sci Dept, Comp &amp; Informat Sci, El Khalyfa El Mamoun St, Cairo 11566, Egypt.</t>
  </si>
  <si>
    <t>mohamed.abdelghafour@cis.asu.edu.eg; zaki.taha@cis.asu.edu.eg</t>
  </si>
  <si>
    <t>[Ali, Mohamed; Taha, Zaki; Morsey, Mohamed Mabrouk] Ain Shams Univ, Comp Sci Dept, Comp &amp; Informat Sci, El Khalyfa El Mamoun St, Cairo 11566, Egypt</t>
  </si>
  <si>
    <t>Egyptian Knowledge Bank (EKB); Ain Shams University</t>
  </si>
  <si>
    <t>Ontology-grounded knowledge graphs for mitigating hallucinations in large language models for clinical question answering</t>
  </si>
  <si>
    <t>RDF/OWL; Ontologies; Large language models; Hallucination mitigation; Knowledge graphs</t>
  </si>
  <si>
    <t>Mabrouk Morsey, Mohamed/HSE-8584-2023</t>
  </si>
  <si>
    <t>Ali, Mohamed/0000-0001-9714-4438; Mabrouk Morsey, Mohamed/0009-0005-6181-9057</t>
  </si>
  <si>
    <t>175</t>
  </si>
  <si>
    <t>104993</t>
  </si>
  <si>
    <t>10.1016/j.jbi.2026.104993</t>
  </si>
  <si>
    <t>http://dx.doi.org/10.1016/j.jbi.2026.104993</t>
  </si>
  <si>
    <t>DB9CS</t>
  </si>
  <si>
    <t>41610815</t>
  </si>
  <si>
    <t>WOS:001679753700001</t>
  </si>
  <si>
    <t>Brameier, DT; Alnasser, AA; Carnino, JM; Bhashyam, AR; von Keudell, AG; Weaver, MJ</t>
  </si>
  <si>
    <t>Natural language processing with large language models is a subdivision of artificial intelligence (AI) that extracts meaning from text with use of linguistic rules, statistics, and machine learning to generate appropriate text responses. Its utilization in medicine and in the field of orthopaedic surgery is rapidly growing.Large language models can be utilized in generating scientific manuscript texts of a publishable quality; however, they suffer from AI hallucinations, in which untruths or half-truths are stated with misleading confidence. Their use raises considerable concerns regarding the potential for research misconduct and for hallucinations to insert misinformation into the clinical literature.Current editorial processes are insufficient for identifying the involvement of large language models in manuscripts. Academic publishing must adapt to encourage safe use of these tools by establishing clear guidelines for their use, which should be adopted across the orthopaedic literature, and by implementing additional steps in the editorial screening process to identify the use of these tools in submitted manuscripts.</t>
  </si>
  <si>
    <t>Brameier, Devon T.; Alnasser, Ahmad A.; Carnino, Jonathan M.; Bhashyam, Abhiram R.; von Keudell, Arvind G.; Weaver, Michael J.</t>
  </si>
  <si>
    <t>Brameier, DT (corresponding author), Harvard Med Sch, Brigham &amp; Womens Hosp, Dept Orthopaed Surg, Boston, MA USA.</t>
  </si>
  <si>
    <t>dbrameier@bwh.harvard.edu</t>
  </si>
  <si>
    <t>[Brameier, Devon T.; von Keudell, Arvind G.; Weaver, Michael J.] Harvard Med Sch, Brigham &amp; Womens Hosp, Dept Orthopaed Surg, Boston, MA USA; [Alnasser, Ahmad A.; Bhashyam, Abhiram R.] Harvard Med Sch, Massachusetts Gen Hosp, Dept Orthopaed Surg, Boston, MA USA; [Carnino, Jonathan M.] Boston Univ Chobanian, Boston, MA USA; [Carnino, Jonathan M.] Avedisian Sch Med, Boston, MA USA; [von Keudell, Arvind G.] Univ Copenhagen, Bispebjerg Hosp, Copenhagen, Denmark</t>
  </si>
  <si>
    <t>Harvard University; Harvard Medical School; Harvard University Medical Affiliates; Brigham &amp; Women's Hospital; Harvard University; Harvard Medical School; Harvard University Medical Affiliates; Massachusetts General Hospital; University of Copenhagen; Copenhagen University Hospital; Bispebjerg Hospital</t>
  </si>
  <si>
    <t>Artificial Intelligence in Orthopaedic Surgery: Can a Large Language Model "Write" a Believable Orthopaedic Journal Article?</t>
  </si>
  <si>
    <t>JOURNAL OF BONE AND JOINT SURGERY-AMERICAN VOLUME</t>
  </si>
  <si>
    <t>METAANALYSIS; PUBLISH; PERISH</t>
  </si>
  <si>
    <t>von Keudell, Arvind/GVU-4090-2022</t>
  </si>
  <si>
    <t>von Keudell, Arvind/0000-0002-3312-7556; Alnasser, Ahmad/0000-0002-8695-2939; Carnino, Jonathan/0000-0001-8908-7269; Brameier, Devon/0000-0002-8221-1172; Weaver, Michael/0000-0003-1062-8144</t>
  </si>
  <si>
    <t>0021-9355</t>
  </si>
  <si>
    <t>1535-1386</t>
  </si>
  <si>
    <t>J BONE JOINT SURG AM</t>
  </si>
  <si>
    <t>J. Bone Joint Surg.-Am. Vol.</t>
  </si>
  <si>
    <t>SEP 2023</t>
  </si>
  <si>
    <t>105</t>
  </si>
  <si>
    <t>1388</t>
  </si>
  <si>
    <t>1392</t>
  </si>
  <si>
    <t>10.2106/JBJS.23.00473</t>
  </si>
  <si>
    <t>http://dx.doi.org/10.2106/JBJS.23.00473</t>
  </si>
  <si>
    <t>Orthopedics; Surgery</t>
  </si>
  <si>
    <t>0CS8K</t>
  </si>
  <si>
    <t>37437021</t>
  </si>
  <si>
    <t>WOS:001444262300001</t>
  </si>
  <si>
    <t>Rojansky, R; Keyes, T; Oak, J</t>
  </si>
  <si>
    <t>Flow cytometry immunophenotyping is essential for diagnosing hematologic malignancies, but accurate antibody panel selection depends on clinical context that is often fragmented across the electronic health record (EHR). At our institution, clinical laboratory scientists (CLS) use a standardized decision-tree algorithm incorporating specimen characteristics, laboratory values, and prior diagnoses to select panels. This process requires manual review and synthesis of longitudinal clinical documentation and remains time-intensive. We evaluated whether ChatEHR-an institutionally developed, EHR-integrated large language model (LLM) platform-could automate clinical history extraction and support flow cytometry panel selection across 100 cases. Performance was compared with the current CLS-driven workflow using hematopathologist-reviewed panel selections as the reference standard. ChatEHR achieved comparable accuracy to CLS in extracting and categorizing prior hematologic diagnoses (78% vs. 78%). Average processing time was 20.3 s for ChatEHR versus 41 s for manual review, corresponding to an estimated annual reduction of approximately 120 staff hours. Direct panel selection accuracy was lower for ChatEHR (47% vs. 78%), primarily due to errors in deterministic protocol execution and structured data interpretation. Major error categories included incorrect decision-tree logic (39%), diagnostic conflation (22%), failure to retrieve or apply clinical history (22%), laboratory value misinterpretation (9%), and hallucination of nonexistent panels (7%). ChatEHR demonstrated strong performance in extracting and classifying clinical history but was less reliable for deterministic protocol execution and structured data interpretation. Integration of LLM-based clinical history extraction with rules-based laboratory algorithms provides a practical hybrid workflow that preserves diagnostic reliability while reducing manual chart review burden. This approach enables scalable automation while maintaining appropriate hematopathologist oversight in clinical flow cytometry workflows.</t>
  </si>
  <si>
    <t>Rojansky, Rebecca; Keyes, Timothy; Oak, Jean</t>
  </si>
  <si>
    <t>Oak, J (corresponding author), Stanford Univ, Dept Pathol, Stanford, CA 94305 USA.</t>
  </si>
  <si>
    <t>jeanoak@stanford.edu</t>
  </si>
  <si>
    <t>[Rojansky, Rebecca; Oak, Jean] Stanford Univ, Sch Med, Dept Pathol, Stanford, CA 94305 USA; [Keyes, Timothy] Stanford Hlth Care, Technol &amp; Digital Solut, Palo Alto, CA USA</t>
  </si>
  <si>
    <t>Stanford University; Stanford University; Stanford Medicine</t>
  </si>
  <si>
    <t>Automating clinical history extraction for flow cytometry panel selection using an EHR-integrated large language model</t>
  </si>
  <si>
    <t>CYTOMETRY PART B-CLINICAL CYTOMETRY</t>
  </si>
  <si>
    <t>automation; ChatGPT; flow cytometry; LLM</t>
  </si>
  <si>
    <t>1552-4949</t>
  </si>
  <si>
    <t>1552-4957</t>
  </si>
  <si>
    <t>CYTOM PART B-CLIN CY</t>
  </si>
  <si>
    <t>Cytom. Part B-Clin. Cytom.</t>
  </si>
  <si>
    <t>10.1002/cyto.b.70051</t>
  </si>
  <si>
    <t>http://dx.doi.org/10.1002/cyto.b.70051</t>
  </si>
  <si>
    <t>Medical Laboratory Technology; Pathology</t>
  </si>
  <si>
    <t>KU3FL</t>
  </si>
  <si>
    <t>42427213</t>
  </si>
  <si>
    <t>WOS:001815780000001</t>
  </si>
  <si>
    <t>Takahashi, Y; Kadoya, N; Arai, K; Tanno, H; Tanaka, S; Katsuta, Y; Hoshino, T; Harada, H; Omata, S; Yamamoto, T; Umezawa, R; Yasui, K; Hayashi, N; Jingu, K</t>
  </si>
  <si>
    <t>Large language models (LLMs) have recently gained attention for their potential. However, concerns remain regarding their reliability due to limitations such as hallucinations and insufficient domain-specific knowledge. Retrieval-augmented generation (RAG) has emerged as a promising approach, enabling LLMs to reference external knowledge sources and generate accurate outputs. We aimed to clarify the potential of RAG-enhanced LLMs with Japanese input in the field of radiotherapy. This was assessed by evaluating performance on three certification examinations in Japan: the Japanese Medical Physicist Examination, the Japanese Board Examination for Radiologists, and the Japanese Board Examination for Radiation Oncologists. In this study, we constructed a RAG system named Rad-Hub, consisting of a Japanese Radiotherapy Knowledge Database (JRKD) and a retrieval framework built on Microsoft Azure. The JRKD was populated with 32 Japanese radiotherapy textbooks and clinical guidelines. We assessed its utility by inputting all multiple-choice questions from the three examinations into ChatGPT-4o, both with and without Rad-Hub, and recording the answers. They were then compared with reference answers determined by experienced medical physicists and radiation oncologists. Rad-Hub improved accuracy across all examinations. Accuracy increased from 77.0% +/- 2.6% to 84.6% +/- 1.5% in the Medical Physicist examination, from 74.9% +/- 2.0% to 82.1% +/- 1.1% in the Radiologist examination, and from 55.6% +/- 4.4% to 71.7% +/- 4.5% in the Radiation Oncologist examination. Performance gains ranged from 7.2% to 16.1%. These findings highlight the potential of RAG-enhanced LLMs, particularly ChatGPT-4o with Rad-Hub, for integration into radiotherapy applications, such as educational and clinical decision assistance.</t>
  </si>
  <si>
    <t>Takahashi, Yoshiyuki; Kadoya, Noriyuki; Arai, Kazuhiro; Tanno, Hikaru; Tanaka, Shohei; Katsuta, Yoshiyuki; Hoshino, Taichi; Harada, Hinako; Omata, So; Yamamoto, Takaya; Umezawa, Rei; Yasui, Keisuke; Hayashi, Naoki; Jingu, Keiichi</t>
  </si>
  <si>
    <t>Kadoya, N (corresponding author), Tohoku Univ, Grad Sch Med, Dept Radiat Oncol, 1-1 Seiryo Machi,Aoba Ku, Sendai, Miyagi 9808574, Japan.</t>
  </si>
  <si>
    <t>Noriyuki.kadoya.e4@tohoku.ac.jp</t>
  </si>
  <si>
    <t>[Takahashi, Yoshiyuki; Kadoya, Noriyuki; Arai, Kazuhiro; Tanno, Hikaru; Tanaka, Shohei; Katsuta, Yoshiyuki; Hoshino, Taichi; Harada, Hinako; Omata, So; Yamamoto, Takaya; Umezawa, Rei; Jingu, Keiichi] Tohoku Univ, Grad Sch Med, Dept Radiat Oncol, 1-1 Seiryo Machi,Aoba Ku, Sendai, Miyagi 9808574, Japan; [Yasui, Keisuke; Hayashi, Naoki] Fujita Hlth Univ, Sch Med Sci, Div Med Phys, 1-98 Dengakugakubo, Toyoake, Aichi 4701192, Japan</t>
  </si>
  <si>
    <t>Tohoku University; Fujita Health University</t>
  </si>
  <si>
    <t>Feasibility of retrieval-augmented generation for large language models with Japanese input in radiotherapy</t>
  </si>
  <si>
    <t>JOURNAL OF RADIATION RESEARCH</t>
  </si>
  <si>
    <t>radiotherapy; large language model; retrieval-augmented generation; artificial intelligence; medical physicist; radiation oncologist</t>
  </si>
  <si>
    <t>Tanaka, Shohei/PMF-7646-2026</t>
  </si>
  <si>
    <t>0449-3060</t>
  </si>
  <si>
    <t>1349-9157</t>
  </si>
  <si>
    <t>J RADIAT RES</t>
  </si>
  <si>
    <t>J. Radiat. Res.</t>
  </si>
  <si>
    <t>67</t>
  </si>
  <si>
    <t>420</t>
  </si>
  <si>
    <t>429</t>
  </si>
  <si>
    <t>10.1093/jrr/rrag019</t>
  </si>
  <si>
    <t>http://dx.doi.org/10.1093/jrr/rrag019</t>
  </si>
  <si>
    <t>Biology; Oncology; Radiology, Nuclear Medicine &amp; Medical Imaging</t>
  </si>
  <si>
    <t>Life Sciences &amp; Biomedicine - Other Topics; Oncology; Radiology, Nuclear Medicine &amp; Medical Imaging</t>
  </si>
  <si>
    <t>IK6DU</t>
  </si>
  <si>
    <t>42105267</t>
  </si>
  <si>
    <t>WOS:001759757800001</t>
  </si>
  <si>
    <t>Khoruzhaya, AN; Varyukhina, MD; Erizhokov, RA; Blokhin, IA; Reshetnikov, RV; Kodenko, MR; Pamova, AP; Burtsev, TA; Arzamasov, KM; Omelyanskaya, OV; Vladzymyrskyy, AV; Vasilev, YA</t>
  </si>
  <si>
    <t>Background: Medical text summarization using large language models (LLMs) has reached an inflection point in 2024-2025, with adapted models demonstrating capability to match or exceed human expert performance in specific tasks. However, critical gaps persist in safety validation, evaluation frameworks, and clinical deployment readiness. A comprehensive review revealed that only 7% of studies conducted external validation and 3% performed patient safety assessments, with hallucination rates ranging from 1.47% to 61.6%. Existing reporting guidelines, including CONSORT-AI, SPIRIT-AI, TRIPOD-LLM, and DEAL, do not adequately address the specific requirements of medical text summarization tasks. Objective: to develop MEDAI-LLM-SUMM, the first specialized reporting checklist for research on medical text summarization using LLMs, addressing critical gaps in existing reporting standards. Methods: A modified iterative consensus approach was employed, comprising three sequential stages: (1) a systematic literature review of 216 publications from PubMed and eLibrary (2023-2025) following PRISMA guidelines and an analysis of existing reporting standards (TRIPOD-LLM, DEAL, CONSORT-AI, SPIRIT-AI, TRIPOD + AI, CLAIM, STARD-AI); (2) development of an initial 44-item, 7-section checklist by a supervisory group; (3) three rounds of face-to-face consensus discussions with a multidisciplinary expert panel of 11 specialists (3 radiologists, 2 clinicians, 3 medical informatics experts, 1 biostatistician, and 2 medical LLM developers). The consensus criterion required unanimous agreement from all panel members. Results: The final MEDAI-LLM-SUMM checklist comprises 24 items organized into six sections: (A) Clinical validity (4 items addressing clinical task definition, expert involvement, hypothesis formulation, and medical expertise requirements); (B) Model Selection (5 items covering model justification, system requirements, deployment environment, LLM-as-judge approach, and prompt documentation); (C) Data (3 items on datasets, reference summaries with expert consensus, and data stratification); (D) Quality Assessment (8 items including evaluation metrics, clinical metrics, expert evaluation, hallucination detection, LLM-judge assessment, sample size justification, pilot testing, and limitations documentation); (E) Safety (2 items on ethical approval and data anonymization); and (F) Data Availability (2 items on code and dataset accessibility). Comparative analysis with six existing reporting standards demonstrated that MEDAI-LLM-SUMM uniquely addresses hallucination assessment requirements, reference summary creation methodology, LLM-as-judge validation protocols, and detailed pilot testing specifications.</t>
  </si>
  <si>
    <t>Khoruzhaya, Anna N.; Varyukhina, Mariya D.; Erizhokov, Rustam A.; Blokhin, Ivan A.; Reshetnikov, Roman V.; Kodenko, Mariya R.; Pamova, Anastasia P.; Burtsev, Tikhon A.; Arzamasov, Kirill M.; Omelyanskaya, Olga V.; Vladzymyrskyy, Anton V.; Vasilev, Yuriy A.</t>
  </si>
  <si>
    <t>Khoruzhaya, AN (corresponding author), State Budget Funded Hlth Care Inst City Moscow, Res &amp; Pract Clin Ctr Diagnost &amp; Telemed Technol, Moscow Hlth Care Dept, Moscow, Russia.</t>
  </si>
  <si>
    <t>khoruzhayaAN@zdrav.mos.ru</t>
  </si>
  <si>
    <t>[Khoruzhaya, Anna N.; Varyukhina, Mariya D.; Erizhokov, Rustam A.; Blokhin, Ivan A.; Reshetnikov, Roman V.; Kodenko, Mariya R.; Pamova, Anastasia P.; Burtsev, Tikhon A.; Arzamasov, Kirill M.; Omelyanskaya, Olga V.; Vladzymyrskyy, Anton V.; Vasilev, Yuriy A.] State Budget Funded Hlth Care Inst City Moscow, Res &amp; Pract Clin Ctr Diagnost &amp; Telemed Technol, Moscow Hlth Care Dept, Moscow, Russia</t>
  </si>
  <si>
    <t>MEDAI-LLM-SUMM: a reporting checklist for medical text summarization studies using large language models</t>
  </si>
  <si>
    <t>expert consensus; large language models; medical text summarization; patient safety; reporting guidelines; reproducibility</t>
  </si>
  <si>
    <t>Blokhin, Ivan/U-1206-2018; Pamova, Anastasia/V-6983-2017</t>
  </si>
  <si>
    <t>Pamova, Anastasia/0000-0002-0041-3281</t>
  </si>
  <si>
    <t>MAR 2 2026</t>
  </si>
  <si>
    <t>1761601</t>
  </si>
  <si>
    <t>10.3389/fdgth.2026.1761601</t>
  </si>
  <si>
    <t>http://dx.doi.org/10.3389/fdgth.2026.1761601</t>
  </si>
  <si>
    <t>FD0JS</t>
  </si>
  <si>
    <t>41847286</t>
  </si>
  <si>
    <t>WOS:001715836100001</t>
  </si>
  <si>
    <t>Kang, DH; Wu, HK; Yuan, L; Shen, WY; Feng, J; Zhan, J; Grzybowski, A; Sun, W; Jin, K</t>
  </si>
  <si>
    <t>IntroductionEffective management of pediatric myopia, which includes treatments like corrective lenses and low-dose atropine, requires accurate clinical decisions. However, the complexity of pediatric refractive data, such as variations in visual acuity, axial length, and patient-specific factors, pose challenges to determining optimal treatment. This study aims to evaluate the performance of three large language models in analyzing these refractive data. MethodsA dataset of 100 pediatric refractive records, including parameters like visual acuity and axial length, was analyzed using ChatGPT-3.5, ChatGPT-4o, and Wenxin Yiyan, respectively. Each model was tasked with determining whether intervention was needed and subsequently recommending a treatment (eyeglasses, orthokeratology lens, or low-dose atropine). The recommendations were compared to professional optometrists' consensus, rated on a 1-5 Global Quality Score (GQS) scale, and evaluated for clinical safety utilizing a three-tier accuracy assessment. ResultsChatGPT-4o outperformed both ChatGPT-3.5 and Wenxin Yiyan in determining intervention needs, with an accuracy of 90%, significantly higher than Wenxin Yiyan (p &lt; 0.05). It also achieved the highest GQS of 4.4 +/- 0.55, surpassing the other models (p &lt; 0.001), with 85% of responses rated as "good" ahead of ChatGPT-3.5 (82%) and Wenxin Yiyan (74%). ChatGPT-4o made only eight errors in recommending interventions, fewer than ChatGPT-3.5 (12) and Wenxin Yiyan (15). Additionally, it performed better with incomplete or abnormal data, maintaining higher quality scores. ConclusionChatGPT-4o showed better accuracy and clinical safety, making it a promising tool for decision support in pediatric ophthalmology, although expert oversight is still necessary.</t>
  </si>
  <si>
    <t>Kang, Daohuan; Wu, Hongkang; Yuan, Lu; Shen, Wenyue; Feng, Jia; Zhan, Jiao; Grzybowski, Andrzej; Sun, Wen; Jin, Kai</t>
  </si>
  <si>
    <t>Sun, W (corresponding author), Zhejiang Univ, Childrens Hosp, Natl Clin Res Ctr Child Hlth, Dept Ophthalmol,Sch Med, Hangzhou, Peoples R China.; Jin, K (corresponding author), Zhejiang Univ, Eye Ctr, Sch Med, Affiliated Hosp 2, Hangzhou, Zhejiang, Peoples R China.; Jin, K (corresponding author), Zhejiang Prov Engn Inst Eye Dis, Zhejiang Prov Clin Res Ctr Eye Dis, Zhejiang Prov Key Lab Ophthalmol, Hangzhou, Zhejiang, Peoples R China.</t>
  </si>
  <si>
    <t>drsunwen@zju.edu.cn; jinkai@zju.edu.cn</t>
  </si>
  <si>
    <t>Natural Science Foundation of China [82201195, 82201197]</t>
  </si>
  <si>
    <t>Natural Science Foundation of China (National Natural Science Foundation of China (NSFC))</t>
  </si>
  <si>
    <t>This work was financially supported by the Natural Science Foundation of China (grant number 82201195, 82201197). The Rapid Service Fee was funded by the authors.</t>
  </si>
  <si>
    <t>[Kang, Daohuan; Yuan, Lu; Feng, Jia; Zhan, Jiao; Sun, Wen] Zhejiang Univ, Childrens Hosp, Natl Clin Res Ctr Child Hlth, Dept Ophthalmol,Sch Med, Hangzhou, Peoples R China; [Wu, Hongkang; Shen, Wenyue; Jin, Kai] Zhejiang Univ, Eye Ctr, Sch Med, Affiliated Hosp 2, Hangzhou, Zhejiang, Peoples R China; [Wu, Hongkang; Shen, Wenyue; Jin, Kai] Zhejiang Prov Engn Inst Eye Dis, Zhejiang Prov Clin Res Ctr Eye Dis, Zhejiang Prov Key Lab Ophthalmol, Hangzhou, Zhejiang, Peoples R China; [Grzybowski, Andrzej] Fdn Ophthalmol Dev, Inst Res Ophthalmol, Poznan, Poland</t>
  </si>
  <si>
    <t>Zhejiang University; Zhejiang University</t>
  </si>
  <si>
    <t>Evaluating the Efficacy of Large Language Models in Guiding Treatment Decisions for Pediatric Refractive Error</t>
  </si>
  <si>
    <t>OPHTHALMOLOGY AND THERAPY</t>
  </si>
  <si>
    <t>ChatGPT-4o; Chatbot; Large language models; Myopia; Refractive error</t>
  </si>
  <si>
    <t>ARTIFICIAL-INTELLIGENCE; MYOPIA</t>
  </si>
  <si>
    <t>feng, jia/GXV-7446-2022; Grzybowski, A/E-4486-2010; Jin, Kai/GRS-2857-2022; Shen, Wenyue/GZB-1716-2022; Wu, Hongkang/KFQ-3718-2024</t>
  </si>
  <si>
    <t>Jin, Kai/0000-0003-4369-2417; YUAN, Lu/0009-0003-7080-5023; kang, daohuan/0009-0004-0035-4199</t>
  </si>
  <si>
    <t>SPRINGER INT PUBL AG</t>
  </si>
  <si>
    <t>CHAM</t>
  </si>
  <si>
    <t>GEWERBESTRASSE 11, CHAM, CH-6330, SWITZERLAND</t>
  </si>
  <si>
    <t>2193-8245</t>
  </si>
  <si>
    <t>2193-6528</t>
  </si>
  <si>
    <t>OPHTHALMOL THER</t>
  </si>
  <si>
    <t>OPHTHALMOL. THER.</t>
  </si>
  <si>
    <t>10.1007/s40123-025-01105-2</t>
  </si>
  <si>
    <t>http://dx.doi.org/10.1007/s40123-025-01105-2</t>
  </si>
  <si>
    <t>X9O1S</t>
  </si>
  <si>
    <t>39985747</t>
  </si>
  <si>
    <t>WOS:001428540500001</t>
  </si>
  <si>
    <t>Roustan, D; Bastardot, F</t>
  </si>
  <si>
    <t>Large language models (LLMs) are artificial intelligence tools that have the prospect of profoundly changing how we practice all aspects of medicine. Considering the incredible potential of LLMs in medicine and the interest of many health care stakeholders for implementation into routine practice, it is therefore essential that clinicians be aware of the basic risks associated with the use of these models. Namely, a significant risk associated with the use of LLMs is their potential to create hallucinations. Hallucinations (false information) generated by LLMs arise from a multitude of causes, including both factors related to the training dataset as well as their auto-regressive nature. The implications for clinical practice range from the generation of inaccurate diagnostic and therapeutic information to the reinforcement of flawed diagnostic reasoning pathways, as well as a lack of reliability if not used properly. To reduce this risk, we developed a general technical framework for approaching LLMs in general clinical practice, as well as for implementation on a larger institutional scale.</t>
  </si>
  <si>
    <t>Roustan, Dimitri; Bastardot, Francois</t>
  </si>
  <si>
    <t>Roustan, D (corresponding author), Clin Univ St Luc, Emergency Med Dept, Ave Hippocrate 10, B-1200 Brussels, Belgium.</t>
  </si>
  <si>
    <t>dim.roustan@gmail.com</t>
  </si>
  <si>
    <t>[Roustan, Dimitri] Clin Univ St Luc, Emergency Med Dept, Ave Hippocrate 10, B-1200 Brussels, Belgium; [Bastardot, Francois] Lausanne Univ Hosp, Lausanne, Switzerland</t>
  </si>
  <si>
    <t>Universite Catholique Louvain; Cliniques Universitaires Saint-Luc; University of Lausanne; Centre Hospitalier Universitaire Vaudois (CHUV)</t>
  </si>
  <si>
    <t>The Clinicians' Guide to Large Language Models: A General Perspective With a Focus on Hallucinations</t>
  </si>
  <si>
    <t>INTERACTIVE JOURNAL OF MEDICAL RESEARCH</t>
  </si>
  <si>
    <t>medical informatics; large language model; clinical informatics; decision-making; computer assisted; decision support techniques; decision support; decision; AI; artificial intelligence; artificial intelligence tool; LLM; electronic data system; hallucinations; false information; technical framework</t>
  </si>
  <si>
    <t>Bastardot, François/J-4013-2017</t>
  </si>
  <si>
    <t>Bastardot, François/0000-0003-4060-0353; Roustan, Dimitri/0009-0008-2650-4035</t>
  </si>
  <si>
    <t>109</t>
  </si>
  <si>
    <t>128</t>
  </si>
  <si>
    <t>1929-073X</t>
  </si>
  <si>
    <t>INTERACT J MED RES</t>
  </si>
  <si>
    <t>Interact. J. Med. Res.</t>
  </si>
  <si>
    <t>e59823</t>
  </si>
  <si>
    <t>10.2196/59823</t>
  </si>
  <si>
    <t>http://dx.doi.org/10.2196/59823</t>
  </si>
  <si>
    <t>Medicine, Research &amp; Experimental</t>
  </si>
  <si>
    <t>Research &amp; Experimental Medicine</t>
  </si>
  <si>
    <t>W0I9F</t>
  </si>
  <si>
    <t>39874574</t>
  </si>
  <si>
    <t>WOS:001415529800001</t>
  </si>
  <si>
    <t>Welsh, M; Lopez-Rippe, J; Alkhulaifat, D; Khalkhali, V; Wang, XM; Sinti-Ycochea, M; Sotardi, S</t>
  </si>
  <si>
    <t>Large language models (LLMs) show promise in enhancing medical research through domain-specific question answering. However, their clinical application is limited by hallucination risk, limited domain specialization, and privacy concerns. Public LLMs like GPT-4-Consensus pose challenges for use with institutional data, due to the inability to ensure patient data protection. In this work, we present a secure, custom-designed retrieval-augmented generation (RAG) LLM system deployed entirely within our institution and tailored for radiology research. Radiology researchers at our institution evaluated the system against GPT-4-Consensus through a blinded survey assessing factual accuracy (FA), citation relevance (CR), and perceived performance (PP) using 5-point Likert scales. Our system achieved mean +/- SD scores of 4.15 +/- 0.99 for FA, 3.70 +/- 1.17 for CR, and 3.55 +/- 1.39 for PP. In comparison, GPT-4-Consensus obtained 4.25 +/- 0.72, 3.85 +/- 1.23, and 3.90 +/- 1.12 for the same metrics, respectively. No statistically significant differences were observed (p = 0.97, 0.65, 0.42), and 50% of participants preferred our system's output. These results validate that secure, local RAG-based LLMs can match state-of-the-art performance while preserving privacy and adaptability, offering a scalable tool for medical research environments.</t>
  </si>
  <si>
    <t>Welsh, Michael; Lopez-Rippe, Julian; Alkhulaifat, Dana; Khalkhali, Vahid; Wang, Xinmeng; Sinti-Ycochea, Mario; Sotardi, Susan</t>
  </si>
  <si>
    <t>Welsh, M; Sotardi, S (corresponding author), Childrens Hosp Philadelphia, Dept Radiol, Philadelphia, PA 19104 USA.; Sotardi, S (corresponding author), Univ Penn, Perelman Sch Med, Philadelphia, PA 19104 USA.</t>
  </si>
  <si>
    <t>welshm4@chop.edu; khalkhaliv@chop.edu; sintim@chop.edu; sotardis@chop.edu; lopezrippj@chop.edu; dalkhul@emory.edu; xw365@drexel.edu</t>
  </si>
  <si>
    <t>[Welsh, Michael; Lopez-Rippe, Julian; Alkhulaifat, Dana; Khalkhali, Vahid; Wang, Xinmeng; Sinti-Ycochea, Mario; Sotardi, Susan] Childrens Hosp Philadelphia, Dept Radiol, Philadelphia, PA 19104 USA; [Sotardi, Susan] Univ Penn, Perelman Sch Med, Philadelphia, PA 19104 USA</t>
  </si>
  <si>
    <t>University of Pennsylvania; Pennsylvania Medicine; Childrens Hospital of Philadelphia; University of Pennsylvania; Pennsylvania Medicine</t>
  </si>
  <si>
    <t>Custom-Tailored Radiology Research via Retrieval-Augmented Generation: A Secure Institutionally Deployed Large Language Model System</t>
  </si>
  <si>
    <t>INVENTIONS</t>
  </si>
  <si>
    <t>radiology; large language models; retrieval-augmented generation; institutional AI; semantic search; medical research; data privacy</t>
  </si>
  <si>
    <t>Alkhulaifat, Dana/AAR-1452-2021; Khalkhali, Vahid/JDV-6716-2023</t>
  </si>
  <si>
    <t>Lopez-Rippe, Julian/0000-0001-5317-7625; SINTI YCOCHEA, MARIO/0000-0003-0656-3552</t>
  </si>
  <si>
    <t>2411-5134</t>
  </si>
  <si>
    <t>INVENTIONS-BASEL</t>
  </si>
  <si>
    <t>Inventions</t>
  </si>
  <si>
    <t>JUL 8 2025</t>
  </si>
  <si>
    <t>10.3390/inventions10040055</t>
  </si>
  <si>
    <t>http://dx.doi.org/10.3390/inventions10040055</t>
  </si>
  <si>
    <t>Engineering, Multidisciplinary</t>
  </si>
  <si>
    <t>6NS4S</t>
  </si>
  <si>
    <t>WOS:001557716300001</t>
  </si>
  <si>
    <t>Gu, BW; Shao, VV; Liao, ZQ; Carducci, V; Brufau, SR; Yang, J; Desai, RJ</t>
  </si>
  <si>
    <t>BackgroundA vast amount of potentially useful information such as description of patient symptoms, family, and social history is recorded as free-text notes in electronic health records (EHRs) but is difficult to reliably extract at scale, limiting their utility in research. This study aims to assess whether an "out of the box" implementation of open-source large language models (LLMs) without any fine-tuning can accurately extract social determinants of health (SDoH) data from free-text clinical notes.MethodsWe conducted a cross-sectional study using EHR data from the Mass General Brigham (MGB) system, analyzing free-text notes for SDoH information. We selected a random sample of 200 patients and manually labeled nine SDoH aspects. Eight advanced open-source LLMs were evaluated against a baseline pattern-matching model. Two human reviewers provided the manual labels, achieving 93% inter-annotator agreement. LLM performance was assessed using accuracy metrics for overall, mentioned, and non-mentioned SDoH, and macro F1 scores.ResultsLLMs outperformed the baseline pattern-matching approach, particularly for explicitly mentioned SDoH, achieving up to 40% higher Accuracymentioned. openchat_3.5 was the best-performing model, surpassing the baseline in overall accuracy across all nine SDoH aspects. The refined pipeline with prompt engineering reduced hallucinations and improved accuracy.ConclusionsOpen-source LLMs are effective and scalable tools for extracting SDoH from unstructured EHRs, surpassing traditional pattern-matching methods. Further refinement and domain-specific training could enhance their utility in clinical research and predictive analytics, improving healthcare outcomes and addressing health disparities.</t>
  </si>
  <si>
    <t>Gu, Bowen; Shao, Vivian; Liao, Ziqian; Carducci, Valentina; Brufau, Santiago Romero; Yang, Jie; Desai, Rishi J.</t>
  </si>
  <si>
    <t>Desai, RJ (corresponding author), Harvard Med Sch, Brigham &amp; Womens Hosp, Dept Med, Div Pharmacoepidemiol &amp; Pharmacoecon, 1620 Tremont St,Suite 3030 R, Boston, MA 02120 USA.</t>
  </si>
  <si>
    <t>rdesai@bwh.harvard.edu</t>
  </si>
  <si>
    <t>[Gu, Bowen; Shao, Vivian; Yang, Jie; Desai, Rishi J.] Harvard Med Sch, Brigham &amp; Womens Hosp, Dept Med, Div Pharmacoepidemiol &amp; Pharmacoecon, 1620 Tremont St,Suite 3030 R, Boston, MA 02120 USA; [Gu, Bowen; Carducci, Valentina; Brufau, Santiago Romero] Mayo Clin, Dept Otolaryngol Head &amp; Neck Surg, Rochester, MN USA; [Gu, Bowen; Liao, Ziqian; Brufau, Santiago Romero] Harvard Univ, Harvard TH Chan Sch Publ Hlth, Dept Biostat, Boston, MA USA</t>
  </si>
  <si>
    <t>Harvard University; Harvard Medical School; Harvard University Medical Affiliates; Brigham &amp; Women's Hospital; Mayo Clinic; Harvard University; Harvard T.H. Chan School of Public Health</t>
  </si>
  <si>
    <t>Scalable information extraction from free text electronic health records using large language models</t>
  </si>
  <si>
    <t>BMC MEDICAL RESEARCH METHODOLOGY</t>
  </si>
  <si>
    <t>Social determinants of health (SDoH); Electronic health records (EHR); Natural Language Processing (NLP); Large language models (LLMs); Clinical information extraction</t>
  </si>
  <si>
    <t>SOCIAL DETERMINANTS</t>
  </si>
  <si>
    <t>Gu, Bowen/AEB-1042-2022; Desai, Rishi/AAH-8988-2021</t>
  </si>
  <si>
    <t>Liao, Ziqian/0009-0003-9985-9172</t>
  </si>
  <si>
    <t>1471-2288</t>
  </si>
  <si>
    <t>BMC MED RES METHODOL</t>
  </si>
  <si>
    <t>BMC Med. Res. Methodol.</t>
  </si>
  <si>
    <t>JAN 28 2025</t>
  </si>
  <si>
    <t>10.1186/s12874-025-02470-z</t>
  </si>
  <si>
    <t>http://dx.doi.org/10.1186/s12874-025-02470-z</t>
  </si>
  <si>
    <t>Health Care Sciences &amp; Services</t>
  </si>
  <si>
    <t>T7F9O</t>
  </si>
  <si>
    <t>39871166</t>
  </si>
  <si>
    <t>WOS:001406630100001</t>
  </si>
  <si>
    <t>Stenzl, A; Rogers, E; Ananiadou, S; Wang, YS; Armstrong, AJ; Sboner, A; Cacciamani, G; Schijvenaars, BJA; Ahmed, KR; Thomsen, H; Wiemken, T; Campello, A; Sternberg, CN</t>
  </si>
  <si>
    <t>Objectives This study evaluated the quality and trustworthiness of large language model (LLM)-generated scientific and plain language summaries (PLS) from clinical oncology literature, focusing on faithfulness (absence of hallucinations), relevance, and readability.Materials and Methods Ten LLM-generated scientific summaries and PLS from the INSIDE (artificial INtelligence to Support Informed DEcision making) prostate cancer dataset. For comparison, expert-written PLS from the BioLaySumm dataset were used. A panel of 5 LLMs and 3 human experts verified faithfulness. Verification was performed on original facts and facts modified with varying levels of error (subtle, moderate, contradictory). Readability was assessed using Flesch-Kincaid Reading Ease (FRE) scores.Results Fact verification against the summaries was similar to 100%, confirming accurate fact extraction. LLM panel vs human panel agreement was substantial (kappa 0.67), outperforming agreement among the interhuman (0.43 [95% CI, 0.34-0.52]) and inter-LLM (0.40 [0.38-0.42]) panels. Large language model scientific summaries showed high faithfulness (88.9% [88.0-89.8]) and low hallucinations (9.6% [6.5-12.7]) compared to human-written PLS (61.6% [60.1-63.1] faithfulness; 40.6% [37.8- 43.4] hallucinations). The LLMs detected errors sensitively with scores decreasing as fact modifications became more severe. Finally, LLM-generated PLS were more readable than human-written versions (FRE 42.3 [interquartile range, IQR 35.27-49.41] vs 28.8 [IQR 21.02-36.18]).Discussion A panel of LLMs reliably assessed the faithfulness of scientific summaries to their original source and thus can help increase reliability for clinical use. The lower faithfulness in human-written PLS likely reflects extrinsic hallucinations added for context.Conclusion The study demonstrates a novel approach to automatically assess the quality and trustworthiness of LLM-generated scientific and PLS via faithfulness, relevance, and readability.Large language models (LLMs) are artificial intelligence tools that can help simplify clinical text. However, LLMs sometimes produce results or outputs that are not present in the source text. These are known as hallucinations. The goal of this study was to understand how LLMs could identify outputs which are not present in the source abstract in summaries written by LLMs and humans. Three quality factors were used to test the outputs. First one was faithfulness which showed if the output was present in the source abstract. Next, relevance was used to check if the output has all important information from the source abstract. The third one was readability which showed if it was easy to read and understand the output. To compare the results, 5 LLMs and a smaller model were used. The outputs were also checked by at least 3 human experts. The summaries written by humans had more information that was not present in the original abstract. These summaries were more difficult to read. These results showed that LLMs could be used to produce summaries that are easy to understand, as well as check if information in such summaries are present in the source text.</t>
  </si>
  <si>
    <t>Stenzl, Arnulf; Rogers, Eamonn; Ananiadou, Sophia; Wang, Yanshan; Armstrong, Andrew J.; Sboner, Andrea; Cacciamani, Giovanni; Schijvenaars, Bob J. A.; Ahmed, Kausar Riaz; Thomsen, Hanna; Wiemken, Timothy; Campello, Antonio; Sternberg, Cora N.</t>
  </si>
  <si>
    <t>Sternberg, CN (corresponding author), Weill Cornell Med, Englander Inst Precis Med, Belfer Res Bldg,413 East 69th St,Room 1412, New York, NY 10021 USA.</t>
  </si>
  <si>
    <t>cns9006@med.cornell.edu</t>
  </si>
  <si>
    <t>Pfizer Inc</t>
  </si>
  <si>
    <t>Pfizer Inc (Pfizer)</t>
  </si>
  <si>
    <t>This study was sponsored by Pfizer Inc.</t>
  </si>
  <si>
    <t>[Stenzl, Arnulf] Univ Tubingen, Dept Urol, D-72076 Tubingen, Germany; [Rogers, Eamonn] Univ Coll Hosp, Dept Urol, Galway H91 YR71, Ireland; [Ananiadou, Sophia] Univ Manchester, Dept Comp Sci, Manchester M13 9PL, England; [Wang, Yanshan] Univ Pittsburgh, Dept Hlth Informat Management, Pittsburgh, PA 15260 USA; [Armstrong, Andrew J.] Duke Univ, Duke Canc Inst, Ctr Prostate &amp; Urol Canc, Dept Med, Durham, NC 27710 USA; [Armstrong, Andrew J.] Duke Univ, Duke Canc Inst, Ctr Prostate &amp; Urol Canc, Dept Urol, Durham, NC 27710 USA; [Armstrong, Andrew J.] Duke Univ, Duke Canc Inst, Ctr Prostate &amp; Urol Canc, Dept Pharmacol, Durham, NC 27710 USA; [Armstrong, Andrew J.] Duke Univ, Duke Canc Inst, Ctr Prostate &amp; Urol Canc, Dept Canc Biol, Durham, NC 27710 USA; [Sboner, Andrea] Weill Cornell Med, Dept Pathol &amp; Lab Med, New York, NY 10065 USA; [Sboner, Andrea] Weill Cornell Med, Inst Computat Biomed, New York, NY 10021 USA; [Sboner, Andrea] Weill Cornell Med, Meyer Canc Ctr, New York, NY 10065 USA; [Sboner, Andrea; Sternberg, Cora N.] Weill Cornell Med, Englander Inst Precis Med, Belfer Res Bldg,413 East 69th St,Room 1412, New York, NY 10021 USA; [Cacciamani, Giovanni] Univ Southern Calif, Keck Sch Med, Los Angeles, CA 90033 USA; [Schijvenaars, Bob J. A.; Campello, Antonio] Digital Sci, London EC1M 5NR, England; [Ahmed, Kausar Riaz] Pfizer Inc, Silver Spring, MD 20910 USA; [Thomsen, Hanna] Pfizer Inc, Bothell, WA 98021 USA; [Wiemken, Timothy] Pfizer Inc, New York, NY 10001 USA</t>
  </si>
  <si>
    <t>Eberhard Karls University of Tubingen; Ollscoil na Gaillimhe-University of Galway; University of Manchester; Pennsylvania Commonwealth System of Higher Education (PCSHE); University of Pittsburgh; Duke University; Duke University; Duke University; Duke University; Cornell University; Weill Cornell Medicine; Cornell University; Weill Cornell Medicine; Cornell University; Weill Cornell Medicine; University of Southern California; Pfizer; Pfizer USA; Pfizer; Pfizer USA</t>
  </si>
  <si>
    <t>Enhancing the quality and trustworthiness of large language model-generated summaries of clinical oncology literature</t>
  </si>
  <si>
    <t>artificial intelligence; hallucinations; large language models; scientific summaries; oncology literature</t>
  </si>
  <si>
    <t>INTELLIGENCE</t>
  </si>
  <si>
    <t>Armstrong, Andrew/0000-0001-7012-1754</t>
  </si>
  <si>
    <t>ooag078</t>
  </si>
  <si>
    <t>10.1093/jamiaopen/ooag078</t>
  </si>
  <si>
    <t>http://dx.doi.org/10.1093/jamiaopen/ooag078</t>
  </si>
  <si>
    <t>JP9NC</t>
  </si>
  <si>
    <t>42318048</t>
  </si>
  <si>
    <t>WOS:001795182800001</t>
  </si>
  <si>
    <t>Gu, ZS; Chen, JY; Liu, FL; Yin, CC; Zhang, P</t>
  </si>
  <si>
    <t>Large vision language models (LVLMs) have achieved superior performance on natural image and text tasks, inspiring extensive fine-tuning research. However, their robustness against hallucination in clinical contexts remains understudied. We propose the Medical Visual Hallucination Test (MedVH), a novel evaluation framework assessing hallucination tendencies in both medical-specific and general-purpose LVLMs. MedVH encompasses six tasks targeting medical hallucinations, including two traditional tasks and four novel tasks formatted as multi-choice visual question answering and long response generation. Our extensive experiments with six evaluation metrics reveal that medical LVLMs, despite promising performance on standard medical tasks, are particularly susceptible to hallucinations-often more so than general models. This raises significant concerns about domain-specific model reliability. For real-world applications, medical LVLMs must accurately integrate medical knowledge while maintaining robust reasoning to prevent hallucination. We explore mitigation methods without model-specific fine-tuning, including prompt engineering and collaboration between general and domain-specific models. Our work provides a foundation for future evaluation studies. The dataset is available at PhysioNet: https://physionet.org/content/medvh.</t>
  </si>
  <si>
    <t>Gu, Zishan; Chen, Jiayuan; Liu, Fenglin; Yin, Changchang; Zhang, Ping</t>
  </si>
  <si>
    <t>Zhang, P (corresponding author), Ohio State Univ, Dept Comp Sci &amp; Engn, Columbus, OH 43210 USA.; Zhang, P (corresponding author), Ohio State Univ, Dept Biomed Informat, Columbus, OH 43210 USA.; Zhang, P (corresponding author), Ohio State Univ, Translat Data Analyt Inst, Columbus, OH 43210 USA.</t>
  </si>
  <si>
    <t>zhang.10631@osu.edu</t>
  </si>
  <si>
    <t>National Science Foundation; National Institutes of Health [R01AI188576]; Ohio State University President's Research Excellence Accelerator Grant</t>
  </si>
  <si>
    <t>National Science Foundation (National Science Foundation (NSF)); National Institutes of Health (United States Department of Health &amp; Human Services, National Institutes of Health (NIH) - USA); Ohio State University President's Research Excellence Accelerator Grant</t>
  </si>
  <si>
    <t>This work was funded in part by the National Science Foundation under award number IIS-2145625, by the National Institutes of Health under award number R01AI188576, and by The Ohio State University President's Research Excellence Accelerator Grant.</t>
  </si>
  <si>
    <t>[Gu, Zishan; Chen, Jiayuan; Yin, Changchang; Zhang, Ping] Ohio State Univ, Dept Comp Sci &amp; Engn, Columbus, OH 43210 USA; [Gu, Zishan; Chen, Jiayuan; Yin, Changchang; Zhang, Ping] Ohio State Univ, Dept Biomed Informat, Columbus, OH 43210 USA; [Liu, Fenglin] Univ Oxford, Inst Biomed Engn, Dept Engn Sci, Oxford OX1 2JD, England; [Zhang, Ping] Ohio State Univ, Translat Data Analyt Inst, Columbus, OH 43210 USA</t>
  </si>
  <si>
    <t>University System of Ohio; Ohio State University; University System of Ohio; Ohio State University; University of Oxford; University System of Ohio; Ohio State University</t>
  </si>
  <si>
    <t>MedVH: Toward Systematic Evaluation of Hallucination for Large Vision Language Models in the Medical Context</t>
  </si>
  <si>
    <t>ADVANCED INTELLIGENT SYSTEMS</t>
  </si>
  <si>
    <t>large vision language models; medical hallucination evaluation; multimodal reasoning</t>
  </si>
  <si>
    <t>Chen, Jiayuan/JBS-5463-2023; Gu, Zishan/IAN-8248-2023</t>
  </si>
  <si>
    <t>Gu, Zishan/0000-0002-0168-8658; Zhang, Ping/0000-0002-4601-0779</t>
  </si>
  <si>
    <t>WILEY-V C H VERLAG GMBH</t>
  </si>
  <si>
    <t>WEINHEIM</t>
  </si>
  <si>
    <t>POSTFACH 101161, 69451 WEINHEIM, GERMANY</t>
  </si>
  <si>
    <t>2640-4567</t>
  </si>
  <si>
    <t>ADV INTELL SYST-GER</t>
  </si>
  <si>
    <t>Adv. Intell. Syst.</t>
  </si>
  <si>
    <t>2500255</t>
  </si>
  <si>
    <t>10.1002/aisy.202500255</t>
  </si>
  <si>
    <t>http://dx.doi.org/10.1002/aisy.202500255</t>
  </si>
  <si>
    <t>Automation &amp; Control Systems; Computer Science, Artificial Intelligence; Robotics</t>
  </si>
  <si>
    <t>Automation &amp; Control Systems; Computer Science; Robotics</t>
  </si>
  <si>
    <t>CK2IU</t>
  </si>
  <si>
    <t>40843006</t>
  </si>
  <si>
    <t>WOS:001531939500001</t>
  </si>
  <si>
    <t>Palm, E; Manikantan, A; Mahal, H; Belwadi, SS; Pepin, ME</t>
  </si>
  <si>
    <t>Background: Generative artificial intelligence (AI) tools are increasingly being used as "ambient scribes" to generate drafts for clinical notes from patient encounters. Despite rapid adoption, few studies have systematically evaluated the quality of AI-generated documentation against physician standards using validated frameworks. Objective: This study aimed to compare the quality of large language model (LLM)-generated clinical notes ("Ambient") with physician-authored reference ("Gold") notes across five clinical specialties using the Physician Documentation Quality Instrument (PDQI-9) as a validated framework to assess document quality. Methods: We pooled 97 de-identified audio recordings of outpatient clinical encounters across general medicine, pediatrics, obstetrics/gynecology, orthopedics, and adult cardiology. For each encounter, clinical notes were generated using both LLM-optimized "Ambient" and blinded physician-drafted "Gold" notes, based solely on audio recording and corresponding transcripts. Two blinded specialty reviewers independently evaluated each note using the modified PDQI-9, which includes 11 criteria rated on a Likert-scale, along with binary hallucination detection. Interrater reliability was assessed using within-group interrater agreement coefficient (RWG) statistics. Paired comparisons were performed using t-tests or Mann-Whitney tests. Results: Paired analysis of 97 clinical encounters yielded 194 notes (2 per encounter) and 388 paired reviews. Overall, high interrater agreement was observed (RWG &gt; 0.7), with moderate concordance noted in pediatrics and cardiology. Gold notes achieved higher overall quality scores (4.25/5 vs. 4.20/5, p = 0.04), as well as superior accuracy (p = 0.05), succinctness (p &lt; 0.001), and internal consistency (p = 0.004) compared to ambient notes. In contrast, ambient notes scored higher in thoroughness (p &lt; 0.001) and organization (p = 0.03). Hallucinations were detected in 20% of gold notes and 31% of ambient notes (p = 0.01). Despite these limitations, reviewers overall preferred ambient notes (47% vs. 39% for gold). Conclusion: LLM-generated Ambient notes demonstrated quality comparable to physician-authored notes across multiple specialties. While Ambient notes were more thorough and better organized, they were also less succinct and more prone to hallucination. The PDQI-9 provides a validated, practical framework for evaluating AI-generated clinical documentation. This quality assessment methodology can inform iterative quality optimization and support the standardization of ambient AI scribes in clinical practice.</t>
  </si>
  <si>
    <t>Palm, Erin; Manikantan, Astrit; Mahal, Herprit; Belwadi, Srikanth Subramanya; Pepin, Mark E.</t>
  </si>
  <si>
    <t>Pepin, ME (corresponding author), Suki AI, Redwood City, CA 94063 USA.; Pepin, ME (corresponding author), Stanford Univ, Sch Med, Stanford Cardiovasc Inst, Stanford, CA 94305 USA.</t>
  </si>
  <si>
    <t>pepinme@gmail.com</t>
  </si>
  <si>
    <t>Suki AI</t>
  </si>
  <si>
    <t>The author(s) declare that financial support was received for the research and/or publication of this article. Publication fees for this work were funded in part by Suki AI. The funder was not involved in the study design, collection, analysis, interpretation of data, the writing of this article, or the decision to submit it for publication.</t>
  </si>
  <si>
    <t>[Palm, Erin; Manikantan, Astrit; Mahal, Herprit; Belwadi, Srikanth Subramanya; Pepin, Mark E.] Suki AI, Redwood City, CA 94063 USA; [Palm, Erin] Santa Clara Valley Med Ctr, San Jose, CA USA; [Palm, Erin] Stanford Univ, Dept Surg, Div Gen Surg, Sch Med, Stanford, CA USA; [Mahal, Herprit] Hippocrat AI, Palo Alto, CA USA; [Mahal, Herprit] Permanente Med Grp Inc, Oakland, CA USA; [Pepin, Mark E.] Stanford Univ, Sch Med, Stanford Cardiovasc Inst, Stanford, CA 94305 USA</t>
  </si>
  <si>
    <t>Santa Clara Valley Medical Center; Stanford University; Stanford Medicine; Permanente Medical Groups; Stanford University; Stanford Medicine</t>
  </si>
  <si>
    <t>Assessing the quality of AI-generated clinical notes: validated evaluation of a large language model ambient scribe</t>
  </si>
  <si>
    <t>large language models; artificial intelligence; medical scribe; clinical quality improvement; dictation accuracy</t>
  </si>
  <si>
    <t>PHYSICIAN; INSTRUMENT; FRAMEWORK; TIME</t>
  </si>
  <si>
    <t>Pepin, Mark/AAI-1950-2019</t>
  </si>
  <si>
    <t>Pepin, Mark/0000-0003-0114-560X</t>
  </si>
  <si>
    <t>OCT 22 2025</t>
  </si>
  <si>
    <t>1691499</t>
  </si>
  <si>
    <t>10.3389/frai.2025.1691499</t>
  </si>
  <si>
    <t>http://dx.doi.org/10.3389/frai.2025.1691499</t>
  </si>
  <si>
    <t>9KP3R</t>
  </si>
  <si>
    <t>41199808</t>
  </si>
  <si>
    <t>WOS:001608594900001</t>
  </si>
  <si>
    <t>Wysocka, M; Wysocki, O; Delmas, M; Mutel, V; Freitas, A</t>
  </si>
  <si>
    <t>Objective: The paper introduces a framework for the evaluation of the encoding of factual scientific knowledge, designed to streamline the manual evaluation process typically conducted by domain experts. Inferring over and extracting information from Large Language Models (LLMs) trained on a large corpus of scientific literature can potentially define a step change in biomedical discovery, reducing the barriers for accessing and integrating existing medical evidence. This work explores the potential of LLMs for dialoguing with biomedical background knowledge, using the context of antibiotic discovery. Methods: The framework involves three evaluation steps, each assessing different aspects sequentially: fluency, prompt alignment, semantic coherence, factual knowledge, and specificity of the generated responses. By splitting these tasks between non-experts and experts, the framework reduces the effort required from the latter. The work provides a systematic assessment on the ability of eleven state-of-the-art LLMs, including ChatGPT, GPT-4 and Llama 2, in two prompting-based tasks: chemical compound definition generation and chemical compound-fungus relation determination. Results: Although recent models have improved in fluency, factual accuracy is still low and models are biased towards over-represented entities. The ability of LLMs to serve as biomedical knowledge bases is questioned, and the need for additional systematic evaluation frameworks is highlighted. Conclusion: While LLMs are currently not fit for purpose to be used as biomedical factual knowledge bases in a zero-shot setting, there is a promising emerging property in the direction of factuality as the models become domain specialised, scale up in size and level of human feedback.</t>
  </si>
  <si>
    <t>Wysocka, Magdalena; Wysocki, Oskar; Delmas, Maxime; Mutel, Vincent; Freitas, Andre</t>
  </si>
  <si>
    <t>Wysocka, M (corresponding author), Univ Manchester, Wilmslow Rd, Manchester M20 4GJ, England.</t>
  </si>
  <si>
    <t>magdalena.wysocka@cruk.manchester.ac.uk</t>
  </si>
  <si>
    <t>European Union [965397]; IDIAP Research Institute; Ark Foundation</t>
  </si>
  <si>
    <t>European Union (European Union (EU)); IDIAP Research Institute; Ark Foundation</t>
  </si>
  <si>
    <t>Funding This project has received funding from the European Union's Hori-zon 2020 research and innovation programme under grant agreement No 965397. This work was supported by the IDIAP Research Institute and has been done in collaboration with the company Inflamalps SA and is supported by the Ark Foundation. The funding bodies played no role in the design of the study, research, writing and publication of the paper.</t>
  </si>
  <si>
    <t>[Wysocka, Magdalena; Wysocki, Oskar; Freitas, Andre] CRUK Natl Biomarker Ctr, Digital Canc Res, Manchester, England; [Wysocka, Magdalena; Freitas, Andre] Univ Manchester, Dept Comp Sci, Manchester, England; [Wysocki, Oskar; Delmas, Maxime; Freitas, Andre] Idiap Res Inst, Martigny, Switzerland; [Mutel, Vincent] Inflamalps SA, Monthey, Switzerland</t>
  </si>
  <si>
    <t>University of Manchester; Idiap Research Institute, Switzerland</t>
  </si>
  <si>
    <t>Large Language Models, scientific knowledge and factuality: A framework to streamline human expert evaluation</t>
  </si>
  <si>
    <t>Factual knowledge; Large language models; Antibiotic discovery; Retrieval-augmented generation</t>
  </si>
  <si>
    <t>Freitas, Andre/AAT-9885-2020; Delmas, Maxime/HTQ-7185-2023</t>
  </si>
  <si>
    <t>Freitas, Andre/0000-0002-4430-4837; Wysocki, Oskar/0000-0002-7053-4919; Wysocka, Magdalena/0000-0001-9859-7068; Delmas, Maxime/0000-0002-9352-0624</t>
  </si>
  <si>
    <t>90</t>
  </si>
  <si>
    <t>OCT 2024</t>
  </si>
  <si>
    <t>158</t>
  </si>
  <si>
    <t>104724</t>
  </si>
  <si>
    <t>10.1016/j.jbi.2024.104724</t>
  </si>
  <si>
    <t>http://dx.doi.org/10.1016/j.jbi.2024.104724</t>
  </si>
  <si>
    <t>G8G3E</t>
  </si>
  <si>
    <t>39277154</t>
  </si>
  <si>
    <t>WOS:001318952000001</t>
  </si>
  <si>
    <t>hybrid; Green Published</t>
  </si>
  <si>
    <t>Simmons, A; Takkavatakarn, K; McDougal, M; Dilcher, B; Pincavitch, J; Meadows, L; Kauffman, J; Klang, E; Wig, R; Smith, G; Soroush, A; Freeman, R; Apakama, DJ; Charney, AW; Kohli-Seth, R; Nadkarni, GN; Sakhuja, A</t>
  </si>
  <si>
    <t>Background Large language models (LLMs) have shown promise in various professional fields, including medicine and law. However, their performance in highly specialized tasks, such as extracting ICD-10-CM codes from patient notes, remains underexplored. Objective The primary objective was to evaluate and compare the performance of ICD-10-CM code extraction by different LLMs with that of human coder. Methods We evaluated performance of six LLMs (GPT-3.5, GPT-4, Claude 2.1, Claude 3, Gemini Advanced, and Llama 2-70b) in extracting ICD-10-CM codes against human coder. We used deidentified inpatient notes of authentic patient cases from American Health Information Management Association Vlab for this study. We calculated percent agreement and Cohen's kappa values to assess the agreement between LLMs and human coder. We then identified reasons for discrepancies in code extraction by LLMs in a 10% random subset. Results Among 50 inpatient notes, human coder extracted 165 unique ICD-10-CM codes. LLMs extracted significantly higher number of unique ICD-10-CM codes than human coder, with Llama 2-70b extracting most (658) and Gemini Advanced the least (221). GPT-4 achieved highest percent agreement with human coder at 15.2%, followed by Claude 3 (12.7%) and GPT-3.5 (12.4%). Cohen's kappa values indicated minimal to no agreement, ranging from -0.02 to 0.01. When focusing on primary diagnosis, Claude 3 achieved highest percent agreement (26%) and kappa value (0.25). Reasons for discrepancies in extraction of codes varied among LLMs and included extraction of codes for diagnoses not confirmed by providers (60% with GPT-4), extraction of nonspecific codes (25% with GPT-3.5), extraction of codes for signs and symptoms despite presence of more specific diagnosis (22% with Claude 2.1), and hallucinations (35% with Claude 2.1). Conclusion Current LLMs have poor performance in extraction of ICD-10-CM codes from inpatient notes when compared against the human coder.</t>
  </si>
  <si>
    <t>Simmons, Ashley; Takkavatakarn, Kullaya; McDougal, Megan; Dilcher, Brian; Pincavitch, Jami; Meadows, Lukas; Kauffman, Justin; Klang, Eyal; Wig, Rebecca; Smith, Gordon; Soroush, Ali; Freeman, Robert; Apakama, Donald J.; Charney, Alexander W.; Kohli-Seth, Roopa; Nadkarni, Girish N.; Sakhuja, Ankit</t>
  </si>
  <si>
    <t>Sakhuja, A (corresponding author), Icahn Sch Med Mt Sinai, Dept Med, Div Data Driven &amp; Digital Med, New York, NY 10029 USA.</t>
  </si>
  <si>
    <t>ankit.sakhuja@mssm.edu</t>
  </si>
  <si>
    <t>U.S. Department of Health and Human Services, National Institutes of Health, National Institute of Diabetes and Digestive and Kidney Diseases NIH/NIDDK grant [K08DK131286]</t>
  </si>
  <si>
    <t>U.S. Department of Health and Human Services, National Institutes of Health, National Institute of Diabetes and Digestive and Kidney Diseases NIH/NIDDK grant</t>
  </si>
  <si>
    <t>This study was funded by the U.S. Department of Health and Human Services, National Institutes of Health, National Institute of Diabetes and Digestive and Kidney Diseases NIH/NIDDK grant (grant no.: K08DK131286).</t>
  </si>
  <si>
    <t>[Simmons, Ashley; McDougal, Megan] West Virginia Univ, Dept Human Performance Hlth Informat &amp; Informat Ma, Morgantown, WV USA; [Takkavatakarn, Kullaya; Nadkarni, Girish N.] Icahn Sch Med Mt Sinai, Dept Med, Div Nephrol, New York, NY USA; [Takkavatakarn, Kullaya] Chulalongkorn Univ, King Chulalongkorn Mem Hosp, Dept Med, Div Nephrol, Bangkok, Thailand; [Dilcher, Brian] West Virginia Univ, Dept Emergency Med, Morgantown, WV USA; [Pincavitch, Jami] West Virginia Univ, Dept Orthoped, Morgantown, WV USA; [Meadows, Lukas] Emory Univ, Dept Radiol &amp; Imaging Sci, Atlanta, GA USA; [Kauffman, Justin; Klang, Eyal; Soroush, Ali; Nadkarni, Girish N.; Sakhuja, Ankit] Icahn Sch Med Mt Sinai, Dept Med, Div Data Driven &amp; Digital Med, New York, NY 10029 USA; [Kauffman, Justin; Klang, Eyal; Soroush, Ali; Freeman, Robert; Nadkarni, Girish N.; Sakhuja, Ankit] Icahn Sch Med Mt Sinai, Charles Bronfman Inst Personalized Med, New York, NY USA; [Wig, Rebecca] Univ Arizona, Dept Med, Tucson, AZ USA; [Smith, Gordon] West Virginia Univ, Dept Epidemiol &amp; Biostat, Morgantown, WV USA; [Soroush, Ali] Icahn Sch Med Mt Sinai, Dept Med, Div Gastroenterol, New York, NY USA; [Apakama, Donald J.] Icahn Sch Med Mt Sinai, Dept Emergency Med, New York, NY USA; [Charney, Alexander W.] Icahn Sch Med Mt Sinai, Dept Psychiat, New York, NY USA; [Charney, Alexander W.] Icahn Sch Med Mt Sinai, Dept Genet &amp; Genom Sci, New York, NY USA; [Charney, Alexander W.] Icahn Sch Med Mt Sinai, Dept Neurosci, New York, NY USA; [Charney, Alexander W.] Icahn Sch Med Mt Sinai, Dept Neurosurg, New York, NY USA; [Kohli-Seth, Roopa; Sakhuja, Ankit] Icahn Sch Med Mt Sinai, Inst Crit Care Med, New York, NY USA</t>
  </si>
  <si>
    <t>West Virginia University; Icahn School of Medicine at Mount Sinai; Chulalongkorn University; West Virginia University; West Virginia University; Emory University; Icahn School of Medicine at Mount Sinai; Icahn School of Medicine at Mount Sinai; University of Arizona; University of Arizona Health Sciences; West Virginia University; Icahn School of Medicine at Mount Sinai; Icahn School of Medicine at Mount Sinai; Icahn School of Medicine at Mount Sinai; Icahn School of Medicine at Mount Sinai; Icahn School of Medicine at Mount Sinai; Icahn School of Medicine at Mount Sinai; Icahn School of Medicine at Mount Sinai</t>
  </si>
  <si>
    <t>Extracting International Classification of Diseases Codes from Clinical Documentation Using Large Language Models</t>
  </si>
  <si>
    <t>APPLIED CLINICAL INFORMATICS</t>
  </si>
  <si>
    <t>ICD-10; artificial intelligence; billing; human-computer interaction; billing systems</t>
  </si>
  <si>
    <t>Simmons, Ashley/NUQ-1664-2025; Smith, Gordon/NFS-7070-2025; Soroush, Ali/ABG-5994-2021; mirzaei, hamed/X-2374-2018; McDougal, Megan/MSX-6121-2025; Pincavitch, Jami/LZH-2246-2025</t>
  </si>
  <si>
    <t>Dilcher, Brian/0000-0002-9171-7597; Smith, Gordon/0000-0002-2911-3071; Freeman, Robert/0000-0003-4946-6533; Takkavatakarn, Kullaya/0000-0002-6236-8893; Klang, Eyal/0000-0002-4567-3108</t>
  </si>
  <si>
    <t>1869-0327</t>
  </si>
  <si>
    <t>APPL CLIN INFORM</t>
  </si>
  <si>
    <t>Appl. Clin. Inform.</t>
  </si>
  <si>
    <t>02</t>
  </si>
  <si>
    <t>337</t>
  </si>
  <si>
    <t>344</t>
  </si>
  <si>
    <t>10.1055/a-2491-3872</t>
  </si>
  <si>
    <t>http://dx.doi.org/10.1055/a-2491-3872</t>
  </si>
  <si>
    <t>1MV7Q</t>
  </si>
  <si>
    <t>39608761</t>
  </si>
  <si>
    <t>WOS:001468776700002</t>
  </si>
  <si>
    <t>Liu, YS; Carrero, ZI; Jiang, XF; Ferber, D; Wölflein, G; Zhang, L; Jayabalan, S; Lenz, T; Hui, ZG; Kather, JN</t>
  </si>
  <si>
    <t>Agentic artificial intelligence (AI) systems, designed to autonomously reason, plan, and invoke tools, have shown promise in healthcare, yet systematic benchmarking of their real-world performance remains limited. In this study, we evaluate two such systems: the open-source OpenManus, built on Meta's Llama-4 and extended with medically customized agents; and Manus, a proprietary agent system employing a multistep planner-executor-verifier architecture. Both systems were assessed across three benchmark families: AgentClinic, a stepwise dialog-based diagnostic simulation; MedAgentsBench, a knowledge-intensive medical QA dataset; and Humanity's Last Exam (HLE), a suite of challenging text-only and multimodal questions. Despite access to advanced tools (e.g., web browsing, code development and execution, and text file editing) agent systems yielded only modest accuracy gains over baseline LLMs, reaching 60.3% and 28.0% in AgentClinic MedQA and MIMIC, 30.3% on MedAgentsBench, and 8.6% on HLE text. Multimodal accuracy remained low (15.5% on multimodal HLE, 29.2% on AgentClinic NEJM), while resource demands increased substantially, with &gt;10 &amp; times; token usage and &gt;2 &amp; times; latency. Although 89.9% of hallucinations were filtered by in-agent safeguards, hallucinations remained prevalent. These findings reveal that current agentic designs offer modest performance benefits at significant computational and workflow cost, underscoring the need for more accurate, efficient, and clinically viable agent systems.</t>
  </si>
  <si>
    <t>Liu, Yunsong; Carrero, Zunamys I.; Jiang, Xiaofeng; Ferber, Dyke; Wolflein, Georg; Zhang, Li; Jayabalan, Sanddhya; Lenz, Tim; Hui, Zhouguang; Kather, Jakob Nikolas</t>
  </si>
  <si>
    <t>Kather, JN (corresponding author), TUD Dresden Univ Technol, Fac Med, Else Kroener Fresenius Ctr Digital Hlth, Dresden, Germany.; Kather, JN (corresponding author), TUD Dresden Univ Technol, Univ Hosp Carl Gustav Carus, Dresden, Germany.; Kather, JN (corresponding author), Univ Hosp Heidelberg, Natl Ctr Tumor Dis NCT, Med Oncol, Heidelberg, Germany.; Hui, ZG (corresponding author), Chinese Acad Med Sci &amp; Peking Union Med Coll, Natl Clin Res Ctr Canc, Natl Canc Ctr, Dept VIP Med Serv,Canc Hosp, Beijing, Peoples R China.; Kather, JN (corresponding author), TUD Dresden Univ Technol, Fac Med, Dept Med 1, Dresden, Germany.; Kather, JN (corresponding author), Univ Leeds, Leeds Inst Med Res St Jamess, Pathol &amp; Data Analyt, Leeds, England.</t>
  </si>
  <si>
    <t>kather.jn@tu-dresden.de; drhuizg@163.com</t>
  </si>
  <si>
    <t>European Union's Horizon Europe research and innovation programme [ODELIA, 101057091; GENIAL, 101096312]; National Institute for Health and Care Research (NIHR) Leeds Biomedical Research Centre [NIHR203331]; Breast Cancer Research Foundation [BELLADONNA, BCRF-25-225]; German Research Foundation DFG [TRR 412/1, 535081457; SFB 1709/1 2025, 533056198]; European Research Council [ERC; NADIR, 101114631]; German Federal Joint Committee [TransplantKI, 01VSF21048]; German Academic Exchange Service [SECAI, 57616814]; German Cancer Aid [DECADE, 70115166]; German Federal Ministry of Research, Technology and Space BMFTR [PEARL, 01KD2104C; CAMINO, 01EO2101; TRANSFORM LIVER, 031L0312A; TANGERINE, 01KT2302 through ERA-NET Transcan; Come2Data, 16DKZ2044A; DEEP-HCC, 031L0315A; DECIPHER-M, 01KD2420A; NextBIG, 01ZU2402A]</t>
  </si>
  <si>
    <t>European Union's Horizon Europe research and innovation programme; National Institute for Health and Care Research (NIHR) Leeds Biomedical Research Centre; Breast Cancer Research Foundation (Breast Cancer Research Foundation); German Research Foundation DFG (German Research Foundation (DFG)); European Research Council (European Research Council (ERC)); German Federal Joint Committee; German Academic Exchange Service (Deutscher Akademischer Austausch Dienst (DAAD)); German Cancer Aid (Deutsche Krebshilfe); German Federal Ministry of Research, Technology and Space BMFTR</t>
  </si>
  <si>
    <t>[Liu, Yunsong] Chinese Acad Med Sci &amp; Peking Union Med Coll, Natl Canc Ctr, Natl Clin Res Ctr Canc, Dept Radiat Oncol,Canc Hosp, Beijing, Peoples R China; [Liu, Yunsong; Carrero, Zunamys I.; Jiang, Xiaofeng; Wolflein, Georg; Zhang, Li; Jayabalan, Sanddhya; Lenz, Tim; Kather, Jakob Nikolas] TUD Dresden Univ Technol, Fac Med, Else Kroener Fresenius Ctr Digital Hlth, Dresden, Germany; [Liu, Yunsong; Carrero, Zunamys I.; Jiang, Xiaofeng; Wolflein, Georg; Zhang, Li; Jayabalan, Sanddhya; Lenz, Tim; Kather, Jakob Nikolas] TUD Dresden Univ Technol, Univ Hosp Carl Gustav Carus, Dresden, Germany; [Jiang, Xiaofeng] Univ Elect Sci &amp; Technol China UESTC, Sichuan Canc Hosp &amp; Inst, Sichuan Canc Ctr, Dept Thorac Surg,Sichuan Clin Res Ctr Canc, Chengdu, Peoples R China; [Ferber, Dyke; Kather, Jakob Nikolas] Univ Hosp Heidelberg, Natl Ctr Tumor Dis NCT, Med Oncol, Heidelberg, Germany; [Wolflein, Georg] Univ St Andrews, Sch Comp Sci, St Andrews, Scotland; [Hui, Zhouguang] Chinese Acad Med Sci &amp; Peking Union Med Coll, Natl Clin Res Ctr Canc, Natl Canc Ctr, Dept VIP Med Serv,Canc Hosp, Beijing, Peoples R China; [Kather, Jakob Nikolas] TUD Dresden Univ Technol, Fac Med, Dept Med 1, Dresden, Germany; [Kather, Jakob Nikolas] Univ Leeds, Leeds Inst Med Res St Jamess, Pathol &amp; Data Analyt, Leeds, England</t>
  </si>
  <si>
    <t>Chinese Academy of Medical Sciences - Peking Union Medical College; Cancer Institute &amp; Hospital - CAMS; Peking Union Medical College; Technische Universitat Dresden; Technische Universitat Dresden; Carl Gustav Carus University Hospital; University of Electronic Science &amp; Technology of China; Ruprecht Karls University Heidelberg; Helmholtz Association; National Center for Tumor Diseases; German Cancer Research Center (DKFZ); University of St Andrews; Chinese Academy of Medical Sciences - Peking Union Medical College; Cancer Institute &amp; Hospital - CAMS; Peking Union Medical College; Technische Universitat Dresden; University of Leeds</t>
  </si>
  <si>
    <t>Benchmarking large language model-based agent systems for clinical decision tasks</t>
  </si>
  <si>
    <t>Kather, Jakob Nikolas/D-4279-2015</t>
  </si>
  <si>
    <t>Carrero, Zunamys/0000-0001-8501-1566; Kather, Jakob Nikolas/0000-0002-3730-5348; Wölflein, Georg/0000-0002-0407-7617</t>
  </si>
  <si>
    <t>FEB 18 2026</t>
  </si>
  <si>
    <t>259</t>
  </si>
  <si>
    <t>10.1038/s41746-026-02443-6</t>
  </si>
  <si>
    <t>http://dx.doi.org/10.1038/s41746-026-02443-6</t>
  </si>
  <si>
    <t>FU2XI</t>
  </si>
  <si>
    <t>41708802</t>
  </si>
  <si>
    <t>WOS:001727552300001</t>
  </si>
  <si>
    <t>Niel, O; Dookhun, D; Caliment, A</t>
  </si>
  <si>
    <t>BackgroundLarge language models (LLMs) have emerged as potential tools in health care following advancements in artificial intelligence. Despite promising applications across multiple medical specialties, limited research exists regarding LLM implementation in pediatric nephrology. This study evaluates the performance of contemporary LLMs in supporting clinical decision-making processes for practicing pediatric nephrologists.MethodsTen comprehensive clinical cases covering various aspects of pediatric nephrology were designed and validated by experts based on international guidelines. Each case comprised questions addressing diagnosis, biological/imaging explorations, treatments, and logic. Ten LLMs were assessed, including generalist models (Claude, ChatGPT, Gemini, DeepSeek, Mistral, Copilot, Perplexity, Phi 4) and a specialized model (Phi 4 Nomic) fine-tuned using retrieval-augmented generation with validated pediatric nephrology materials. Performance was evaluated based on accuracy, personalization, internal contradictions, hallucinations, and potentially dangerous decisions.ResultsOverall accuracy ranged from 50.8% (Gemini) to 86.9% (Claude), with a mean of 66.24%. Claude significantly outperformed other models (p = 0.01). Personalization scores varied between 50% (ChatGPT) and 85% (Claude). All models exhibited hallucinations (2-8 occurrences) and potentially life-threatening decisions (0-2 occurrences). Domain-specific fine-tuning improved performance across all clinical criteria without enhancing reasoning capabilities. Performance variability was minimal, with higher performing models demonstrating greater consistency.ConclusionsWhile certain LLMs demonstrate promising accuracy in pediatric nephrology applications, persistent challenges including hallucinations and potentially dangerous recommendations preclude autonomous clinical implementation. LLMs may currently serve supportive roles in repetitive tasks, but they should be used under strict supervision in clinical practice. Future advancements addressing hallucination mitigation and interpretability are necessary before broader clinical integration.Graphical abstractA higher resolution version of the Graphical abstract is available as Supplementary information</t>
  </si>
  <si>
    <t>Niel, Olivier; Dookhun, Dishana; Caliment, Ancuta</t>
  </si>
  <si>
    <t>Niel, O (corresponding author), Ctr Hosp Luxembourg, Pediat Nephrol Unit, 4 Rue Barble, L-1210 Luxembourg, Luxembourg.</t>
  </si>
  <si>
    <t>niel.olivier@chl.lu</t>
  </si>
  <si>
    <t>[Niel, Olivier; Caliment, Ancuta] Ctr Hosp Luxembourg, Pediat Nephrol Unit, 4 Rue Barble, L-1210 Luxembourg, Luxembourg; [Dookhun, Dishana] Ctr Hosp Luxembourg, Pediat Dept, 4 Rue Barble, L-1210 Luxembourg, Luxembourg</t>
  </si>
  <si>
    <t>Luxembourg Hospital Center; Luxembourg Hospital Center</t>
  </si>
  <si>
    <t>Performance evaluation of large language models in pediatric nephrology clinical decision support: a comprehensive assessment</t>
  </si>
  <si>
    <t>PEDIATRIC NEPHROLOGY</t>
  </si>
  <si>
    <t>Large language model; ChatGPT; Artificial intelligence; Machine learning; Pediatrics; Nephrology</t>
  </si>
  <si>
    <t>CONSENSUS; OUTCOMES; CHILDREN</t>
  </si>
  <si>
    <t>0931-041X</t>
  </si>
  <si>
    <t>1432-198X</t>
  </si>
  <si>
    <t>PEDIATR NEPHROL</t>
  </si>
  <si>
    <t>Pediatr. Nephrol.</t>
  </si>
  <si>
    <t>3211</t>
  </si>
  <si>
    <t>3218</t>
  </si>
  <si>
    <t>10.1007/s00467-025-06819-w</t>
  </si>
  <si>
    <t>http://dx.doi.org/10.1007/s00467-025-06819-w</t>
  </si>
  <si>
    <t>Pediatrics; Urology &amp; Nephrology</t>
  </si>
  <si>
    <t>6TM8U</t>
  </si>
  <si>
    <t>40461786</t>
  </si>
  <si>
    <t>WOS:001501518600001</t>
  </si>
  <si>
    <t>McCarthy, CJ; Ramalingam, V; Barash, Y; Chadalavada, S; Wu, X; Kutsenko, O; Raskin, D; Sorin, V; Sarwar, A</t>
  </si>
  <si>
    <t>Rationale and Objectives: To evaluate whether large language models (LLMs) can generate accurate, clinically valid, and usable letters to appeal insurance denials for radiology procedures. Materials and Methods: This pilot study generated insurance appeal letters for a simulated clinical scenario. Four LLMs (Claude 3.5, Nova Pro, Llama-3.1-70B, ChatGPT-4o) were used with zero-shot, few-shot, and retrieval-augmented generation (RAG) techniques. Four board-certified interventional radiologists, blinded to model and technique, scored letters for content (accuracy, personalization, references), grammar and structure (readability, tone, persuasiveness), and usability (estimated editing time, usefulness as a template). References were verified for accuracy, and outputs were carefully examined for hallucinations. Statistical analyses included ANOVA, Chi-square, and Fleiss' Kappa for interrater reliability. Results: Mean content and grammar scores were 3.9 +/- 0.95 and 4.3 +/- 0.9 (out of 5), with no significant differences by model or technique (p &gt; .05). Reviewer agreement was poor (Fleiss' Kappa-0.18 for content, -0.085 for grammar). Hallucinations were flagged by reviewers in 16/48 assessments, significantly more often with the online model (ChatGPT-4o: 58% vs offline 25%; p =.03). Of 44 references, 80% from the offline models were fabricated compared with 29% from ChatGPT-4o (p &lt; .001). Estimated editing time was less than 10 min in 71% of responses, and the reviewers felt the letters would be useful as templates in 73% of cases. Conclusion: LLM-generated appeal letters for insurance denials were generally well received, with high usability and adequate quality. However, fabricated references and hallucinations remain prevalent, necessitating careful human review before clinical use.</t>
  </si>
  <si>
    <t>McCarthy, Colin J.; Ramalingam, Vijay; Barash, Yiftach; Chadalavada, Seetharam; Wu, Xiao; Kutsenko, Oleksandra; Raskin, Daniel; Sorin, Vera; Sarwar, Ammar</t>
  </si>
  <si>
    <t>McCarthy, CJ (corresponding author), Harvard Med Sch, Beth Israel Deaconess Med Ctr, Boston, MA 02215 USA.</t>
  </si>
  <si>
    <t>cmccarthy26@mgb.org</t>
  </si>
  <si>
    <t>[McCarthy, Colin J.; Ramalingam, Vijay; Barash, Yiftach; Sarwar, Ammar] Harvard Med Sch, Beth Israel Deaconess Med Ctr, Boston, MA 02215 USA; [Chadalavada, Seetharam] Univ Cincinnati, Med Ctr, Dept Radiol, Cincinnati, OH USA; [Wu, Xiao] Univ Calif San Francisco, Dept Radiol &amp; Biomed Imaging, San Francisco, CA USA; [Kutsenko, Oleksandra] Red Rock Radiol Associates, Las Vegas, NV USA; [Raskin, Daniel] Cleveland Clin, Dept Intervent Radiol, Cleveland, OH USA; [Sorin, Vera] Mayo Clin, Dept Radiol, Rochester, MN USA</t>
  </si>
  <si>
    <t>Harvard University; Harvard Medical School; Harvard University Medical Affiliates; Beth Israel Deaconess Medical Center; University System of Ohio; University of Cincinnati; University of California System; University of California San Francisco; Cleveland Clinic Foundation; Mayo Clinic</t>
  </si>
  <si>
    <t>Decreasing Administrative Effort Related to Non-Approval of Image-guidED Procedures Using Large Language Models - The DENIED-AI Pilot Study</t>
  </si>
  <si>
    <t>ACADEMIC RADIOLOGY</t>
  </si>
  <si>
    <t>Large language models; Artificial intelligence; Insurance denial; Interventional radiology; Administrative burden</t>
  </si>
  <si>
    <t>AUTHORIZATION</t>
  </si>
  <si>
    <t>Raskin, Daniel/OGN-2126-2025; Sarwar, Ammar/AAA-6122-2022; Barash, Yiftach/MCK-5975-2025</t>
  </si>
  <si>
    <t>101 Park Avenue, 24th Floor, NEW YORK, NY, UNITED STATES</t>
  </si>
  <si>
    <t>1076-6332</t>
  </si>
  <si>
    <t>1878-4046</t>
  </si>
  <si>
    <t>ACAD RADIOL</t>
  </si>
  <si>
    <t>Acad. Radiol.</t>
  </si>
  <si>
    <t>AUG 2026</t>
  </si>
  <si>
    <t>3221</t>
  </si>
  <si>
    <t>3231</t>
  </si>
  <si>
    <t>10.1016/j.acra.2026.04.021</t>
  </si>
  <si>
    <t>http://dx.doi.org/10.1016/j.acra.2026.04.021</t>
  </si>
  <si>
    <t>LW4PW</t>
  </si>
  <si>
    <t>42097968</t>
  </si>
  <si>
    <t>WOS:001834858800001</t>
  </si>
  <si>
    <t>Sha, YY; Pan, HX; Luo, G; Shi, CJ; Chen, W; Wang, J; Li, KF</t>
  </si>
  <si>
    <t>Background: Major depressive disorder (MDD) is a leading cause of global disability and poses a substantial public health burden. However, current diagnostic approaches largely rely on subjective assessments and lack the ability to integrate heterogeneous clinical and sociodemographic information. Recent advances in large language models (LLMs) offer new opportunities to support MDD diagnosis through reasoning over complex data, yet their clinical applicability is constrained by challenges related to interpretability, hallucinations, and reliance on synthetic data. Methods: We propose MDD-Thinker, an LLM-based diagnostic system that integrates supervised fine-tuning (SFT) and reinforcement learning (RL) to enhance reasoning and interpretability under the evaluated conditions. Using the UK Biobank dataset, we constructed 40,000 structured reasoning samples and incorporated an additional 10,000 records from publicly available mental health datasets. MDD-Thinker was trained on these heterogeneous textual data and evaluated against conventional machine learning models, deep learning methods, and representative LLM baselines in terms of diagnostic performance and interpretability. Results: MDD-Thinker achieved high performance in MDD diagnosis, with an accuracy of 0.8268 and an F1-score of 0.8081, showing better performance than conventional machine learning models, deep learning approaches, and representative LLM baselines on the evaluated dataset. Beyond predictive accuracy, it consistently produced structured reasoning paths that were clinically coherent, enabling transparent interpretation of diagnostic decisions in the evaluated experiments. The integration of SFT and RL contributed to notable improvements in both diagnostic reliability and reasoning quality. Conclusion: MDD-Thinker demonstrates the potential of reasoning-enhanced LLMs for large-scale MDD diagnosis under the evaluated settings. By jointly optimizing accuracy, interpretability, and efficiency, the proposed system provides a scalable and explainable approach for intelligent psychiatric assessment within the scope of the study, highlighting the potential of reasoning-oriented LLMs in mental health care.</t>
  </si>
  <si>
    <t>Sha, Yuyang; Pan, Hongxin; Luo, Gang; Shi, Caijuan; Chen, Wei; Wang, Jing; Li, Kefeng</t>
  </si>
  <si>
    <t>Sha, YY; Li, KF (corresponding author), Macao Polytech Univ, Fac Appl Sci, Ctr Artificial Intelligence Driven Drug Discovery, Macau 999708, Peoples R China.; Wang, J (corresponding author), Qingdao Univ, Yantai Yuhuangding Hosp, Dept Crit Care Med, Yantai 264000, Shandong, Peoples R China.</t>
  </si>
  <si>
    <t>jinga@qdu.edu.cn; kefengl@mpu.edu.mo; p2215539@mpu.edu.mo</t>
  </si>
  <si>
    <t>Macao Polytechnic University [RP/FCA-14/2023]; Science and Technology Development Funds (FDCT) of Macao [0033/2023/RIB2]; Macau Science and Technology Development Fund; Department of Science and Technology of Guangdong Province [FDCT-GDST, 0009/2024/AGJ]</t>
  </si>
  <si>
    <t>Macao Polytechnic University; Science and Technology Development Funds (FDCT) of Macao; Macau Science and Technology Development Fund; Department of Science and Technology of Guangdong Province</t>
  </si>
  <si>
    <t>This work was supported by the grants from Macao Polytechnic University (RP/FCA-14/2023) , The Science and Technology Development Funds (FDCT) of Macao (0033/2023/RIB2) , and Macau Science and Technology Development Fund and the Department of Science and Technology of Guangdong Province (FDCT-GDST, 0009/2024/AGJ) . The funders have no role in data collection and analysis.</t>
  </si>
  <si>
    <t>[Sha, Yuyang; Pan, Hongxin; Luo, Gang; Li, Kefeng] Macao Polytech Univ, Fac Appl Sci, Ctr Artificial Intelligence Driven Drug Discovery, Macau 999708, Peoples R China; [Shi, Caijuan] North China Univ Sci &amp; Technol, Coll Artificial Intelligence, Tangshan 063210, Hebei, Peoples R China; [Chen, Wei] Wenzhou Med Univ, Eye Hosp, Natl Clin Res Ctr Ocular Dis, Wenzhou 325000, Zhejiang, Peoples R China; [Chen, Wei] Wenzhou Med Univ, Eye Hosp, State Key Lab Ophthalmol Optometry &amp; Vis Sci, Wenzhou 325000, Zhejiang, Peoples R China; [Wang, Jing] Qingdao Univ, Yantai Yuhuangding Hosp, Dept Crit Care Med, Yantai 264000, Shandong, Peoples R China</t>
  </si>
  <si>
    <t>Macao Polytechnic University; North China University of Science &amp; Technology; Wenzhou Medical University; Wenzhou Medical University; Qingdao University</t>
  </si>
  <si>
    <t>MDD-thinker: A reasoning-enhanced large language model for diagnosis of major depressive disorder</t>
  </si>
  <si>
    <t>JOURNAL OF AFFECTIVE DISORDERS</t>
  </si>
  <si>
    <t>Major depressive disorder; Large language models; Reasoning ability; Reinforcement learning; Supervised fine-tuning; Medical data process</t>
  </si>
  <si>
    <t>Li, Kefeng/U-9431-2018</t>
  </si>
  <si>
    <t>0165-0327</t>
  </si>
  <si>
    <t>1573-2517</t>
  </si>
  <si>
    <t>J AFFECT DISORDERS</t>
  </si>
  <si>
    <t>J. Affect. Disord.</t>
  </si>
  <si>
    <t>JUN 15 2026</t>
  </si>
  <si>
    <t>403</t>
  </si>
  <si>
    <t>121405</t>
  </si>
  <si>
    <t>10.1016/j.jad.2026.121405</t>
  </si>
  <si>
    <t>http://dx.doi.org/10.1016/j.jad.2026.121405</t>
  </si>
  <si>
    <t>Clinical Neurology; Psychiatry</t>
  </si>
  <si>
    <t>Neurosciences &amp; Neurology; Psychiatry</t>
  </si>
  <si>
    <t>EC9VU</t>
  </si>
  <si>
    <t>41707724</t>
  </si>
  <si>
    <t>WOS:001698138100001</t>
  </si>
  <si>
    <t>Khader, KA; Hussein, MS; Abu-Issa, AS</t>
  </si>
  <si>
    <t>Large language models (LLMs) are reshaping information access, yet adapting them to morphologically rich and resource-scarce languages such as Arabic remains challenging. This paper presents a practical framework for Arabic-focused LLM development and deployment that integrates parameter-efficient fine-tuning (LoRA), retrieval-augmented generation (RAG), and cloud/on-premises strategies. It also introduces an ethics and observability checklist tailored to Arabic contexts. We empirically evaluate three models-TinyLlama-1.1B, Qwen2.5-7B, and DeepSeek-Qwen-14B-on Arabic medical QA and generation tasks using standard text-quality metrics (BLEU-4, ROUGE-L, and BERTScore), factuality and fluency scores, runtime measures (latency, tokens/s), and resource usage. DeepSeek-Qwen-14B achieves the highest accuracy and consistency across specialties. TinyLlama-1.1B delivers the best throughput and smallest memory footprint for edge or latency-sensitive settings, while Qwen2.5-7B provides a balanced trade-off for mid-scale deployments. RAG reduces hallucinations by approximately 12% on knowledge-intensive queries, whereas LoRA fine-tuning improves task accuracy by about 6-9% relative to RAG alone, albeit with additional training cost. We observe slight quality degradation on very long generations-especially for compact models-and variability across medical subdomains, underscoring the importance of domain coverage and dialectal diversity. Overall, the paper contributes a reproducible evaluation pipeline, model-selection guidance, and an ethical deployment checklist, highlighting hybrid RAG + fine-tuning stacks as a practical path to reliable and efficient Arabic LLMs.</t>
  </si>
  <si>
    <t>Khader, Khalid A.; Hussein, Mohammed S.; Abu-Issa, Abdallatif S.</t>
  </si>
  <si>
    <t>Abu-Issa, AS (corresponding author), Birzeit Univ, Dept Elect &amp; Comp Engn, Birzeit 00972, Palestine.</t>
  </si>
  <si>
    <t>abuissa@birzeit.edu</t>
  </si>
  <si>
    <t>[Khader, Khalid A.; Hussein, Mohammed S.; Abu-Issa, Abdallatif S.] Birzeit Univ, Dept Elect &amp; Comp Engn, Birzeit 00972, Palestine</t>
  </si>
  <si>
    <t>Birzeit University</t>
  </si>
  <si>
    <t>Adapting Large Language Models for Arabic: Comparative Evaluation, Fine-Tuning, and Ethical Deployment</t>
  </si>
  <si>
    <t>IEEE ACCESS</t>
  </si>
  <si>
    <t>Ethics; Retrieval augmented generation; Cloud computing; Costs; Accuracy; Training; Internet; Cultural differences; Adaptation models; Transformers; Generative AI; large language models; Arabic NLP; model deployment; ethical AI; multilingual models; LLaMA; GPT; DeepSeek; Qwen</t>
  </si>
  <si>
    <t>/AAB-7128-2019</t>
  </si>
  <si>
    <t>Khader, Khalid/0000-0003-2138-7657</t>
  </si>
  <si>
    <t>2169-3536</t>
  </si>
  <si>
    <t>IEEE Access</t>
  </si>
  <si>
    <t>182621</t>
  </si>
  <si>
    <t>182632</t>
  </si>
  <si>
    <t>10.1109/ACCESS.2025.3623796</t>
  </si>
  <si>
    <t>http://dx.doi.org/10.1109/ACCESS.2025.3623796</t>
  </si>
  <si>
    <t>Computer Science, Information Systems; Engineering, Electrical &amp; Electronic; Telecommunications</t>
  </si>
  <si>
    <t>Computer Science; Engineering; Telecommunications</t>
  </si>
  <si>
    <t>9FT3S</t>
  </si>
  <si>
    <t>WOS:001605291400005</t>
  </si>
  <si>
    <t>Ge, J; Sun, S; Owens, J; Galvez, V; Gologorskaya, O; Lai, JC; Pletcher, MJ; Lai, K</t>
  </si>
  <si>
    <t>Background:Large language models (LLMs) have significant capabilities in clinical information processing tasks. Commercially available LLMs, however, are not optimized for clinical uses and are prone to generating hallucinatory information. Retrieval-augmented generation (RAG) is an enterprise architecture that allows embedding of customized data into LLMs. This approach "specializes" the LLMs and is thought to reduce hallucinations. Methods:We developed "LiVersa," a liver disease-specific LLM, by using our institution's protected health information (PHI)-complaint text embedding and LLM platform, "Versa." We conducted RAG on 30 publicly available American Association for the Study of Liver Diseases guidance documents to be incorporated into LiVersa. Results:We evaluated LiVersa's performance by conducting two rounds of testing. First, we compared LiVersa's outputs versus those of trainees from a previously published knowledge assessment. LiVersa answered all 10 questions correctly. Second, we asked 15 hepatologists to evaluate the outputs to ten hepatology topic questions generated by LiVersa, OpenAI's ChatGPT 4, and Meta's LLaMA 2. LiVersa's outputs were more accurate but were rated less comprehensive and safe compared to those of ChatGPT 4. Discussion:In this demonstration, we built a disease-specific and PHI-compliant LLMs using RAG. While LiVersa demonstrated higher accuracy in answering questions related to hepatology - there were some deficiencies due to limitations set by the number of documents used for RAG. LiVersa will likely require further refinement before potential live deployment. The LiVersa prototype, however, is a proof of concept for utilizing RAG to customize LLMs for clinical use cases.</t>
  </si>
  <si>
    <t>Ge, Jin; Sun, Steve; Owens, Joseph; Galvez, Victor; Gologorskaya, Oksana; Lai, Jennifer C.; Pletcher, Mark J.; Lai, Ki</t>
  </si>
  <si>
    <t>Ge, J (corresponding author), 513 Parnassus Ave,S-357, San Francisco, CA 94143 USA.</t>
  </si>
  <si>
    <t>oksana.gologorskaya@ucsf.edu; joseph.owens@ucsf.edu; victor.galvez@ucsf.edu; steve.sun@ucsf.edu; ki.lai@ucsf.edu; jennifer.lai@ucsf.edu; jin.ge@ucsf.edu; mark.pletcher@ucsf.edu</t>
  </si>
  <si>
    <t>National Center for Advancing Translational Sciences [KL2TR001870]; UCSF Liver Center Grant [P30DK026743]; National Center for Advancing Translational Sciences [UL1TR001872]; National Institute on Aging [R01AG059183/K24AG080021]</t>
  </si>
  <si>
    <t>National Center for Advancing Translational Sciences (United States Department of Health &amp; Human Services, National Institutes of Health (NIH) - USA, NIH National Center for Advancing Translational Sciences (NCATS)); UCSF Liver Center Grant; National Center for Advancing Translational Sciences (United States Department of Health &amp; Human Services, National Institutes of Health (NIH) - USA, NIH National Center for Advancing Translational Sciences (NCATS)); National Institute on Aging (United States Department of Health &amp; Human Services, National Institutes of Health (NIH) - USA, NIH National Institute on Aging (NIA))</t>
  </si>
  <si>
    <t>The authors of this study were supported in part by the KL2TR001870 (National Center for Advancing Translational Sciences, Ge), P30DK026743 (UCSF Liver Center Grant, Ge and Lai), UL1TR001872 (National Center for Advancing Translational Sciences, Pletcher), and R01AG059183/K24AG080021 (National Institute on Aging, Lai). The content is solely the responsibility of the authors and does not necessarily represent the official views of the National Institutes of Health or any other funding agencies. The funding agencies played no role in the analysis of the data or the preparation of this manuscript.</t>
  </si>
  <si>
    <t>[Ge, Jin; Lai, Jennifer C.] Univ Calif San Francisco, Dept Med, Div Gastroenterol &amp; Hepatol, San Francisco, CA USA; [Sun, Steve; Owens, Joseph; Galvez, Victor; Gologorskaya, Oksana; Lai, Ki] Univ Calif San Francisco, UCSF Hlth Informat Technol, San Francisco, CA USA; [Gologorskaya, Oksana] Univ Calif San Francisco, Bakar Computat Hlth Sci Inst, San Francisco, CA USA; [Pletcher, Mark J.] Univ Calif San Francisco, Dept Epidemiol &amp; Biostat, San Francisco, CA USA; [Ge, Jin] 513 Parnassus Ave,S-357, San Francisco, CA 94143 USA</t>
  </si>
  <si>
    <t>University of California System; University of California San Francisco; University of California System; University of California San Francisco; University of California System; University of California San Francisco; University of California System; University of California San Francisco</t>
  </si>
  <si>
    <t>Development of a liver disease-Specific large language model chat Interface using retrieval augmented generation</t>
  </si>
  <si>
    <t>HEPATOLOGY</t>
  </si>
  <si>
    <t>sun, steve/KWU-0519-2024; /AFQ-9395-2022; Ge, Jin/AAV-9835-2020</t>
  </si>
  <si>
    <t>Pletcher, Mark/0000-0002-6966-1312; Gologorskaya, Oksana/0009-0005-3505-7300; Ge, Jin/0000-0003-1574-1525</t>
  </si>
  <si>
    <t>278</t>
  </si>
  <si>
    <t>0270-9139</t>
  </si>
  <si>
    <t>1527-3350</t>
  </si>
  <si>
    <t>Hepatology</t>
  </si>
  <si>
    <t>NOV 2024</t>
  </si>
  <si>
    <t>1158</t>
  </si>
  <si>
    <t>1168</t>
  </si>
  <si>
    <t>10.1097/HEP.0000000000000834</t>
  </si>
  <si>
    <t>http://dx.doi.org/10.1097/HEP.0000000000000834</t>
  </si>
  <si>
    <t>MAR 2024</t>
  </si>
  <si>
    <t>J3C2E</t>
  </si>
  <si>
    <t>WOS:001198383800001</t>
  </si>
  <si>
    <t>Agaronnik, ND; Davis, J; Sounack, T; Manz, CR; Lindvall, C</t>
  </si>
  <si>
    <t>Background: The American Society of Clinical Oncology (ASCO) convened a multidisciplinary panel in 2017, resulting in patient-oncologist communication guidelines. Ideally, these conversations should be documented in the medical records. However, chart review for communication topics is inefficient. Large language models (LLMs) present a computational method for identification of communication domains in clinical notes, subsequently providing feedback for clinicians. Objectives: The purpose of this study was to develop an approach using LLMs to identify communication domains in unstructured free text notes, validating against gold-standard chart review. Setting/Subjects: The study population included 134 clinical notes from 30 patients with advanced cancer seen in June 2024 at one of seven Dana-Farber Cancer Institute clinics (Boston, MA). We used a HIPAA-secure artificial intelligence tool based on GPT-4o to develop an LLM prompt for identification of communication domains. Measurements: We used standard performance metrics to compare the LLM prompt to chart review for all six communication domains. A hallucination index was calculated to assess false information that may be produced by LLMs when applied to large data sets. Results: Across communication domains, compared to chart review, the note-level LLM analysis achieved sensitivity ranging from 0.43 to 1.0, specificity ranging from 0.32 to 0.99, and accuracy ranging from 0.51 to 0.99. The average hallucination index for all domains was low. LLM abstraction required approximately 7 seconds per note, compared to 5-7 minutes with chart review. Conclusion: LLMs have the potential to identify ASCO communication domains. Future directions include applying the method for quality improvement efforts, such as generating feedback for oncologists on topics that may require follow-up.</t>
  </si>
  <si>
    <t>Agaronnik, Nicole D.; Davis, Joshua; Sounack, Thomas; Manz, Christopher R.; Lindvall, Charlotta</t>
  </si>
  <si>
    <t>Lindvall, C (corresponding author), Dana Farber Canc Inst, Dept Support Oncol, 450 Brookline Ave, Boston, MA 02215 USA.</t>
  </si>
  <si>
    <t>Charlotta_lindvall@dfci.harvard.edu</t>
  </si>
  <si>
    <t>National Institutes on Aging [National Cancer Institute]; National Cancer Institute</t>
  </si>
  <si>
    <t>National Institutes on Aging (United States Department of Health &amp; Human Services, National Institutes of Health (NIH) - USA, NIH National Institute on Aging (NIA)); National Cancer Institute (United States Department of Health &amp; Human Services, National Institutes of Health (NIH) - USA, NIH National Cancer Institute (NCI))</t>
  </si>
  <si>
    <t>C.L. is receiving funding from the National Institutes on Aging and the National Cancer Institute.</t>
  </si>
  <si>
    <t>[Agaronnik, Nicole D.; Manz, Christopher R.; Lindvall, Charlotta] Harvard Med Sch, Boston, MA USA; [Agaronnik, Nicole D.; Davis, Joshua; Sounack, Thomas; Manz, Christopher R.; Lindvall, Charlotta] Dana Farber Canc Inst, Boston, MA USA; [Davis, Joshua] Albany Med Coll, Albany, NY USA; [Manz, Christopher R.; Lindvall, Charlotta] Brigham &amp; Womens Hosp, Boston, MA USA</t>
  </si>
  <si>
    <t>Harvard University; Harvard Medical School; Harvard University; Harvard University Medical Affiliates; Dana-Farber Cancer Institute; Albany Medical College; Harvard University; Harvard University Medical Affiliates; Brigham &amp; Women's Hospital</t>
  </si>
  <si>
    <t>Using Large Language Models to Identify Patient-Oncologist Communication Domains: A Feasibility Study</t>
  </si>
  <si>
    <t>JOURNAL OF PALLIATIVE MEDICINE</t>
  </si>
  <si>
    <t>communication; oncology; goals of care; large language models</t>
  </si>
  <si>
    <t>AMERICAN SOCIETY; HIGH AGREEMENT; LOW KAPPA; HEALTH</t>
  </si>
  <si>
    <t>1096-6218</t>
  </si>
  <si>
    <t>1557-7740</t>
  </si>
  <si>
    <t>J PALLIAT MED</t>
  </si>
  <si>
    <t>J. Palliat. Med.</t>
  </si>
  <si>
    <t>JUL 1 2026</t>
  </si>
  <si>
    <t>887</t>
  </si>
  <si>
    <t>895</t>
  </si>
  <si>
    <t>10.1177/10966218261438105</t>
  </si>
  <si>
    <t>http://dx.doi.org/10.1177/10966218261438105</t>
  </si>
  <si>
    <t>KL8DZ</t>
  </si>
  <si>
    <t>42025446</t>
  </si>
  <si>
    <t>WOS:001748291400001</t>
  </si>
  <si>
    <t>Su, MH; Wang, WC; Hsu, YM; Hou, SY; Chuang, SJ; Chang, SS</t>
  </si>
  <si>
    <t>Background: For clinical nurses, manually entering information into hospital information systems (HISs) remains time-consuming and prone to omissions. Although speech recognition can reduce the need for manual entry, its use in clinical settings has historically been limited by code-switching, medical terminology, and noisy ward environments. Recent advances in customized automatic speech recognition (ASR) and large language models (LLMs) now make speech-based, structured documentation aligned with nursing frameworks such as DART (data, action, response, and teaching) increasingly feasible. Objective: This study developed and evaluated an integrated ASR and LLM system that transforms spoken nursing input into structured DART notes and evaluated its accuracy, usability, and clinical feasibility within HIS workflows. Methods: A code-switching nursing speech corpus from emergency and ward settings was used to fine-tune the Whisper large-v2 model with parameter-efficient adaptation. The LLM generated schema-constrained DART records from ASR transcripts, which were verified by nurses before being uploaded to the corresponding HIS fields. Evaluation included mixed error rate for ASR accuracy, F1-scores, and agreement statistics for DART classification, hallucination assessments based on Results: The fine-tuned ASR model reduced the mixed error rate from 44.79% to 6.67%. DART generation achieved a macroaveraged F1-score of 0.82 (95% CI 0.80-0.84) and met the noninferiority margin relative to human transcripts (delta=-0.04). The hallucination rate was 2.51%. During deployment, the monthly volume of valid nursing notes generated through voluntary use of the ASR system increased from 32,724 to 65,417, where each note represented a single documentation entry generated per patient care episode. Among 120 participating nurses, 91 (75.8%) reported reduced workload and improved completeness. Conclusions: The integrated ASR and LLM system was feasible and showed strong performance, with good acceptance among clinical nurses. It reduced the manual documentation burden, improved record completeness, and demonstrated the value of an ASR- and LLM-supported workflow for nursing documentation.</t>
  </si>
  <si>
    <t>Su, Meng-Han; Wang, Wei-Chun; Hsu, Yi-Min; Hou, Shih-Yen; Chuang, Su-Jung; Chang, Shih-Sheng</t>
  </si>
  <si>
    <t>Wang, WC (corresponding author), China Med Univ, China Med Univ Hosp, Artificial Intelligence &amp; Robot Innovat Ctr, 2 Yude Rd, Taichung 404327, Taiwan.</t>
  </si>
  <si>
    <t>017141@tool.caaumed.org.tw</t>
  </si>
  <si>
    <t>[Su, Meng-Han; Wang, Wei-Chun; Hou, Shih-Yen; Chang, Shih-Sheng] China Med Univ, China Med Univ Hosp, Artificial Intelligence &amp; Robot Innovat Ctr, 2 Yude Rd, Taichung 404327, Taiwan; [Hsu, Yi-Min; Chuang, Su-Jung] China Med Univ Hosp, Taichung, Taiwan</t>
  </si>
  <si>
    <t>China Medical University Taiwan; China Medical University Hospital - Taiwan; China Medical University Taiwan; China Medical University Hospital - Taiwan</t>
  </si>
  <si>
    <t>Voice-Based Structured Nursing Documentation Using Automatic Speech Recognition and Large Language Models: Development and Evaluation Study</t>
  </si>
  <si>
    <t>JMIR NURSING</t>
  </si>
  <si>
    <t>automatic speech recognition; code-switching; large language model; nursing; documentation; nursing records</t>
  </si>
  <si>
    <t>SU, MENG-HAN/0009-0003-3179-6224</t>
  </si>
  <si>
    <t>2562-7600</t>
  </si>
  <si>
    <t>JMIR NURS</t>
  </si>
  <si>
    <t>JMIR Nurs.</t>
  </si>
  <si>
    <t>e88567</t>
  </si>
  <si>
    <t>10.2196/88567</t>
  </si>
  <si>
    <t>http://dx.doi.org/10.2196/88567</t>
  </si>
  <si>
    <t>Nursing</t>
  </si>
  <si>
    <t>JL4FO</t>
  </si>
  <si>
    <t>42247576</t>
  </si>
  <si>
    <t>WOS:001792107700001</t>
  </si>
  <si>
    <t>Wu, XZ; Li, GX; Wang, X; Xu, ZY; Wang, YN; Lei, SG; Xian, JM; Wang, XY; Zhang, YB; Li, G; Yuan, KH</t>
  </si>
  <si>
    <t>Objective. Liver cancer has a high incidence rate, but experienced doctors are lacking in primary healthcare settings. The development of large models offers new possibilities for diagnosis. However, in liver cancer diagnosis, large models face certain limitations, such as insufficient understanding of specific medical images, inadequate consideration of liver vessel factors, and inaccuracies in reasoning logic. Therefore, this study proposes a diagnostic assistance tool specific to liver cancer to enhance the diagnostic capabilities of primary care doctors. Approach. A liver cancer diagnosis framework combining large and small models is proposed. A more accurate model for liver tumor segmentation and a more precise model for liver vessel segmentation are developed. The features extracted from the segmentation results of the small models are combined with the patient's medical records and then provided to the large model. The large model employs chain of thought prompts to simulate expert diagnostic reasoning and uses Retrieval-Augmented Generation to provide reliable answers based on trusted medical knowledge and cases. Main results. In the small model part, the proposed liver tumor and liver vessel segmentation methods achieve improved performance. In the large model part, this approach receives higher evaluation scores from doctors when analyzing patient imaging and medical records. Significance. First, a diagnostic framework combining small models and large models is proposed to optimize the liver cancer diagnosis process. Second, two segmentation models are introduced to compensate for the large model's shortcomings in extracting semantic information from images. Third, by simulating doctors' reasoning and integrating trusted knowledge, the framework enhances the reliability and interpretability of the large model's responses while reducing hallucination phenomena.</t>
  </si>
  <si>
    <t>Wu, Xuzhou; Li, Guangxin; Wang, Xing; Xu, Zeyu; Wang, Yingni; Lei, Shuge; Xian, Jianming; Wang, Xueyu; Zhang, Yibao; Li, Gong; Yuan, Kehong</t>
  </si>
  <si>
    <t>yuankh@sz.tsinghua.edu.cn</t>
  </si>
  <si>
    <t>National Natural Science Foundation of Chinahttp://dx.doi.org/10.13039/501100001809 [2022A1515011120]; Guangdong Provincial Science and Technology Program for Basic Research [320.6750.2023-21-7]; Wu Jieping Medical Foundation [12275012,12475309,12411530076,82202941]; National Natural Science Foundation of China [Z210008, PKU2025LCXQ050]; Beijing Natural Science Foundation</t>
  </si>
  <si>
    <t>National Natural Science Foundation of Chinahttp://dx.doi.org/10.13039/501100001809; Guangdong Provincial Science and Technology Program for Basic Research; Wu Jieping Medical Foundation; National Natural Science Foundation of China (National Natural Science Foundation of China (NSFC)); Beijing Natural Science Foundation (Beijing Natural Science Foundation)</t>
  </si>
  <si>
    <t>This study was supported in part by Guangdong Provincial Science and Technology Program for Basic Research No. 2022A1515011120; Wu Jieping Medical Foundation No. 320.6750.2023-21-7; National Natural Science Foundation of China under Grant Nos. 12275012,12475309,12411530076,82202941; Beijing Natural Science Foundation (Z210008); Fundamental Research Funds for the Central Universities/Clinical Medicine Plus X-Young Scholars Project of Peking University (PKU2025LCXQ050).</t>
  </si>
  <si>
    <t>[Wu, Xuzhou; Xian, Jianming; Wang, Xueyu; Yuan, Kehong] Tsinghua Univ, Inst Biopharmaceut &amp; Hlth Engn, SIGS, Beijing, Peoples R China; [Li, Guangxin; Wang, Xing; Xu, Zeyu; Li, Gong] Beijing Tsinghua Changgung Hosp, Radiotherapy Dept, Beijing, Peoples R China; [Wang, Yingni] Tsinghua Univ, Sch Biomed Engn, Beijing, Peoples R China; [Zhang, Yibao] Peking Univ, Canc &amp; Hosp Inst, Dept Radiat Oncol, Key Lab Carcinogenesis &amp; Translat Res Minist Educ, Beijing, Peoples R China; [Lei, Shuge] Univ South Carolina, Molinaroli Coll Engn &amp; Comp, Dept Comp Sci &amp; Engn, Columbia, SC USA</t>
  </si>
  <si>
    <t>Tsinghua University; Tsinghua Shenzhen International Graduate School; Tsinghua University; Peking University; University of South Carolina System; University of South Carolina Columbia</t>
  </si>
  <si>
    <t>Diagnosis assistant for liver cancer utilizing a large language model with three types of knowledge</t>
  </si>
  <si>
    <t>large language models; liver cancer diagnostic assistant; image segmentation; image feature</t>
  </si>
  <si>
    <t>VESSEL SEGMENTATION; NETWORK</t>
  </si>
  <si>
    <t>Zhang, Yibao/PII-6255-2026</t>
  </si>
  <si>
    <t>Zhang, Yibao/0000-0003-3658-0687</t>
  </si>
  <si>
    <t>BRISTOL</t>
  </si>
  <si>
    <t>TEMPLE CIRCUS, TEMPLE WAY, BRISTOL BS1 6BE, ENGLAND</t>
  </si>
  <si>
    <t>MAY 4 2025</t>
  </si>
  <si>
    <t>095009</t>
  </si>
  <si>
    <t>10.1088/1361-6560/adcb17</t>
  </si>
  <si>
    <t>http://dx.doi.org/10.1088/1361-6560/adcb17</t>
  </si>
  <si>
    <t>2DU6C</t>
  </si>
  <si>
    <t>40203862</t>
  </si>
  <si>
    <t>WOS:001480266600001</t>
  </si>
  <si>
    <t>Salbas, A; Yogurtcu, M</t>
  </si>
  <si>
    <t>Rationale and Objectives: Large language models (LLMs) are increasingly investigated in radiology education. This study evaluated the performance of several advanced LLMs on radiology residency in-training examination questions, with a focus on whether recently released versions show improved accuracy compared with earlier models. Materials and Methods: We analyzed 282 multiple-choice questions (191 text-only, 91 image-based) from institutional radiology residency examinations conducted between 2023 and 2025. Five LLMs were tested: ChatGPT-4o, ChatGPT-5, Claude 4 Opus, Claude 4.1 Opus, and Gemini 2.5 Pro. Radiology resident performance on the same set of questions was also analyzed for comparison. Accuracy rates were calculated for overall, text-only, and image-based questions, and results were compared using Cochran's Q and Bonferroniadjusted McNemar tests. Outputs were also assessed for hallucinations. Results: Gemini 2.5 Pro achieved the highest overall accuracy (83.0%), followed by ChatGPT-5 (82.3%). By comparison, radiology residents achieved an overall accuracy of 78.2%. ChatGPT-5 showed significantly higher accuracy compared with ChatGPT-4o (p = 0.021), and Gemini 2.5 Pro showed significantly higher accuracy compared with Claude 4 Opus (p = 0.026). For text-only questions, the highest accuracy was obtained with Gemini 2.5 Pro (88.0%). For image-based questions, radiology residents achieved the highest accuracy (80.4%), followed by ChatGPT-5 (73.6%). The highest accuracies by subspecialty were observed in interventional radiology and physics, whereas breast imaging yielded the lowest accuracy across the models. No instances of hallucination were observed. Conclusion: LLMs demonstrated generally good performance on radiology residency assessments, with newer versions showing measurable improvements. However, limitations persist in image-based interpretation and certain subspecialties. LLMs should therefore be regarded as supportive resources in radiology education, with careful validation and continued refinement of medical training data.</t>
  </si>
  <si>
    <t>Salbas, Ali; Yogurtcu, Murat</t>
  </si>
  <si>
    <t>Salbas, A (corresponding author), Izmir Katip Celebi Univ, Ataturk Training &amp; Res Hosp, Dept Radiol, Izmir, Turkiye.</t>
  </si>
  <si>
    <t>dralisalbas@gmail.com</t>
  </si>
  <si>
    <t>funding agencies in the public, commercial, or not-for-profit sectors.</t>
  </si>
  <si>
    <t>[Salbas, Ali] Izmir Katip Celebi Univ, Ataturk Training &amp; Res Hosp, Dept Radiol, Izmir, Turkiye; [Yogurtcu, Murat] Tire State Hosp, Radiol Dept, Izmir, Turkiye</t>
  </si>
  <si>
    <t>Izmir Ataturk Training &amp; Research Hospital; Izmir Katip Celebi University; Tire State Hospital</t>
  </si>
  <si>
    <t>Performance of Large Language Models on Radiology Residency In-Training Examination Questions</t>
  </si>
  <si>
    <t>Artificial Intelligence; ChatGPT; Large Language Models; Multiple-Choice Questions; Radiology Education</t>
  </si>
  <si>
    <t>Salbas, Ali/ODM-6417-2025; Yogurtcu, Murat/PUE-7459-2026</t>
  </si>
  <si>
    <t>347</t>
  </si>
  <si>
    <t>10.1016/j.acra.2025.10.043</t>
  </si>
  <si>
    <t>http://dx.doi.org/10.1016/j.acra.2025.10.043</t>
  </si>
  <si>
    <t>CU9XA</t>
  </si>
  <si>
    <t>41224539</t>
  </si>
  <si>
    <t>WOS:001675061700001</t>
  </si>
  <si>
    <t>Silvestri, C; Roshal, J; Shah, M; Widmann, WD; Townsend, C; Brian, R; L'Huillier, JC; Navarro, SM; Lund, S; Sathe, TS</t>
  </si>
  <si>
    <t>PurposeWhile previous studies have demonstrated that generative artificial intelligence (AI) can pass medical licensing exams, AI's role as an examiner in complex, interactive assessments remains unknown. AI-powered chatbots could serve as educational tools to simulate oral examination dialogues. Here, we present initial validity evidence for an AI-powered chatbot designed for general surgery residents to prepare for the American Board of Surgery (ABS) Certifying Exam (CE).MethodsWe developed a chatbot using GPT-4 to simulate oral board scenarios. Scenarios were completed by general surgery residents from six different institutions. Two experienced surgeons evaluated the chatbot across five domains: inappropriate content, missing content, likelihood of harm, extent of harm, and hallucinations. We measured inter-rater reliability to determine evaluation consistency.ResultsSeventeen residents completed a total of 20 scenarios. Commonly tested topics included small bowel obstruction (30%), diverticulitis (20%), and breast disease (15%). Based on two independent reviewers, evaluation revealed 11-25% of chatbot simulations had no errors and an additional 11%-35% contained errors of minimal clinical significance. The chatbot limitations included incorrect management advice and critical omissions of information.ConclusionsThis study demonstrates the potential of an AI-powered chatbot in enhancing surgical education through oral board simulations. Despite challenges in accuracy and safety, the chatbot offers a novel approach to medical education, underscoring the need for further refinement and standardized evaluation frameworks. Incorporating domain-specific knowledge and expert insights is crucial for improving the efficacy of AI tools in medical education.</t>
  </si>
  <si>
    <t>Silvestri, Caitlin; Roshal, Joshua; Shah, Meghal; Widmann, Warren D.; Townsend, Courtney; Brian, Riley; L'Huillier, Joseph C.; Navarro, Sergio M.; Lund, Sarah; Sathe, Tejas S.</t>
  </si>
  <si>
    <t>Silvestri, C (corresponding author), Columbia Univ, New York Presbyterian, Irving Med Ctr, Dept Surg, New York, NY 10032 USA.; Silvestri, C (corresponding author), Collaborat Surg Educ Fellows CoSEF, New York, NY 14203 USA.</t>
  </si>
  <si>
    <t>cs4004@cumc.columbia.edu</t>
  </si>
  <si>
    <t>SCELC, Statewide California Electronic Library Consortium</t>
  </si>
  <si>
    <t>Open access funding provided by SCELC, Statewide California Electronic Library Consortium.</t>
  </si>
  <si>
    <t>[Silvestri, Caitlin; Shah, Meghal; Sathe, Tejas S.] Columbia Univ, New York Presbyterian, Irving Med Ctr, Dept Surg, New York, NY 10032 USA; [Roshal, Joshua] Harvard Med Sch, Brigham &amp; Womens Hosp, Boston, MA USA; [Roshal, Joshua; Townsend, Courtney] Univ Texas Med Branch, Galveston, TX USA; [Widmann, Warren D.] SUNY Downstate Hlth Sci Univ, Brooklyn, NY USA; [Brian, Riley; Sathe, Tejas S.] Univ Calif San Francisco, San Francisco, CA USA; [L'Huillier, Joseph C.] Univ Buffalo, Jacobs Sch Med &amp; Biomed Sci, Dept Surg, Buffalo, NY USA; [L'Huillier, Joseph C.] Univ Buffalo, Sch Publ Hlth &amp; Hlth Profess, Dept Epidemiol &amp; Environm Hlth, Div Hlth Serv Policy &amp; Practice, Buffalo, NY USA; [Navarro, Sergio M.] Univ Minnesota, Dept Surg, Minneapolis, MN USA; [Navarro, Sergio M.; Lund, Sarah] Mayo Clin, Dept Surg, Rochester, MN USA; [Silvestri, Caitlin; Roshal, Joshua; Brian, Riley; L'Huillier, Joseph C.; Navarro, Sergio M.; Lund, Sarah; Sathe, Tejas S.] Collaborat Surg Educ Fellows CoSEF, New York, NY 14203 USA</t>
  </si>
  <si>
    <t>Columbia University; Cornell University; Weill Cornell Medicine; NewYork-Presbyterian Hospital; Harvard University; Harvard Medical School; Harvard University Medical Affiliates; Brigham &amp; Women's Hospital; University of Texas System; University of Texas Medical Branch Galveston; State University of New York (SUNY) System; SUNY Downstate Health Sciences University; University of California System; University of California San Francisco; State University of New York (SUNY) System; University at Albany, SUNY; University at Buffalo, SUNY; University at Albany, SUNY; State University of New York (SUNY) System; University at Buffalo, SUNY; University of Minnesota System; University of Minnesota Twin Cities; Mayo Clinic</t>
  </si>
  <si>
    <t>Evaluation of a novel large language model (LLM)-powered chatbot for oral boards scenarios</t>
  </si>
  <si>
    <t>GLOBAL SURGICAL EDUCATION - JOURNAL OF THE ASSOCIATION FOR SURGICAL EDUCATION</t>
  </si>
  <si>
    <t>Artificial intelligence (AI); GPT; Oral boards; Graduate medical education (GME); Simulation</t>
  </si>
  <si>
    <t>SURGERY CERTIFYING EXAMINATION; ASSESSMENT-TOOL; AMERICAN BOARD; CERTIFICATION; SIMULATION; EDUCATION; PROGRAM; RELIABILITY; OUTCOMES</t>
  </si>
  <si>
    <t>Brian, Riley/JKJ-2950-2023; Lund, Sarah/HJA-3518-2022; Navarro, Sergio/K-8923-2019</t>
  </si>
  <si>
    <t>Sathe, Tejas/0000-0003-0449-4469; Silvestri, Caitlin/0009-0004-2124-0473; Lund, Sarah/0000-0003-2214-5916; Navarro, Sergio/0000-0003-3455-1567; L'Huillier, Joseph/0000-0002-6089-9754; Shah, Meghal/0000-0002-2085-659X; Roshal, Joshua/0009-0004-5117-1878</t>
  </si>
  <si>
    <t>CAMPUS, 4 CRINAN ST, LONDON, N1 9XW, ENGLAND</t>
  </si>
  <si>
    <t>2731-4588</t>
  </si>
  <si>
    <t>GLOB SURG EDUC</t>
  </si>
  <si>
    <t>Glob. Surg. Educ.-J. Assoc. Surg. Educ.</t>
  </si>
  <si>
    <t>NOV 19 2024</t>
  </si>
  <si>
    <t>112</t>
  </si>
  <si>
    <t>10.1007/s44186-024-00303-z</t>
  </si>
  <si>
    <t>http://dx.doi.org/10.1007/s44186-024-00303-z</t>
  </si>
  <si>
    <t>Education, Scientific Disciplines; Surgery</t>
  </si>
  <si>
    <t>Education &amp; Educational Research; Surgery</t>
  </si>
  <si>
    <t>2RQ9R</t>
  </si>
  <si>
    <t>WOS:001489681500001</t>
  </si>
  <si>
    <t>Qin, X; Song, P; Yan, ZP; Qian, H; Jiang, LG; Wang, CH</t>
  </si>
  <si>
    <t>Background: Large language models (LLMs) are increasingly used in medical education, but their ability to generate ophthalmic multiple-choice questions (MCQs) remains unclear. Diabetic retinopathy (DR), a core ophthalmic training topic, provides a framework for evaluating LLM-based item generation. Methods: Five publicly accessible LLMs completed 60 predefined DR MCQ tasks under a standardized Chinese single-turn prompt and blueprint, yielding 300 items. Evaluation included structural completeness, format compliance, keyed-answer accuracy, textual features, response time, and blinded expert ratings across six educational domains. Because the same 60 tasks were completed by all five models, between-model comparisons were performed using paired task-level analyses. Continuous and ordinal outcomes were compared using Friedman tests, followed by Bonferroni-corrected paired Wilcoxon signed-rank tests when appropriate. Inter-rater reliability was assessed using intraclass correlation coefficients, and Spearman analyses examined associations between output features and expert-rated quality. Results: Between-model differences were observed in all textual variables and response time (all Friedman test p &lt; 0.001). Gemini 3 was fastest (6.47 +/- 1.27 s), whereas Qwen3-Max-Thinking was slowest (21.99 +/- 4.38 s). Gemini 3 and ChatGPT-5.4 produced the longest responses (239.67 +/- 29.12 and 245.98 +/- 39.61 characters, respectively). ICCs ranged from 0.794 to 0.859. Between-model differences were found for content rigor, clarity, distractor quality, cognitive-level alignment, overall usability, and mean score, whereas educational usefulness did not reach statistical significance. For overall usability, the overall Friedman test showed only a weak difference, and no pairwise comparison remained significant after Bonferroni correction. Gemini 3 showed the highest proportion of directly usable items (90.00%), followed by ChatGPT-5.4 (86.67%). Longer explanations were associated with higher expert-rated quality, whereas longer response time showed no quality advantage. Conclusion: All five LLMs generated structurally complete and format-compliant DR MCQ drafts, but differences remained in factual accuracy, expert-rated item quality, output style, and usability. Gemini 3 and ChatGPT-5.4 showed the most favorable balance between correctness and expert-rated usability, supporting LLMs as assisted item-generation tools rather than replacements for expert review.</t>
  </si>
  <si>
    <t>Qin, Xue; Song, Ping; Yan, Zhipeng; Qian, Hui; Jiang, Ligang; Wang, Chenghu</t>
  </si>
  <si>
    <t>Wang, CH (corresponding author), Nanjing Med Univ, Affiliated Eye Hosp, Nanjing, Jiangsu, Peoples R China.; Jiang, LG (corresponding author), Wenzhou Med Univ, Quzhou Peoples Hosp, Dept Ophthalmol, Quzhou Affiliated Hosp, Quzhou, Zhejiang, Peoples R China.</t>
  </si>
  <si>
    <t>jiangligang@wmu.edu.cn; wangchenghu1226@163.com</t>
  </si>
  <si>
    <t>China Medicine Education Association [2022KTM028]; Quzhou City Science and Technology Project [2025K003]; Medical and Health Science Program of Zhejiang Province [2025HY1387]; Summit Advancement Disciplines of Zhejiang Province (Wenzhou Medical University-Pharmaceutics)</t>
  </si>
  <si>
    <t>China Medicine Education Association; Quzhou City Science and Technology Project; Medical and Health Science Program of Zhejiang Province; Summit Advancement Disciplines of Zhejiang Province (Wenzhou Medical University-Pharmaceutics)</t>
  </si>
  <si>
    <t>The author(s) declared that financial support was received for this work and/or its publication. This study was supported by funding from the China Medicine Education Association (Grant No. 2022KTM028); Quzhou City Science and Technology Project (Grant No. 2025K003); Medical and Health Science Program of Zhejiang Province (Grant No. 2025HY1387); and the Summit Advancement Disciplines of Zhejiang Province (Wenzhou Medical University-Pharmaceutics).</t>
  </si>
  <si>
    <t>[Qin, Xue; Song, Ping; Yan, Zhipeng; Qian, Hui; Wang, Chenghu] Nanjing Med Univ, Affiliated Eye Hosp, Nanjing, Jiangsu, Peoples R China; [Jiang, Ligang] Wenzhou Med Univ, Quzhou Peoples Hosp, Dept Ophthalmol, Quzhou Affiliated Hosp, Quzhou, Zhejiang, Peoples R China</t>
  </si>
  <si>
    <t>Nanjing Medical University; Wenzhou Medical University</t>
  </si>
  <si>
    <t>Evaluating large language models for diabetic retinopathy multiple-choice question generation in clinical ophthalmic education</t>
  </si>
  <si>
    <t>FRONTIERS IN MEDICINE</t>
  </si>
  <si>
    <t>artificial intelligence; benchmarking study; clinical ophthalmic education; diabetic retinopathy; large language models; multiple-choice questions</t>
  </si>
  <si>
    <t>ACHIEVEMENT</t>
  </si>
  <si>
    <t>2296-858X</t>
  </si>
  <si>
    <t>FRONT MED-LAUSANNE</t>
  </si>
  <si>
    <t>Front. Med.</t>
  </si>
  <si>
    <t>JUL 15 2026</t>
  </si>
  <si>
    <t>1874243</t>
  </si>
  <si>
    <t>10.3389/fmed.2026.1874243</t>
  </si>
  <si>
    <t>http://dx.doi.org/10.3389/fmed.2026.1874243</t>
  </si>
  <si>
    <t>LX2QW</t>
  </si>
  <si>
    <t>42529502</t>
  </si>
  <si>
    <t>WOS:001835402800001</t>
  </si>
  <si>
    <t>Wang, SR; Ye, Q</t>
  </si>
  <si>
    <t>Background: The prevalence of chronic gastritis is high, and if not intervened in a timely manner, it may eventually lead to gastric cancer. Managing chronic gastritis essentially requires comprehensive lifestyle changes. However, the current health care environment does not support continuous follow-up by professional health care providers, making self-management a key component of postdiagnosis care. Increasingly, researchers are exploring the use of large language models (LLMs) for patient management. However, LLMs have limitations, including hallucinations, limited knowledge scope, and lack of timeliness. Artificial intelligence (AI) agents may provide a more effective solution. Nevertheless, it remains uncertain whether AI agents can effectively support postdiagnosis self-management for patients with chronic gastritis. Objective: The purpose of this study was to explore the effectiveness of AI agents in the postdiagnosis management of patients with chronic gastritis from different perspectives. Methods: In this study, we developed an agent framework for the health management of patients with chronic gastritis based on LLMs in conjunction with retrieval-augmented generation and a search engine tool. We collected real questions from patients with chronic gastritis in clinical settings and tested the framework's performance across different difficulty levels and scenarios. We analyzed its safety and robustness and compared it with state-of-the-art models to comprehensively evaluate its effectiveness. Results: Using a dual-evaluation framework comprising automated metrics and expert manual assessments, our results demonstrated that AI agents substantially outperformed LLMs in addressing high-complexity questions (embedding average score: 82.849 for AI agents vs 77.825 for LLMs) and were particularly effective in clinical consultation tasks. Clinical evaluation of safety based on a 5-point Likert scale by physicians indicated that the safety of the agents was 4.98 (SD 0.15; 95% CI 4.96-4.99). After 30 repeated experiments, the mean absolute deviation of the AI agents in the embedding average score and BERTScore metrics were 0.0167 and 0.0387, respectively. Therefore, the safety and robustness analysis confirmed that the AI agents can produce safe, stable, and minimally variable responses. In addition, comparative results with those of advanced medical-domain LLMs (Baichuan-14B-M1 and MedGemma-27B) and general-domain LLMs (Qwen3-32B) also demonstrated that the AI agents in this study performed outstandingly in the field of chronic gastritis. Our findings underscore the superior reliability, interpretability, and practical applicability of AI agents over conventional LLMs in chronic gastritis management, offering a robust foundation for their broader adoption in health care settings. Conclusions: AI agents based on LLMs have high application value in the management of chronic gastritis. They can effectively guide patients with chronic diseases in addressing common issues, which may potentially reduce the workload of physicians and improve the quality of patient home care.</t>
  </si>
  <si>
    <t>Wang, Shurui; Ye, Qing</t>
  </si>
  <si>
    <t>Ye, Q (corresponding author), Huazhong Univ Sci &amp; Technol, Tongji Hosp, Tongji Med Coll, 1095 Jiefang Ave, Wuhan 430000, Hubei, Peoples R China.</t>
  </si>
  <si>
    <t>qye@tjh.tjmu.edu.cn</t>
  </si>
  <si>
    <t>China Computer Federation (CCF)-BaiChuan-Ebtech Foundation Model Fund [2023012]; Chinese Information Processing Society of China (CIPSC)-Social Media Processing (SMP)-Zhipu Large Model Cross-Disciplinary Fund [ZPCG20241107362]</t>
  </si>
  <si>
    <t>China Computer Federation (CCF)-BaiChuan-Ebtech Foundation Model Fund; Chinese Information Processing Society of China (CIPSC)-Social Media Processing (SMP)-Zhipu Large Model Cross-Disciplinary Fund</t>
  </si>
  <si>
    <t>This study was funded by the China Computer Federation (CCF)-BaiChuan-Ebtech Foundation Model Fund (2023012) and Chinese Information Processing Society of China (CIPSC)-Social Media Processing (SMP)-Zhipu Large Model Cross-Disciplinary Fund (ZPCG20241107362) .</t>
  </si>
  <si>
    <t>[Wang, Shurui; Ye, Qing] Huazhong Univ Sci &amp; Technol, Tongji Hosp, Tongji Med Coll, 1095 Jiefang Ave, Wuhan 430000, Hubei, Peoples R China</t>
  </si>
  <si>
    <t>Huazhong University of Science &amp; Technology</t>
  </si>
  <si>
    <t>Enhancing Large Language Models With AI Agents for Chronic Gastritis Management: Comprehensive Comparative Study</t>
  </si>
  <si>
    <t>large language models; artificial intelligence agent; AI agent; chronic gastritis; health management; retrieval-aug-mented generation; artificial intelligence; AI</t>
  </si>
  <si>
    <t>Ye, Qing/0000-0002-5432-7741</t>
  </si>
  <si>
    <t>e73857</t>
  </si>
  <si>
    <t>10.2196/73857</t>
  </si>
  <si>
    <t>http://dx.doi.org/10.2196/73857</t>
  </si>
  <si>
    <t>D6376</t>
  </si>
  <si>
    <t>41236204</t>
  </si>
  <si>
    <t>WOS:001621732900003</t>
  </si>
  <si>
    <t>Seo, J; Park, S; Byun, S; Choi, J; Choi, J; Shin, H</t>
  </si>
  <si>
    <t>Objectives: Developing large language models (LLMs) in biomedicine requires access to high-quality training and alignment tuning datasets. However, publicly available Korean medical preference datasets are scarce, hindering the advancement of Korean medical LLMs. This study constructs and evaluates the efficacy of the Korean Medical Preference Dataset (KoMeP), an alignment tuning dataset constructed with an automated pipeline, minimizing the high costs of human annotation. Methods: KoMeP was generated using the DAHL score, an automated hallucination evaluation metric. Five LLMs (Dolly-v2-3B, MPT-7B, GPT-4o, Qwen-2-7B, Llama-3-8B) produced responses to 8,573 biomedical examination questions, from which 5,551 preference pairs were extracted. Each pair consisted of a "chosen" response and a "rejected" response, as determined by their DAHL scores. The dataset was evaluated when trained through two different alignment tuning methods, direct preference optimization (DPO) and odds ratio preference optimization (ORPO) respectively across five different models. The KorMedMCQA benchmark was employed to assess the effectiveness of alignment tuning. Results: Models trained with DPO consistently improved KorMedMCQA performance; notably, Llama-3.1-8B showed a 43.96% increase. In contrast, ORPO training produced inconsistent results. Additionally, English-to-Korean transfer learning proved effective, particularly for English-centric models like Gemma-2, whereas Korean-to-English transfer learning achieved limited success. Instruction tuning with KoMeP yielded mixed outcomes, which suggests challenges in dataset formatting. Conclusions: KoMeP is the first publicly available Korean medical preference dataset and significantly improves alignment tuning performance in LLMs. The DPO method outperforms ORPO in alignment tuning. Future work should focus on expanding KoMeP, developing a Korean-native dataset, and refining alignment tuning methods to produce safer and more reliable Korean medical LLMs.</t>
  </si>
  <si>
    <t>Seo, Jean; Park, Sumin; Byun, Sungjoo; Choi, Jinwook; Choi, Jinho; Shin, Hyopil</t>
  </si>
  <si>
    <t>Shin, H (corresponding author), Seoul Natl Univ, Dept Linguist, 1 Gwanak Ro, Seoul 02886, South Korea.</t>
  </si>
  <si>
    <t>hpshin@snu.ac.kr</t>
  </si>
  <si>
    <t>Seoul National University [100-20220084]</t>
  </si>
  <si>
    <t>Seoul National University</t>
  </si>
  <si>
    <t>This work was supported by the Research Grant from Seoul National University (Grant No. 100-20220084) .</t>
  </si>
  <si>
    <t>[Seo, Jean; Byun, Sungjoo] Seoul Natl Univ, Dept Linguist, Seoul, South Korea; [Park, Sumin] Seoul Natl Univ, Coll Humanities, Seoul, South Korea; [Choi, Jinwook] Seoul Natl Univ, Coll Med, Dept Biomed Engn, Seoul, South Korea; [Choi, Jinho] Emory Univ, Dept Comp Sci, Atlanta, GA USA; [Shin, Hyopil] Seoul Natl Univ, Dept Linguist, 1 Gwanak Ro, Seoul 02886, South Korea</t>
  </si>
  <si>
    <t>Seoul National University (SNU); Seoul National University (SNU); Seoul National University (SNU); Emory University; Seoul National University (SNU)</t>
  </si>
  <si>
    <t>Advancing Korean Medical Large Language Models: Automated Pipeline for Korean Medical Preference Dataset Construction</t>
  </si>
  <si>
    <t>Natural Language Processing; Large Language Models; Natural Language Models; Informatics; Medical Informatics</t>
  </si>
  <si>
    <t>Park, Sumin/0000-0002-9917-2579; Shin, Hyopil/0000-0002-7279-014X; Byun, Grace/0009-0002-4693-192X; Seo, Jean/0009-0006-6728-8725</t>
  </si>
  <si>
    <t>166</t>
  </si>
  <si>
    <t>174</t>
  </si>
  <si>
    <t>10.4258/hir.2025.31.2.166</t>
  </si>
  <si>
    <t>http://dx.doi.org/10.4258/hir.2025.31.2.166</t>
  </si>
  <si>
    <t>2UZ3Q</t>
  </si>
  <si>
    <t>40384068</t>
  </si>
  <si>
    <t>WOS:001491951600007</t>
  </si>
  <si>
    <t>Rubinstein, S; Mohsin, A; Banerjee, R; Ma, W; Mishra, S; Kwok, M; Yang, P; Warner, JL; Cowan, AJ</t>
  </si>
  <si>
    <t>Background Concise synopses of clinical evidence support treatment decision-making but are time-consuming to curate. Large language models (LLMs) offer potential but they may provide inaccurate information. We objectively assessed the abilities of four commercially available LLMs to generate synopses for six treatment regimens in multiple myeloma and amyloid light chain (AL) amyloidosis.Methods We compared the performance of four LLMs: Claude 3.5, ChatGPT 4.0; Gemini 1.0 and Llama-3.1. Each LLM was prompted to write synopses for six regimens. Two hematologists independently assessed accuracy, completeness, relevance, clarity, coherence, and hallucinations using Likert scales. Mean scores with 95% confidence intervals (CI) were calculated across all domains and inter-rater reliability was evaluated using Cohen's quadratic weighted kappa.Results Claude demonstrated the highest performance in all domains, outperforming the other LLMs in accuracy: mean Likert score 3.92 (95% CI 3.54-4.29); ChatGPT 3.25 (2.76-3.74); Gemini 3.17 (2.54-3.80); Llama 1.92 (1.41-2.43);completeness: mean Likert score 4.00 (3.66-4.34); GPT 2.58 (2.02-3.15); Gemini 2.58 (2.02-3.15); Llama 1.67 (1.39-1.95); and extentofhallucinations: mean Likert score 4.00 (4.00-4.00); ChatGPT 2.75 (2.06-3.44); Gemini 3.25 (2.65-3.85); Llama 1.92 (1.26-2.57). Llama performed considerably poorer across all the studied domains. ChatGPT and Gemini had intermediate performance. Notably, none of the LLMs registered perfect accuracy, completeness, or relevance.Conclusion Claude performed at a consistently higher level than other LLMs, all tested LLMs required careful editing from a domain expert to become usable. More time will be needed to determine the suitability of LLMsto independently generate clinical synopses.</t>
  </si>
  <si>
    <t>Rubinstein, Samuel; Mohsin, Aleenah; Banerjee, Rahul; Ma, Will; Mishra, Sanjay; Kwok, Mary; Yang, Peter; Warner, Jeremy L.; Cowan, Andrew J.</t>
  </si>
  <si>
    <t>Cowan, AJ (corresponding author), Univ Washington, Div Hematol &amp; Oncol, Seattle, WA 98109 USA.; Cowan, AJ (corresponding author), Fred Hutch Canc Ctr, Clin Res Div, Seattle, WA 98109 USA.</t>
  </si>
  <si>
    <t>ajcowan@fredhutch.org</t>
  </si>
  <si>
    <t>National Center for Advancing Translational Sciences, National Institutes of Health; Institute of Translational Health Sciences at the University of Washington, Seattle, WA</t>
  </si>
  <si>
    <t>We would like to acknowledge the use of REDCap, hosted by the Institute of Translational Health Sciences at the University of Washington, Seattle, WA.</t>
  </si>
  <si>
    <t>[Rubinstein, Samuel] Univ North Carolina, Dept Med, Div Hematol, Chapel Hill, NC 27599 USA; [Mohsin, Aleenah; Mishra, Sanjay; Warner, Jeremy L.] Brown Univ, Rhode Isl Hosp, Hlth Canc Inst, Providence, RI 02912 USA; [Banerjee, Rahul; Kwok, Mary; Cowan, Andrew J.] Univ Washington, Div Hematol &amp; Oncol, Seattle, WA 98109 USA; [Banerjee, Rahul; Kwok, Mary; Cowan, Andrew J.] Fred Hutch Canc Ctr, Clin Res Div, Seattle, WA 98109 USA; [Ma, Will] Taiho Oncol Inc, Princeton, NJ USA; [Yang, Peter] Massachusetts Gen Hosp, Dept Med, Boston, MA USA; [Warner, Jeremy L.] Brown Univ, Legorreta Canc Ctr, Providence, RI USA</t>
  </si>
  <si>
    <t>University of North Carolina; University of North Carolina Chapel Hill; Lifespan Health Rhode Island; Brown University; Rhode Island Hospital; University of Washington; University of Washington Seattle; Fred Hutchinson Cancer Center; Harvard University; Harvard University Medical Affiliates; Massachusetts General Hospital; Brown University</t>
  </si>
  <si>
    <t>Summarizing clinical evidence utilizing large language models for cancer treatments: a blinded comparative analysis</t>
  </si>
  <si>
    <t>large language models; clinical evidence summarization; cancer treatment synopses; multiple myeloma; comparative analysis</t>
  </si>
  <si>
    <t>DEXAMETHASONE; LENALIDOMIDE; BORTEZOMIB</t>
  </si>
  <si>
    <t>Yang, Peter/JKI-3586-2023; Banerjee, Rahul/AAB-6477-2019</t>
  </si>
  <si>
    <t>Banerjee, Rahul/0000-0003-3781-5441</t>
  </si>
  <si>
    <t>APR 29 2025</t>
  </si>
  <si>
    <t>1569554</t>
  </si>
  <si>
    <t>10.3389/fdgth.2025.1569554</t>
  </si>
  <si>
    <t>http://dx.doi.org/10.3389/fdgth.2025.1569554</t>
  </si>
  <si>
    <t>2LW6X</t>
  </si>
  <si>
    <t>40364850</t>
  </si>
  <si>
    <t>WOS:001485758800001</t>
  </si>
  <si>
    <t>Hao, PY; Zhang, JL; Zhang, SY; Wu, FL; Tian, SY</t>
  </si>
  <si>
    <t>Ultrasound reporting remains a manual, time-consuming process prone to errors and variability. We present UltraReporter, a compact 8B-parameter LLM pipeline that converts real-time spoken cues into structured ultrasound reports. To overcome data scarcity, we developed a multi-agent framework for synthesizing high-quality Chinese cue-report pairs from unpaired narratives. The model was further refined through template-augmented fine-tuning and defect-oriented preference optimization to ensure institutional consistency and minimize hallucinations. Evaluated on 1,311 gold-standard cases, UltraReporter outperformed nine state-of-the-art LLMs, achieving superior clinical scores (e.g. accuracy: 4.82) and NLG metrics (BLEU-4: 89.42). In a blinded reader study, its reports surpassed chief physicians in quality across normal, common, and rare cases, and 72% of prospective reports were deemed equivalent to original ones. UltraReporter integrates seamlessly into clinical workflows, generating ready-to-use reports in 1 second, significantly reducing documentation burden and demonstrating strong potential for clinical integration.</t>
  </si>
  <si>
    <t>Hao, Pengyi; Zhang, Jilong; Zhang, Siyuan; Wu, Fuli; Tian, Shuyuan</t>
  </si>
  <si>
    <t>Wu, FL (corresponding author), Zhejiang Univ Technol, Coll Comp Sci &amp; Technol, Coll Software, Hangzhou 310014, Peoples R China.; Tian, SY (corresponding author), Tongde Hosp Zhejiang Prov, Dept Ultrasound, Hangzhou 310012, Peoples R China.</t>
  </si>
  <si>
    <t>tianshuyuan@zcmu.edu.cn; fuliwu@zjut.edu.cn</t>
  </si>
  <si>
    <t>Natural Science Foundation of China [62577049]</t>
  </si>
  <si>
    <t>This research was supported by the Natural Science Foundation of China (No.62577049).</t>
  </si>
  <si>
    <t>[Hao, Pengyi; Zhang, Jilong; Zhang, Siyuan; Wu, Fuli] Zhejiang Univ Technol, Coll Comp Sci &amp; Technol, Coll Software, Hangzhou 310014, Peoples R China; [Tian, Shuyuan] Tongde Hosp Zhejiang Prov, Dept Ultrasound, Hangzhou 310012, Peoples R China</t>
  </si>
  <si>
    <t>Zhejiang University of Technology; Tongde Hospital of Zhejiang Province</t>
  </si>
  <si>
    <t>UltraReporter for transforming spoken diagnostic cues into structured ultrasound reports with large language models</t>
  </si>
  <si>
    <t>SCIENTIFIC REPORTS</t>
  </si>
  <si>
    <t>Zhang, Siyuan/0009-0000-3059-7555</t>
  </si>
  <si>
    <t>2045-2322</t>
  </si>
  <si>
    <t>SCI REP-UK</t>
  </si>
  <si>
    <t>Sci Rep</t>
  </si>
  <si>
    <t>MAR 16 2026</t>
  </si>
  <si>
    <t>13662</t>
  </si>
  <si>
    <t>10.1038/s41598-026-41439-w</t>
  </si>
  <si>
    <t>http://dx.doi.org/10.1038/s41598-026-41439-w</t>
  </si>
  <si>
    <t>HG2TX</t>
  </si>
  <si>
    <t>41839979</t>
  </si>
  <si>
    <t>WOS:001753339000013</t>
  </si>
  <si>
    <t>Wang, DQ; Ye, JG; Li, JN; Liang, JB; Zhang, QK; Hu, QL; Pan, CE; Wang, DL; Liu, Z; Shi, W; Guo, MX; Li, F; Du, W; Zheng, YF</t>
  </si>
  <si>
    <t>Background: Large language models (LLMs) offer the potential to improve virtual patient-physician communication and reduce health care professionals' workload. However, limitations in accuracy, outdated knowledge, and safety issues restrict their effective use in real clinical settings. Addressing these challenges is crucial for making LLMs a reliable health care tool. Objective: This study aimed to evaluate the efficacy of Med-RISE, an information retrieval and augmentation tool, in comparison with baseline LLMs, focusing on enhancing accuracy and safety in medical question answering across diverse clinical domains. Methods: This comparative study introduces Med-RISE, an enhanced version of a retrieval-augmented generation framework specifically designed to improve question-answering performance across wide-ranging medical domains and diverse disciplines. Med-RISE consists of 4 key steps: query rewriting, information retrieval (providing local and real-time retrieval), summarization, and execution (a fact and safety filter before output). This study integrated Med-RISE with 4 LLMs (GPT-3.5, GPT-4, Vicuna-13B, and ChatGLM-6B) and assessed their performance on 4 multiple-choice medical question datasets: MedQA (US Medical Licensing Examination), PubMedQA (original and revised versions), MedMCQA, and EYE500. Primary outcome measures included answer accuracy and hallucination rates, with hallucinations categorized into factuality (inaccurate information) or faithfulness (inconsistency with instructions) types. This study was conducted between March 2024 and August 2024. Results: The integration of Med-RISE with each LLM led to a substantial increase in accuracy, with improvements ranging from 9.8% to 16.3% (mean 13%, SD 2.3%) across the 4 datasets. The enhanced accuracy rates were 16.3%, 12.9%, 13%, and 9.8%for GPT-3.5, GPT-4, Vicuna-13B, and ChatGLM-6B, respectively. In addition, Med-RISE effectively reduced hallucinations, with reductions ranging from 11.8% to 18% (mean 15.1%, SD 2.8%), factuality hallucinations decreasing by 13.5%, and faithfulness hallucinations decreasing by 5.8%. The hallucination rate reductions were 17.7%, 12.8%, 18%, and 11.8% for GPT-3.5, GPT-4, Vicuna-13B, andChatGLM-6B, respectively. Conclusions:The Med-RISE framework significantly improves the accuracy and reduces the hallucinations of LLMsin medical question answering across benchmark datasets. By providing local and real-time information retrieval and fact and safety filtering, Med-RISE enhances the reliability and interpretability of LLMs in the medical domain, offering a promising tool for clinical practice and decision support.</t>
  </si>
  <si>
    <t>Wang, Dingqiao; Ye, Jinguo; Li, Jingni; Liang, Jiangbo; Zhang, Qikai; Hu, Qiuling; Pan, Caineng; Wang, Dongliang; Liu, Zhong; Shi, Wen; Guo, Mengxiang; Li, Fei; Du, Wei; Zheng, Ying-Feng</t>
  </si>
  <si>
    <t>Zheng, YF (corresponding author), Sun Yat sen Univ, Zhongshan Ophthalm Ctr, Guangdong Prov Clin Res Ctr Ocular Dis, State Key Lab Ophthalmol,Guangdong Prov Key Lab Op, 07 Jinsui Rd, Guangzhou 510060, Peoples R China.</t>
  </si>
  <si>
    <t>zhyfeng@mail.sysu.edu.cn</t>
  </si>
  <si>
    <t>National Natural Science Foundation of China [82171034, 81721003]</t>
  </si>
  <si>
    <t>Acknowledgments This study was supported by the National Natural Science Foundation of China (grants 82171034 and 81721003) .</t>
  </si>
  <si>
    <t>[Wang, Dingqiao; Ye, Jinguo; Li, Jingni; Liang, Jiangbo; Zhang, Qikai; Hu, Qiuling; Pan, Caineng; Wang, Dongliang; Liu, Zhong; Shi, Wen; Li, Fei; Zheng, Ying-Feng] Sun Yat sen Univ, Zhongshan Ophthalm Ctr, Guangdong Prov Clin Res Ctr Ocular Dis, State Key Lab Ophthalmol,Guangdong Prov Key Lab Op, 07 Jinsui Rd, Guangzhou 510060, Peoples R China; [Wang, Dingqiao; Du, Wei] Sun Yat Sen Univ, Affiliated Hosp 8, Dept Ophthalmol, Shenzhen, Guangdong, Peoples R China; [Guo, Mengxiang] Guangzhou Women &amp; Childrens Med Ctr, Guangzhou, Peoples R China</t>
  </si>
  <si>
    <t>Sun Yat Sen University; Sun Yat Sen University; Guangzhou Medical University</t>
  </si>
  <si>
    <t>Enhancing Large Language Models for Improved Accuracy and Safety in Medical Question Answering: Comparative Study</t>
  </si>
  <si>
    <t>large language models; ChatGPT; medical question answering; health care communication; retrieval-augmented generation</t>
  </si>
  <si>
    <t>CHATGPT; GPT-4</t>
  </si>
  <si>
    <t>Zheng, Yingfeng/CAH-4522-2022; Liu, Zhong/JAZ-1744-2023</t>
  </si>
  <si>
    <t>pan, caineng/0000-0001-7988-5363; Liu, Zhong/0000-0001-9209-4179; Ye, Jinguo/0009-0008-7440-4100; Wang, Dingqiao/0009-0007-2648-6677</t>
  </si>
  <si>
    <t>e70190</t>
  </si>
  <si>
    <t>10.2196/70190</t>
  </si>
  <si>
    <t>http://dx.doi.org/10.2196/70190</t>
  </si>
  <si>
    <t>P0811</t>
  </si>
  <si>
    <t>41329953</t>
  </si>
  <si>
    <t>WOS:001633224100001</t>
  </si>
  <si>
    <t>Wang, HC; Zhao, SD; Qiang, ZW; Li, ZJ; Liu, C; Xi, NW; Du, YR; Qin, B; Liu, T</t>
  </si>
  <si>
    <t>Large Language Models (LLMs) have demonstrated remarkable success in diverse natural language processing (NLP) tasks in general domains. However, LLMs sometimes generate responses with the hallucination about medical facts due to limited domain knowledge. Such shortcomings pose potential risks in the utilization of LLMs within medical contexts. To address this challenge, we propose knowledge-tuning, which leverages structured medical knowledge bases for the LLMs to grasp domain knowledge efficiently and facilitate trustworthy response generation. We also release cMedKnowQA, a Chinese medical knowledge question- answering dataset constructed from medical knowledge bases to assess the medical knowledge proficiency of LLMs. Experimental results show that the LLMs which are knowledge-tuned with cMedKnowQA can exhibit higher levels of accuracy in response generation compared with vanilla instruction-tuning and offer a new trustworthy way for the domain adaptation of LLMs. We release our code and data at https://github.com/SCIRHI/Huatuo-Llama-Med-Chinese.</t>
  </si>
  <si>
    <t>Wang, Haochun; Zhao, Sendong; Qiang, Zewen; Li, Zijian; Liu, Chi; Xi, Nuwa; Du, Yanrui; Qin, Bing; Liu, Ting</t>
  </si>
  <si>
    <t>Science Citation Index Expanded (SCI-EXPANDED); Science Citation Index Expanded (SCI-EXPANDED)</t>
  </si>
  <si>
    <t>Zhao, SD (corresponding author), Harbin Inst Technol, Harbin, Heilongjiang, Peoples R China.</t>
  </si>
  <si>
    <t>zijianli@ir.hit.edu.cn; yrdu@ir.hit.edu.cn; sdzhao@ir.hit.edu.cn; bqin@ir.hit.edu.cn; tliu@ir.hit.edu.cn; zwqiang@ir.hit.edu.cn; hcwang@ir.hit.edu.cn; cliu@ir.hit.edu.cn; nwxi@ir.hit.edu.cn</t>
  </si>
  <si>
    <t>National Key R &amp; D Program of China [2021ZD0113302]; National Natural Science Foundation of China Youth Fund [62206079]; Heilongjiang Provincial Natural Science Foundation of China [YQ2022F006]</t>
  </si>
  <si>
    <t>National Key R &amp; D Program of China (National Key Research &amp; Development Program of China); National Natural Science Foundation of China Youth Fund; Heilongjiang Provincial Natural Science Foundation of China (Natural Science Foundation of Heilongjiang Province)</t>
  </si>
  <si>
    <t>The authors gratefully acknowledge the support of the National Key R &amp; D Program of China (2021ZD0113302) , the National Natural Science Foundation of China Youth Fund (62206079) , and the Heilongjiang Provincial Natural Science Foundation of China (YQ2022F006) . They also appreciate the support from Du Xiaoman Technology on the research.</t>
  </si>
  <si>
    <t>[Wang, Haochun; Zhao, Sendong; Qiang, Zewen; Li, Zijian; Liu, Chi; Xi, Nuwa; Du, Yanrui; Qin, Bing; Liu, Ting] Harbin Inst Technol, Harbin, Heilongjiang, Peoples R China</t>
  </si>
  <si>
    <t>Harbin Institute of Technology</t>
  </si>
  <si>
    <t>Knowledge-tuning Large Language Models with Structured Medical Knowledge Bases for Trustworthy Response Generation in Chinese</t>
  </si>
  <si>
    <t>ACM TRANSACTIONS ON KNOWLEDGE DISCOVERY FROM DATA</t>
  </si>
  <si>
    <t>Large Language Model; Medical Question Answering; Trustworthy Response Generation; Medical Knowledge Base</t>
  </si>
  <si>
    <t>Nie, Feiping/B-3039-2012; Li, Xuelong/Z-3785-2019</t>
  </si>
  <si>
    <t>Nie, Feiping/0000-0002-0871-6519; Wang, Haochun/0000-0003-2908-9750; Zhao, Sendong/0000-0002-4676-1812; Liu, Chi/0009-0007-7028-4124; 李, 子健/0009-0002-5735-3598; Wang, Sisi/0000-0001-9594-5370</t>
  </si>
  <si>
    <t>1556-4681</t>
  </si>
  <si>
    <t>1556-472X</t>
  </si>
  <si>
    <t>ACM T KNOWL DISCOV D</t>
  </si>
  <si>
    <t>ACM Trans. Knowl. Discov. Data</t>
  </si>
  <si>
    <t>53</t>
  </si>
  <si>
    <t>10.1145/3686807</t>
  </si>
  <si>
    <t>http://dx.doi.org/10.1145/3686807</t>
  </si>
  <si>
    <t>Computer Science, Information Systems; Computer Science, Software Engineering</t>
  </si>
  <si>
    <t>Y6W9P</t>
  </si>
  <si>
    <t>WOS:001433512200004</t>
  </si>
  <si>
    <t>Reis, ZSN; Pagano, AS; de Oliveira, IJR; Dias, CD; Lage, EM; Mineiro, EF; Pereira, GMV; Gomes, ID; Basilio, VA; Cruz-Correia, RJ; de Jesus, DD; de Souza, AP Jr; da Rocha, LCD</t>
  </si>
  <si>
    <t>Objective: To assess the support of large language models (LLMs) in generating clearer and more personalized medication instructions to enhance e-prescription. Patients and Methods: We established patient-centered guidelines for adequate, acceptable, and personalized directions to enhance e-prescription. A dataset comprising 104 outpatient scenarios, with an array of medications, administration routes, and patient conditions, was developed following the Brazilian national e-prescribing standard. Three prompts were submitted to a closed-source LLM. The first prompt involved a generic command, the second one was calibrated for content enhancement and personalization, and the third one requested bias mitigation. The third prompt was submitted to an open-source LLM. Outputs were assessed using automated metrics and human evaluation. We conducted the study between March 1, 2024 and September 10, 2024. Results: Adequacy scores of our closed-source LLM's output showed the third prompt outperforming the first and second one. Full and partial acceptability was achieved in 94.3% of texts with the third prompt. Personalization was rated highly, especially with the second and third prompts. The 2 LLMs showed similar adequacy results. Lack of scientific evidence and factual errors were infrequent and unrelated to a particular prompt or LLM. The frequency of hallucinations was different for each LLM and concerned prescriptions issued upon symptom manifestation and medications requiring dosage adjustment or involving intermittent use. Gender bias was found in our closed-source LLM's output for the first and second prompts, with the third one being bias-free. The second LLM's output was bias-free. Conclusion: This study demonstrates the potential of LLM-supported generation to produce prescription directions and improve communication between health professionals and patients within the e-prescribing system. (c) 2024 THE AUTHORS. Published by Elsevier Inc on behalf of Mayo Foundation for Medical Education and Research. This is an open access article under the CC BY license (http://creativecommons.org/licenses/by/4.0/) &lt;black square&gt;</t>
  </si>
  <si>
    <t>Reis, Zilma Silveira Nogueira; Pagano, Adriana Silvina; de Oliveira, Isaias Jose Ramos; Dias, Cristiane dos Santos; Lage, Eura Martins; Mineiro, Erico Franco; Pereira, Glaucia Miranda Varella; Gomes, Igor de Carvalho; Basilio, Vinicius Araujo; Cruz-Correia, Ricardo Joao; de Jesus, Davi dos Reis; de Souza Junior, Antonio Pereira; da Rocha, Leonardo Chaves Dutra</t>
  </si>
  <si>
    <t>Reis, ZSN (corresponding author), Univ Fed Minas Gerais UFMG, Fac Med, Hlth Informat Ctr, Ave Prof Alfredo Balena 190, BR-30130100 Belo Horizonte, MG, Brazil.</t>
  </si>
  <si>
    <t>zilma.medicina@gmail.com</t>
  </si>
  <si>
    <t>Bill &amp; Melinda Gates Foundation [INV-009289]; Conselho Nacional de Desenvolvimento Cientificoe Tecnologico, Brazil [400758/2024-5]; Conselho Nacional de Desenvolvimento Cienti fi co e Tecnolgico [CNPq] [305837/2021-4, 313103/2021-6, 307229/2021-1]; CNPq, Brazil; Grant Challenges Brazil</t>
  </si>
  <si>
    <t>Bill &amp; Melinda Gates Foundation (Bill &amp; Melinda Gates Foundation, Bill &amp; Melinda Gates Foundation Grand Challenges Explorations Initiative, CGIAR); Conselho Nacional de Desenvolvimento Cientificoe Tecnologico, Brazil (Conselho Nacional de Desenvolvimento Cientifico e Tecnologico (CNPQ)); Conselho Nacional de Desenvolvimento Cienti fi co e Tecnolgico [CNPq] (Conselho Nacional de Desenvolvimento Cientifico e Tecnologico (CNPQ)); CNPq, Brazil (Conselho Nacional de Desenvolvimento Cientifico e Tecnologico (CNPQ)); Grant Challenges Brazil</t>
  </si>
  <si>
    <t>Grant Support: This study was funded by the Bill &amp; Melinda Gates Foundation (grant number INV-009289) and Conselho Nacional de Desenvolvimento Cientificoe Tecnologico, Brazil (grant number 400758/2024-5) . Z.S.N.R. (Conselho Nacional de Desenvolvimento Cientificoe Tecnologico [CNPq] 305837/2021-4) , A.S.P. (CNPq 313103/2021-6) , and L.C.D.d.R. (CNPq 307229/2021-1) are researchers with a grant from CNPq, Brazil. No sponsor had any role in the study design, data collection, data analysis, data interpretation, writing, or decision to submit the manuscript. The work was also supported by Grant Challenges Brazil</t>
  </si>
  <si>
    <t>[Reis, Zilma Silveira Nogueira; de Oliveira, Isaias Jose Ramos; Lage, Eura Martins; Basilio, Vinicius Araujo] Univ Fed Minas Gerais, Fac Med, Hlth Informat Ctr, Belo Horizonte, MG, Brazil; [Pagano, Adriana Silvina] Univ Fed Minas Gerais, Arts Fac, Belo Horizonte, MG, Brazil; [Dias, Cristiane dos Santos] Univ Fed Minas Gerais, Dept Pediat, Fac Med, Belo Horizonte, MG, Brazil; [Mineiro, Erico Franco] Univ Fed Minas Gerais, Sch Architecture, Dept Design Technol, Belo Horizonte, MG, Brazil; [Pereira, Glaucia Miranda Varella] Univ Estadual Campinas, Fac Med Sci, Dept Obstet &amp; Gynecol, Campinas, SP, Brazil; [Gomes, Igor de Carvalho] Brazilian Minist Hlth, Dept Med Comunidade Informacao &amp; Decisao Saude, Brasilia, Brazil; [Cruz-Correia, Ricardo Joao] Univ Porto, MED CIDS, Porto, Portugal; [de Jesus, Davi dos Reis; de Souza Junior, Antonio Pereira; da Rocha, Leonardo Chaves Dutra] Univ Fed Sao Joao Rei, Dept Comp Sci, Sao Joao Del Rei, MG, Brazil</t>
  </si>
  <si>
    <t>Universidade Federal de Minas Gerais; Universidade Federal de Minas Gerais; Universidade Federal de Minas Gerais; Universidade Federal de Minas Gerais; Universidade Estadual de Campinas; Universidade do Porto; Universidade Federal de Sao Joao del-Rei</t>
  </si>
  <si>
    <t>Evaluating Large Language Model-Supported Instructions for Medication Use: First Steps Toward a Comprehensive Model</t>
  </si>
  <si>
    <t>MAYO CLINIC PROCEEDINGS: DIGITAL HEALTH</t>
  </si>
  <si>
    <t>PRESCRIPTION; INFORMATION; READABILITY</t>
  </si>
  <si>
    <t>Pagano, Adriana Silvina/U-2391-2017; Reis, Zilma/H-8105-2013</t>
  </si>
  <si>
    <t>Pagano, Adriana Silvina/0000-0002-3150-3503</t>
  </si>
  <si>
    <t>2949-7612</t>
  </si>
  <si>
    <t>MAYO CLIN P DIGIT H</t>
  </si>
  <si>
    <t>Mayo Clin. Proc. Digit. Health</t>
  </si>
  <si>
    <t>632</t>
  </si>
  <si>
    <t>644</t>
  </si>
  <si>
    <t>10.1016/j.mcpdig.2024.09.006</t>
  </si>
  <si>
    <t>http://dx.doi.org/10.1016/j.mcpdig.2024.09.006</t>
  </si>
  <si>
    <t>7RR5V</t>
  </si>
  <si>
    <t>39679140</t>
  </si>
  <si>
    <t>WOS:001578058800018</t>
  </si>
  <si>
    <t>Eski, S; Taskan, H</t>
  </si>
  <si>
    <t>Objectives: Large Language Models (LLMs) are increasingly used for medical decision support, yet their safety, guideline adherence, and uncertainty calibration in cardiovascular care remain insufficiently defined. This study provides a snapshot evaluation of these parameters to address this gap. Methods: A targeted audit of five widely used LLMs (ChatGPT-5.1, Claude 3.5 Sonnet, Gemini 3.0, Llama-3 70B, Copilot) was evaluated on 45 clinically grounded cardiovascular scenarios spanning guideline-defined, greyzone, and adversarial categories. Each model produced two responses per scenario; the second response was analyzed to reduce stochastic variability. Five blinded cardiologists independently scored clinical risk, guideline concordance, epistemic humility, hallucinations, and composite safety failure. Inter-rater reliability was assessed using ICC(2, k), and non-parametric repeated-measures analyses were performed. This design reflects a structured clinical decision-support audit rather than an exhaustive assessment of AI's maximal clinical capabilities. Results: Inter-rater reliability was excellent for safety failure (ICC = 0.93) and epistemic humility (ICC = 0.91), and good for guideline concordance (ICC = 0.87) and clinical risk (ICC = 0.79). Performance varied substantially across models. Gemini showed no safety failures across all scenarios, whereas Llama had the highest mean clinical risk (0.51 +/- 1.06) and hallucination rate (15.6%). The only recurrent multi-model vulnerability occurred in high-risk NSTEMI cases, where four models deviated from ESC Class III ("harm") guidance by endorsing routine P2Y12 pre-treatment and/or inappropriate invasive-strategy stratification. Humility correlated modestly with lower risk (rho= -0.28), yet Llama demonstrated dysfunctional humility - cautious phrasing paired with unsafe recommendations. Adversarial prompts increased risk in several models but not Gemini. Conclusions: This limited-scope audit of legacy interactions demonstrates that LLM behavior in cardiovascular decision support is highly model-dependent. The findings represent a best-case scenario for human-AI agreement and support the need for domain-specific, guideline-anchored evaluation and uncertainty-aware safeguards prior to deployment in high-stakes clinical decision-support workflows.</t>
  </si>
  <si>
    <t>Eski, Selen; Taskan, Hatice</t>
  </si>
  <si>
    <t>Social Science Citation Index (SSCI)</t>
  </si>
  <si>
    <t>Eski, S (corresponding author), Dogubayazit State Hosp, Dept Cardiol, Agri, Turkiye.</t>
  </si>
  <si>
    <t>seleneski@gmail.com</t>
  </si>
  <si>
    <t>[Eski, Selen] Dogubayazit State Hosp, Dept Cardiol, Agri, Turkiye; [Taskan, Hatice] Haseki Training &amp; Res Hosp, Dept Cardiol, Istanbul, Turkiye</t>
  </si>
  <si>
    <t>Dr. Yasar Eryilmaz Dogubeyazit State Hospital; Istanbul Haseki Training &amp; Research Hospital</t>
  </si>
  <si>
    <t>Dysfunctional humility and safety failures in large language models: A multidimensional evaluation in cardiovascular decision-making</t>
  </si>
  <si>
    <t>HEALTH POLICY AND TECHNOLOGY</t>
  </si>
  <si>
    <t>Adversarial robustness; Cardiovascular decision support; Dysfunctional humility; Hallucinations; Large language models</t>
  </si>
  <si>
    <t>UNCERTAINTY QUANTIFICATION</t>
  </si>
  <si>
    <t>Eski, Selen/PMG-2669-2026</t>
  </si>
  <si>
    <t>ELSEVIER SCI LTD</t>
  </si>
  <si>
    <t>London</t>
  </si>
  <si>
    <t>125 London Wall, London, ENGLAND</t>
  </si>
  <si>
    <t>2211-8837</t>
  </si>
  <si>
    <t>HEALTH POLICY TECHN</t>
  </si>
  <si>
    <t>Health Policy Technol.</t>
  </si>
  <si>
    <t>101183</t>
  </si>
  <si>
    <t>10.1016/j.hlpt.2026.101183</t>
  </si>
  <si>
    <t>http://dx.doi.org/10.1016/j.hlpt.2026.101183</t>
  </si>
  <si>
    <t>Health Policy &amp; Services</t>
  </si>
  <si>
    <t>FD7DR</t>
  </si>
  <si>
    <t>WOS:001716296700001</t>
  </si>
  <si>
    <t>Koller, P; Prenosil, GA; Shi, KY; Cavinato, L</t>
  </si>
  <si>
    <t>LLMs represent a transformative evolution from traditional NLP approaches in nuclear medicine, offering unprecedented capabilities that extend far beyond the rule-based and statistical methods previously employed in the field. Current research demonstrates their superior utility in managing complex medical information, supporting clinical decisions, assisting with multimodal imaging tasks, and enhancing medical education. However, this technological advancement comes with critical challenges that were less prominent in earlier NLP systems, including reliability concerns (hallucinations), the need for specialized domain knowledge, multimodal data integration complexities, standardized evaluation frameworks, and heightened ethical and privacy considerations. The transition from traditional NLP to LLMs highlights the promise of more advanced language understanding and generation capabilities, offering opportunities to enhance personalized and efficient health care in nuclear medicine and theranostics. At the same time, these models demand rigorous validation, careful domain adaptation, and responsible implementation strategies to ensure patient safety and clinical reliability. By addressing these challenges through targeted research and clinical validation, LLMs can fulfill their potential as transformative tools in specialized medical practice.</t>
  </si>
  <si>
    <t>Koller, Pia; Prenosil, George A.; Shi, Kuangyu; Cavinato, Lara</t>
  </si>
  <si>
    <t>Cavinato, L (corresponding author), Politecn Milan, MOX Lab, Dept Math, Milan, Italy.</t>
  </si>
  <si>
    <t>lara.cavinato@polimi.it</t>
  </si>
  <si>
    <t>[Koller, Pia; Prenosil, George A.] Bern Univ Hosp, Inselspital, Dept Nucl Med, Bern, Switzerland; [Koller, Pia; Prenosil, George A.] Univ Bern, Bern, Switzerland; [Shi, Kuangyu] Univ Bern, Bern Univ Hosp, Dept Nucl Med, Bern, Switzerland; [Cavinato, Lara] Politecn Milan, MOX Lab, Dept Math, Milan, Italy</t>
  </si>
  <si>
    <t>University of Bern; University Hospital of Bern; University of Bern; University of Bern; University Hospital of Bern; Polytechnic University of Milan</t>
  </si>
  <si>
    <t>Large Language Models Are Reshaping Patient Data Management and Clinical Practice in Nuclear Medicine</t>
  </si>
  <si>
    <t>PET CLINICS</t>
  </si>
  <si>
    <t>Large language models; Nuclear medicine; Theranostics; Precision medicine; Review</t>
  </si>
  <si>
    <t>AI</t>
  </si>
  <si>
    <t>Cavinato, Lara/AAB-2932-2022</t>
  </si>
  <si>
    <t>Shi, Kuangyu/0000-0002-8714-3084</t>
  </si>
  <si>
    <t>ELSEVIER INC</t>
  </si>
  <si>
    <t>525 B STREET, STE 1900, SAN DIEGO, CA 92101-4495 USA</t>
  </si>
  <si>
    <t>1556-8598</t>
  </si>
  <si>
    <t>1559-7814</t>
  </si>
  <si>
    <t>PET CLIN</t>
  </si>
  <si>
    <t>PET Clin.</t>
  </si>
  <si>
    <t>10.1016/j.cpet.2025.09.009</t>
  </si>
  <si>
    <t>http://dx.doi.org/10.1016/j.cpet.2025.09.009</t>
  </si>
  <si>
    <t>I8932</t>
  </si>
  <si>
    <t>41125503</t>
  </si>
  <si>
    <t>WOS:001627002900004</t>
  </si>
  <si>
    <t>Romoff, M; Brunette, M; Peterson, MK; Hashmi, SZ; Kim, MS</t>
  </si>
  <si>
    <t>IntroductionPatient education is crucial for informed decision-making. Current educational materials are often written at a higher grade level than the American Medical Association (AMA)-recommended sixth-grade level. Few studies have assessed the readability of orthopaedic materials such as American Academy of Orthopaedic Surgeons (AAOS) OrthoInfo articles, and no studies have suggested efficient methods to improve readability. This study assessed the readability of OrthoInfo spine articles and investigated the ability of large language models (LLMs) to improve readability.MethodsA cross-sectional study analyzed 19 OrthoInfo articles using validated readability metrics (Flesch-Kincaid Grade Level and Reading Ease). Articles were simplified iteratively in three steps using ChatGPT, Gemini, and CoPilot. LLMs were prompted to summarize text, followed by two clarification prompts simulating patient inquiries. Word count, readability, and accuracy were assessed at each step. Accuracy was rated by two independent reviewers using a three-point scale (3 = fully accurate, 2 = minor inaccuracies, 1 = major inaccuracies). Statistical analysis included one-way and two-way ANOVA, followed by Tukey post-hoc tests for pairwise comparisons.ResultsBaseline readability exceeded AMA recommendations, with a mean Flesch-Kincaid Grade Level of 9.5 and a Reading Ease score of 51.1. LLM summaries provided statistically significant improvement in readability, with the greatest improvements in the first iteration. All three LLMs performed similarly, though ChatGPT achieved statistically significant improvements in Reading Ease scores. Gemini incorporated appropriate disclaimers most consistently. Accuracy remained stable throughout, with no evidence of hallucination or compromise in content quality or medical relevance.DiscussionLLMs effectively simplify orthopaedic educational content by reducing grade levels, enhancing readability, and maintaining acceptable accuracy. Readability improvements were most significant in initial simplification steps, with all models performing consistently. These findings support the integration of LLMs into patient education workflows, offering a scalable strategy to improve health literacy, enhance patient comprehension, and promote more equitable access to medical information across diverse populations.</t>
  </si>
  <si>
    <t>Romoff, Melissa; Brunette, Madison; Peterson, Melanie K.; Hashmi, Sohaib Z.; Kim, Michael S.</t>
  </si>
  <si>
    <t>Kim, MS (corresponding author), Univ Calif Irvine, Dept Orthopaed Surg, Sch Med, 101 City Dr S,Pavil 3,Bldg 29 A, Orange, CA 92868 USA.</t>
  </si>
  <si>
    <t>michak14@hs.uci.edu</t>
  </si>
  <si>
    <t>[Romoff, Melissa; Brunette, Madison; Peterson, Melanie K.; Hashmi, Sohaib Z.; Kim, Michael S.] Univ Calif Irvine, Dept Orthopaed Surg, Sch Med, 101 City Dr S,Pavil 3,Bldg 29 A, Orange, CA 92868 USA</t>
  </si>
  <si>
    <t>University of California System; University of California Irvine</t>
  </si>
  <si>
    <t>The role of large language models in improving the readability of orthopaedic spine patient educational material</t>
  </si>
  <si>
    <t>JOURNAL OF ORTHOPAEDIC SURGERY AND RESEARCH</t>
  </si>
  <si>
    <t>AUTONOMY; CARE</t>
  </si>
  <si>
    <t>Romoff, Melissa/LZF-3045-2025</t>
  </si>
  <si>
    <t>Romoff, Melissa/0009-0009-1881-9923; Kim, Michael/0000-0002-2532-5851</t>
  </si>
  <si>
    <t>1749-799X</t>
  </si>
  <si>
    <t>J ORTHOP SURG RES</t>
  </si>
  <si>
    <t>J. Orthop. Surg. Res.</t>
  </si>
  <si>
    <t>MAY 28 2025</t>
  </si>
  <si>
    <t>531</t>
  </si>
  <si>
    <t>10.1186/s13018-025-05955-1</t>
  </si>
  <si>
    <t>http://dx.doi.org/10.1186/s13018-025-05955-1</t>
  </si>
  <si>
    <t>3ER8S</t>
  </si>
  <si>
    <t>40426209</t>
  </si>
  <si>
    <t>WOS:001498558800001</t>
  </si>
  <si>
    <t>Zhou, YC; Lin, SY; Wang, XH; Hu, K</t>
  </si>
  <si>
    <t>Introduction The rapid evolution of large language models has demonstrated human-level proficiency in general English-language medical examinations, yet their applicability in highly specialized, non-English clinical domains remains insufficiently explored.Methods To bridge this gap, this study benchmarked leading domestic (Qwen 3 Max, DeepSeek V3.2) and international (GPT-5, Gemini 2.5 Flash) models against a board-certified Chinese radiation oncologist, using the National Intermediate Professional Title Examination for Radiation Oncology in China. Statistical comparisons were conducted using mixed-effects logistic regression and McNemar's test for paired data.Results Domestic models demonstrated strong performance, with Qwen achieving an accuracy of 86.30%, which was higher than that of the single physician reference participant (adjusted P = 0.020). However, because only one human participant was included, this comparison should be interpreted as an illustrative reference rather than evidence of general superiority over radiation oncologists. In contrast, international models exhibited a marked performance decline in this specific context. Detailed cognitive stratification revealed a distinct reasoning-recall dissociation in international models, which maintained relatively robust clinical reasoning capabilities but failed significantly in localized knowledge retrieval. Notably, translating the examination into English did not bridge this performance gap for international models, while revealing a significant language penalty for certain domestic architectures (e.g., DeepSeek, P = 0.013). Granular error analysis confirmed that the majority of failures in international models like GPT-5 stemmed from discrepancies between Western and Chinese clinical guidelines rather than intrinsic reasoning deficits or hallucinations.Discussion These findings suggest that, within this examination-based Chinese radiation oncology benchmark, alignment with regional clinical standards may be a major contributor to model performance. However, differences in model architecture, training data, post-training, interface configuration, and potential test-set contamination may also contribute.</t>
  </si>
  <si>
    <t>Zhou, Yuchen; Lin, Shuyu; Wang, Xinhai; Hu, Ke</t>
  </si>
  <si>
    <t>Hu, K (corresponding author), Chinese Acad Med Sci &amp; Peking Union Med Coll, Peking Union Med Coll Hosp, Dept Radiat Oncol, Beijing, Peoples R China.</t>
  </si>
  <si>
    <t>huke8000@126.com</t>
  </si>
  <si>
    <t>National Natural Science Foundation of China [62476287]; Beijing Municipal Science and Technology Plan (Special Project: Cultivation of Innovative Pharmaceutical Varieties and Platforms), Beijing Municipal Science and Technology Commission; Zhongguancun Science Park Administration Committee [Z251100004625026]</t>
  </si>
  <si>
    <t>National Natural Science Foundation of China (National Natural Science Foundation of China (NSFC)); Beijing Municipal Science and Technology Plan (Special Project: Cultivation of Innovative Pharmaceutical Varieties and Platforms), Beijing Municipal Science and Technology Commission; Zhongguancun Science Park Administration Committee</t>
  </si>
  <si>
    <t>The author(s) declared that financial support was received for this work and/or its publication. This work is supported by National Natural Science Foundation of China (No.62476287), and Beijing Municipal Science and Technology Plan (Special Project: Cultivation of Innovative Pharmaceutical Varieties and Platforms), Beijing Municipal Science and Technology Commission and Zhongguancun Science Park Administration Committee (No. Z251100004625026).</t>
  </si>
  <si>
    <t>[Zhou, Yuchen; Wang, Xinhai; Hu, Ke] Chinese Acad Med Sci &amp; Peking Union Med Coll, Peking Union Med Coll Hosp, Dept Radiat Oncol, Beijing, Peoples R China; [Zhou, Yuchen] Tsinghua Univ, Sch Med, Tsinghua Med, Beijing, Peoples R China; [Lin, Shuyu] Chinese Acad Med Sci Peking Union Med Coll, Canc Hosp, Dept Radiat Oncol,Natl Canc Ctr, Natl Clin Res Ctr Canc, Beijing, Peoples R China</t>
  </si>
  <si>
    <t>Chinese Academy of Medical Sciences - Peking Union Medical College; Peking Union Medical College; Peking Union Medical College Hospital; Tsinghua University; Chinese Academy of Medical Sciences - Peking Union Medical College; Cancer Institute &amp; Hospital - CAMS; Peking Union Medical College</t>
  </si>
  <si>
    <t>Knowledge localization is associated with higher performance of domestic large language models in a Chinese radiation oncology examination</t>
  </si>
  <si>
    <t>FRONTIERS IN ONCOLOGY</t>
  </si>
  <si>
    <t>clinical reasoning; knowledge localization; large language models; medical education; radiation oncology</t>
  </si>
  <si>
    <t>2234-943X</t>
  </si>
  <si>
    <t>FRONT ONCOL</t>
  </si>
  <si>
    <t>Front. Oncol.</t>
  </si>
  <si>
    <t>1808714</t>
  </si>
  <si>
    <t>10.3389/fonc.2026.1808714</t>
  </si>
  <si>
    <t>http://dx.doi.org/10.3389/fonc.2026.1808714</t>
  </si>
  <si>
    <t>KJ7XX</t>
  </si>
  <si>
    <t>42388626</t>
  </si>
  <si>
    <t>WOS:001808629200001</t>
  </si>
  <si>
    <t>Pesapane, F; Nicosia, L; Rotili, A; Penco, S; Dominelli, V; Trentin, C; Ferrari, F; Signorelli, G; Carriero, S; Cassano, E</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</si>
  <si>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</si>
  <si>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Pesapane, Filippo; Nicosia, Luca; Rotili, Anna; Penco, Silvia; Dominelli, Valeria; Trentin, Chiara; Ferrari, Federica; Signorelli, Giulia; Carriero, Serena; Cassano, Enrico</t>
  </si>
  <si>
    <t>Pesapane, F (corresponding author), IEO European Inst Oncol IRCCS, Radiol Dept, Breast Imaging Div, Milan, Italy.</t>
  </si>
  <si>
    <t>giulia.signorelli@ieo.it; enrico.cassano@ieo.it; filippo.pesapane@ieo.it; silvia.penco@ieo.it; serena.carriero@gmail.com; valeria.dominelli@ieo.it; chiara.trentin@ieo.it; federica.ferrari@ieo.it; anna.rotili@ieo.it; luca.nicosia@ieo.it</t>
  </si>
  <si>
    <t>Italian Ministry of Health Ricerca Corrente 5x1000 funds</t>
  </si>
  <si>
    <t>We recognize the contributions of the LLM OpenAI's ChatGPT, version 4 (GPT-4), for the AI interpretations provided for this study. The GPT-4 was accessed on 14-21 November 2023, and the reports were generated to simulate potential outcomes of LLMs' analysis in mammographic interpretation. This work was partially supported by the Italian Ministry of Health Ricerca Corrente 5x1000 funds.</t>
  </si>
  <si>
    <t>[Pesapane, Filippo; Nicosia, Luca; Rotili, Anna; Penco, Silvia; Dominelli, Valeria; Trentin, Chiara; Ferrari, Federica; Signorelli, Giulia; Cassano, Enrico] IEO European Inst Oncol IRCCS, Radiol Dept, Breast Imaging Div, Milan, Italy; [Carriero, Serena] Fdn IRCCS Ca Granda Osped Maggiore Policlin, Dept Radiol &amp; Intervent Radiol, Milan, Italy</t>
  </si>
  <si>
    <t>IRCCS Ca Granda Ospedale Maggiore Policlinico</t>
  </si>
  <si>
    <t>A preliminary investigation into the potential, pitfalls, and limitations of large language models for mammography interpretation</t>
  </si>
  <si>
    <t>DISCOVER ONCOLOGY</t>
  </si>
  <si>
    <t>Pesapane, Filippo/AAE-8214-2020; /AAE-8730-2019; /AAQ-7913-2020; Nicosia, Luca/AAB-7879-2019</t>
  </si>
  <si>
    <t>Pesapane, Filippo/0000-0002-0374-5054; Nicosia, Luca/0000-0003-3979-8075</t>
  </si>
  <si>
    <t>2730-6011</t>
  </si>
  <si>
    <t>DISCOV ONCOL</t>
  </si>
  <si>
    <t>Discov. Oncol.</t>
  </si>
  <si>
    <t>FEB 24 2025</t>
  </si>
  <si>
    <t>233</t>
  </si>
  <si>
    <t>10.1007/s12672-025-02005-4</t>
  </si>
  <si>
    <t>http://dx.doi.org/10.1007/s12672-025-02005-4</t>
  </si>
  <si>
    <t>Oncology; Endocrinology &amp; Metabolism</t>
  </si>
  <si>
    <t>Y5D3H</t>
  </si>
  <si>
    <t>39992569</t>
  </si>
  <si>
    <t>WOS:001432321900001</t>
  </si>
  <si>
    <t>Kermansaravi, M; Pantelis, A; Torensma, B; Shahabi, S; Mazzarella, M; D'Arco, S; Lee, Y; Okrainec, A; Leite, S; Shin, TH; Cohen, RV</t>
  </si>
  <si>
    <t>Background Artificial intelligence (AI), including large language models (LLMs), is increasingly transforming medicine and surgery by improving precision, efficiency, and communication. Despite significant potential, adoption is limited by technical, ethical, and regulatory challenges, requiring clinician oversight and foundational knowledge. This study assesses AI familiarity, use, and perceptions among obesity care professionals, including metabolic and bariatric surgeons and integrated health (IH) professionals. Methods The IFSO AI Task Force conducted a confidential online survey of metabolic bariatric surgeons and IH professionals to assess familiarity, use, benefits, concerns, barriers, and future trust regarding LLMs. The 46-item questionnaire was validated by experts, piloted, and disseminated via professional channels. Responses were analyzed descriptively, with open-ended items categorized for context, while incomplete responses were included without imputation. Results A total of 243 global metabolic bariatric surgeons and IH completed the survey. 76% had used LLMs, primarily ChatGPT, for research, presentations, patient education, and documentation, with daily or weekly use common. Respondents cited efficiency, time-saving, improved patient education, and decision support as benefits. Concerns included data privacy, bias, hallucinations, and workflow integration. Few had formal AI training. Overall, clinicians viewed LLMs as supportive assistants requiring oversight, transparency, and institutional guidance. Conclusion Clinicians use LLMs cautiously in metabolic and bariatric practice, mainly for documentation, education, and information synthesis. They recognize risks, limitations, and the need for human oversight, transparency, and institutional governance. Current use reflects exploration rather than full endorsement, highlighting the importance of evaluation, training, and structured guidance as AI evolves in medicine.</t>
  </si>
  <si>
    <t>Kermansaravi, Mohammad; Pantelis, Athanasios; Torensma, Bart; Shahabi, Shahab; Mazzarella, Manuela; D'arco, Stefanie; Lee, Yung; Okrainec, Allan; Leite, Silvia; Shin, Thomas H.; Cohen, Ricardo, V</t>
  </si>
  <si>
    <t>Kermansaravi, M (corresponding author), Iran Univ Med Sci, Hazrat E Fatemeh Hosp, Div Minimally Invas &amp; Bariatr Surg, Dept Surg,Minimally Invas Surg Res Ctr, Tehran, Iran.; Cohen, RV (corresponding author), Hosp Alemao Oswaldo Cruz, Ctr Treatment Obes &amp; Diabet, Sao Paulo, Brazil.</t>
  </si>
  <si>
    <t>silvialeitefaria@gmail.com; shshahabi@yahoo.com; ricardo.cohen@haoc.com.br; ifso.info1@gmail.com; ADZ2TX@uvahealth.org; secretariat@ifso.com; bart@torensmaresearch.nl; Allan.Okrainec@uhn.ca; mkermansaravi@yahoo.com; ath.pantelis@gmail.com; yung.lee@medportal.ca</t>
  </si>
  <si>
    <t>[Kermansaravi, Mohammad; Shahabi, Shahab] Iran Univ Med Sci, Hazrat E Fatemeh Hosp, Div Minimally Invas &amp; Bariatr Surg, Dept Surg,Minimally Invas Surg Res Ctr, Tehran, Iran; [Pantelis, Athanasios] Athens Med Grp Psychiko Clin, Obes &amp; Metab Disorders Surg Dept, Athens, Greece; [Torensma, Bart] Erasmus MC, Dept Clin Epidemiol, Rotterdam, Netherlands; [Torensma, Bart] WeightWorks Clin, Dept Surg, Amersfoort, Netherlands; [Lee, Yung] McMaster Univ, Div Gen Surg, Hamilton, ON, Canada; [Okrainec, Allan] Univ Toronto, Univ Hlth Network, Div Gen Surg, Toronto, ON, Canada; [Leite, Silvia] Univ Brasilia, Human Nutr Dept, Brasilia, DF, Brazil; [Shin, Thomas H.] Univ Virginia, Dept Surg, Charlottesville, VA USA; [Cohen, Ricardo, V] Hosp Alemao Oswaldo Cruz, Ctr Treatment Obes &amp; Diabet, Sao Paulo, Brazil</t>
  </si>
  <si>
    <t>Iran University of Medical Sciences; Erasmus University Rotterdam; Erasmus MC; McMaster University; University of Toronto; University Health Network Toronto; Universidade de Brasilia; University of Virginia (UVA) Health System; University of Virginia</t>
  </si>
  <si>
    <t>IFSO Survey: Use of Large Language Models (LLMs) by Metabolic Bariatric Surgeons and Integrated Health Professionals</t>
  </si>
  <si>
    <t>OBESITY SURGERY</t>
  </si>
  <si>
    <t>Artificial Intelligence; Large Language Models; Metabolic and Bariatric Surgery; Survey; IFSO Task Force</t>
  </si>
  <si>
    <t>Torensma, Bart/ACC-5371-2022; Pantelis, Athanasios/AAP-8278-2020; Okrainec, Allan/AAD-2260-2021; Kermansaravi, Mohammad/G-1154-2017</t>
  </si>
  <si>
    <t>Shin, Thomas/0000-0003-2076-270X</t>
  </si>
  <si>
    <t>0960-8923</t>
  </si>
  <si>
    <t>1708-0428</t>
  </si>
  <si>
    <t>OBES SURG</t>
  </si>
  <si>
    <t>Obes. Surg.</t>
  </si>
  <si>
    <t>1397</t>
  </si>
  <si>
    <t>1405</t>
  </si>
  <si>
    <t>10.1007/s11695-026-08578-5</t>
  </si>
  <si>
    <t>http://dx.doi.org/10.1007/s11695-026-08578-5</t>
  </si>
  <si>
    <t>Surgery</t>
  </si>
  <si>
    <t>GO8TS</t>
  </si>
  <si>
    <t>41838364</t>
  </si>
  <si>
    <t>WOS:001715625000001</t>
  </si>
  <si>
    <t>Kang, T; Yuan, C; Hu, XY; Huang, WJ</t>
  </si>
  <si>
    <t>Background: Hypospadias is a common congenital malformation requiring surgery. Caregivers face substantial perioperative information needs, and large language models (LLMs) offer a potential health education channel, but their performance in pediatric urology and the relation between citation accuracy and clinical content safety lack systematic evaluation. Objective: This study aimed to evaluate 5 LLMs (ChatGPT-4o, Gemini-2.5-Pro, OpenEvidence, Zhipu Qingyan, and DeepSeek) for pediatric hypospadias perioperative consultation, and to characterize the dimensions clinicians and caregivers prioritize. Methods: A noninterventional cross-sectional study was conducted at a tertiary hospital in April 2025. From a 40-item bank, 10 high-priority questions were selected by an independent caregiver screening cohort (N=34, cohort A) and classified into 3 risk levels. Twenty-three pediatric urology experts (6 dimensions) and 36 primary caregivers (cohort B; 4 dimensions) evaluated responses by double-blind forced-ranking (reverse-scored, 5=best). Friedman tests with Kendall W assessed overall differences; paired Wilcoxon tests with Bonferroni correction (adjusted alpha=.005) and rank-biserial r with Hodges-Lehmann 95% CIs were used post hoc. Reference authenticity was independently verified by 2 reviewers (XH and WH) using a 5-category scheme (V/PV/F/G/NR [V: Verifiable, PV: Partially Verifiable, F: Fabricated, G: Guideline-Based, Nonspecific, and NR: No References]), with consensus after canonical-source reverification (Cohen kappa=0.702 preadjudication). An 8-reviewer clinical safety audit (7 senior specialists plus 1 European Association of Urology [EAU]-anchored intermediate-title clinician) applied a 4-level severity scheme (None/Mild/Moderate/Severe). Results: Models differed significantly (caregiver: chi &amp; sup2;4=77.5, W=0.538, P&lt;.001; expert: chi &amp; sup2;4=62.2, W=0.676, P&lt;.001). Gemini-2.5-Pro ranked first (expert median 5.0, IQR 3.0-5.0; caregiver 4.0, IQR 3.0-5.0). DeepSeek ranked second (4.0 both), with superior Empathy versus ChatGPT-4o (r=-0.343; P&lt;.001). OpenEvidence scored lowest (2.0 both), despite high citation accuracy. Expert-caregiver agreement was strong (Spearman rho=0.89; P=.04). Citation accuracy diverged sharply: OpenEvidence was fully verifiable (V=100%, F=0%), whereas DeepSeek and Zhipu Qingyan showed the highest fabrication (F of 33% and 24%, respectively); Gemini-2.5-Pro fabricated none but used nonspecific guideline citations (G=85%). The safety audit yielded 78 flags, including 9 Severe-level flags across 5 question-model combinations; OpenEvidence carried the largest Severe burden (5 of 9) and the highest severity-weighted score, whereas Gemini-2.5-Pro had the lowest. Bibliographic accuracy and clinical safety were dissociable, and the ranking held under poststratification weighting. Conclusions: High citation accuracy does not guarantee clinical safety. In the first dual-perspective evaluation, no model was uniformly best. Gemini-2.5-Pro was most comprehensive but relied on nonspecific guidelines. DeepSeek scored highest on caregiver-rated Empathy, yet it had the highest fabrication rate. OpenEvidence produced the most verifiable citations but carried the heaviest Severe-flag burden. These dimension-level priorities, the dissociation between citation quality and safety, and the portable evaluation framework can inform future pediatric medical-artificial intelligence (AI) development.For perioperative use, AI should follow a tiered human-machine collaboration model with mandatory clinician oversight in high-risk scenarios.</t>
  </si>
  <si>
    <t>Kang, Ting; Yuan, Chi; Hu, Xinyu; Huang, Wenjiao</t>
  </si>
  <si>
    <t>Huang, WJ (corresponding author), Sichuan Univ, West China Hosp, Dept Pediat Surg, 37 Guoxue Xiang, Chengdu, Sichuan, Peoples R China.</t>
  </si>
  <si>
    <t>bubuhwj@163.com</t>
  </si>
  <si>
    <t>Postdoctoral Research Fund of West China Hospital, Sichuan University [2025HXBH053]</t>
  </si>
  <si>
    <t>Postdoctoral Research Fund of West China Hospital, Sichuan University</t>
  </si>
  <si>
    <t>Funding This research was funded by the Postdoctoral Research Fund of West China Hospital, Sichuan University (grant 2025HXBH053) . All authors declare that they have no financial interests or collaborative relationships with the developers of the artificial intelligence models involved in this study.</t>
  </si>
  <si>
    <t>[Kang, Ting; Yuan, Chi; Hu, Xinyu; Huang, Wenjiao] Sichuan Univ, West China Hosp, Dept Pediat Surg, 37 Guoxue Xiang, Chengdu, Sichuan, Peoples R China</t>
  </si>
  <si>
    <t>Sichuan University</t>
  </si>
  <si>
    <t>Performance of 5 Large Language Models in Perioperative Consultation for Pediatric Hypospadias: Cross-Sectional Comparative Study</t>
  </si>
  <si>
    <t>large language models; hypospadias; perioperative care; caregivers; artificial intelligence</t>
  </si>
  <si>
    <t>GENERAL-ANESTHESIA; AGE; EXPOSURE; OUTCOMES; CHILDREN</t>
  </si>
  <si>
    <t>Hu, yuxi/0009-0001-4311-4898</t>
  </si>
  <si>
    <t>JUL 29 2026</t>
  </si>
  <si>
    <t>e93393</t>
  </si>
  <si>
    <t>10.2196/93393</t>
  </si>
  <si>
    <t>http://dx.doi.org/10.2196/93393</t>
  </si>
  <si>
    <t>MK7QQ</t>
  </si>
  <si>
    <t>42525870</t>
  </si>
  <si>
    <t>WOS:001844579300004</t>
  </si>
  <si>
    <t>de Almeida, VA; de Camargo, V; Gómez-Bravo, R; van Boven, K; van der Haring, E; Finger, M; Lopez, LF</t>
  </si>
  <si>
    <t>Objectives Medical coding structures health-care data for research, quality monitoring, and policy. This study assesses the potential of large language models (LLMs) to assign International Classification of Primary Care, 2nd edition (ICPC-2) codes using the output of a domain-specific search engine. Materials and Methods A dataset of 437 Brazilian Portuguese clinical expressions, each annotated with ICPC-2 codes, was used. A semantic search engine (OpenAI's text-embedding-3-large) retrieved candidates from 73 563 labeled concepts. Thirty-three LLMs were prompted with each query and retrieved results to select the best-matching ICPC-2 code. Performance was evaluated using F1-score, along with token usage, cost, response time, and format adherence. Results Twenty-eight models achieved F1-score&gt;0.8; 10 exceeded 0.85. Top performers included gpt-4.5-preview, o3, and gemini-2.5-pro. Retriever optimization can improve performance by up to 4 points. Most models returned valid codes in the expected format, with reduced hallucinations. Smaller models (&lt;3B parameters) struggled with formatting and input length. Conclusion Large language models show strong potential for automating ICPC-2 coding, even without fine-tuning. This work offers a benchmark and highlights challenges, but findings are limited by dataset scope and setup. Broader, multilingual, end-to-end evaluations are needed for clinical validation.</t>
  </si>
  <si>
    <t>Anjos de Almeida, Vinicius; de Camargo, Vinicius; Gomez-Bravo, Raquel; van Boven, Kees; van der Haring, Egbert; Finger, Marcelo; Fernandez Lopez, Luis</t>
  </si>
  <si>
    <t>de Almeida, VA (corresponding author), Univ Sao Paulo, Med Sch, Av Dr Arnaldo 455, BR-01246903 Sao Paulo, SP, Brazil.</t>
  </si>
  <si>
    <t>vinicius.almeida@alumni.usp.br</t>
  </si>
  <si>
    <t>[Anjos de Almeida, Vinicius; Fernandez Lopez, Luis] Univ Sao Paulo, Med Sch, Av Dr Arnaldo 455, BR-01246903 Sao Paulo, SP, Brazil; [de Camargo, Vinicius] Univ Sao Paulo, Sch Publ Hlth, Dept Epidemiol, Av Dr Arnaldo 715, BR-01246904 Sao Paulo, SP, Brazil; [Gomez-Bravo, Raquel] Ctr Hosp Neuropsychiat, Rehaklin, 17 Ave Allies, L-9002 Ettelbruck, Luxembourg; [van Boven, Kees] Radboud Univ Nijmegen, Dept Primary &amp; Community Care, Geert Grootepl Zuid 10, NL-6525 GA Nijmegen, Netherlands; [Finger, Marcelo] Univ Sao Paulo, Inst Math &amp; Stat, Dept Comp Sci, Rua Matao 1010, BR-05508090 Sao Paulo, SP, Brazil</t>
  </si>
  <si>
    <t>Universidade de Sao Paulo; Universidade de Sao Paulo; Radboud University Nijmegen; Universidade de Sao Paulo</t>
  </si>
  <si>
    <t>Large language models as medical code selectors: a benchmark using the International Classification of Primary Care</t>
  </si>
  <si>
    <t>large language models; medical coding; International Classification of Primary Care</t>
  </si>
  <si>
    <t>ICD-10; SYSTEM</t>
  </si>
  <si>
    <t>Lopez, Luis/C-4721-2012; Camargo, Vinicius/QMQ-1296-2026; van Boven, C./L-4224-2015</t>
  </si>
  <si>
    <t>Anjos de Almeida, Vinícius/0009-0001-1273-586X</t>
  </si>
  <si>
    <t>ooag017</t>
  </si>
  <si>
    <t>10.1093/jamiaopen/ooag017</t>
  </si>
  <si>
    <t>http://dx.doi.org/10.1093/jamiaopen/ooag017</t>
  </si>
  <si>
    <t>EB2VX</t>
  </si>
  <si>
    <t>41727414</t>
  </si>
  <si>
    <t>WOS:001696983400001</t>
  </si>
  <si>
    <t>Lu, M; Li, CZ; Wang, PB; Wang, CX; Zhang, LT; Liu, Z; Ye, QW; Hua, Y; Cai, YS; Xu, YB; Zhao, H; Huang, FR; Zhang, X; Yu, PS</t>
  </si>
  <si>
    <t>Edgar Allan Poe noted, "Truth often lurks in the shadow of error," highlighting the deep complexity intrinsic to the interplay between truth and falsehood, notably under conditions of cognitive and informational asymmetry. This dynamic is strikingly evident in large language models (LLMs). Despite their impressive linguistic generation capabilities, LLMs sometimes produce information that appears factually accurate but is, in reality, fabricated, an issue often referred to as "hallucinations." The prevalence of these hallucinations can mislead users, affecting their judgments and decisions. In sectors such as finance, law, and healthcare, such misinformation risks causing substantial economic losses, legal disputes, and health risks, with wide-ranging consequences. In our research, we have methodically categorized and analyzed the causes, detection methods, and solutions related to LLM hallucinations. Our efforts specifically focus on elucidating the root causes of hallucinations and evaluating current strategies, thereby laying the groundwork for developing robust mitigation techniques.</t>
  </si>
  <si>
    <t>Lu, Ming; Li, Chaozhuo; Wang, Pengbo; Wang, Chenxu; Zhang, Litian; Liu, Zheng; Ye, Qiwei; Hua, Yi; Cai, Yushan; Xu, Yuanbo; Zhao, Hao; Huang, Feiran; Zhang, Xi; Yu, Philip S.</t>
  </si>
  <si>
    <t>Li, CZ (corresponding author), Beijing Univ Posts &amp; Telecommun, Beijing 100876, Peoples R China.</t>
  </si>
  <si>
    <t>caiyushan.cpe@cnpc.com.cn; litianzhang@bupt.edu.cn; huayi.cpe@cnpc.com.cn; zhengliu1026@gmail.com; qwye@baai.ac.cn; zhangx@bupt.edu.cn; 1696280515@bupt.edu.cn; 20221018267@stu.shzu.edu.cn; yuanbox@jlu.edu.cn; huangfr@jnu.edu.cn; lichaozhuo@bupt.edu.cn; luming@buaa.edu.cn; zhaohao.cpe@cnpc.com.cn</t>
  </si>
  <si>
    <t>Beijing Natural Science Foundation [L251037]; Fundamental Research Funds for the Central Universities</t>
  </si>
  <si>
    <t>Beijing Natural Science Foundation (Beijing Natural Science Foundation); Fundamental Research Funds for the Central Universities (Fundamental Research Funds for the Central Universities)</t>
  </si>
  <si>
    <t>This work was supported in part by the Beijing Natural Science Foundation under Grant L251037 and in part by the Fundamental Research Funds for the Central Universities.</t>
  </si>
  <si>
    <t>[Lu, Ming] Zhongguancun Rongzhi Enterprise Management Innovat, Beijing 100190, Peoples R China; [Li, Chaozhuo; Wang, Pengbo; Zhang, Xi] Beijing Univ Posts &amp; Telecommun, Beijing 100876, Peoples R China; [Wang, Chenxu] Shihezi Univ, Shihezi 832003, Peoples R China; [Zhang, Litian] Beihang Univ, Beijing 100191, Peoples R China; [Liu, Zheng; Ye, Qiwei] Beijing Acad Artificial Intelligence, Beijing 100000, Peoples R China; [Hua, Yi; Cai, Yushan; Zhao, Hao] China Petr Engn &amp; Construct Corp, Beijing 100000, Peoples R China; [Xu, Yuanbo] Jilin Univ, Jilin 130012, Peoples R China; [Huang, Feiran] Jinan Univ, Guangzhou 510632, Guangdong, Peoples R China; [Yu, Philip S.] Univ Illinois, Dept Comp Sci, Chicago, IL 60607 USA</t>
  </si>
  <si>
    <t>Beijing University of Posts &amp; Telecommunications; Shihezi University; Beihang University; Beijing Academy of Artificial Intelligence; Jilin University; Jinan University; University of Illinois System; University of Illinois Chicago; University of Illinois Chicago Hospital</t>
  </si>
  <si>
    <t>Loki's Dance of Illusions: A Comprehensive Survey of Hallucination in Large Language Models</t>
  </si>
  <si>
    <t>IEEE TRANSACTIONS ON COMPUTATIONAL SOCIAL SYSTEMS</t>
  </si>
  <si>
    <t>Surveys; Prevention and mitigation; Electronic mail; Taxonomy; Training; Systematics; Medical services; Large language models; Semantics; Measurement; Large language models (LLM) hallucination survey</t>
  </si>
  <si>
    <t>Zhang, Xi/0000-0002-2111-7385</t>
  </si>
  <si>
    <t>213</t>
  </si>
  <si>
    <t>2329-924X</t>
  </si>
  <si>
    <t>IEEE T COMPUT SOC SY</t>
  </si>
  <si>
    <t>IEEE Trans. Comput. Soc. Syst.</t>
  </si>
  <si>
    <t>10.1109/TCSS.2026.3661295</t>
  </si>
  <si>
    <t>http://dx.doi.org/10.1109/TCSS.2026.3661295</t>
  </si>
  <si>
    <t>Computer Science, Cybernetics; Computer Science, Information Systems</t>
  </si>
  <si>
    <t>FU0QV</t>
  </si>
  <si>
    <t>WOS:001727399100001</t>
  </si>
  <si>
    <t>Leon, M</t>
  </si>
  <si>
    <t>The rapid evolution of Generative Pre-trained Transformers (GPTs) has revolutionized natural language processing, enabling models to generate coherent text, solve mathematical problems, write code, and even reason about complex tasks. This paper presents a scientific review of GPT-5, OpenAI's latest flagship model, and examines its innovations in comparison to previous generations of GPT. We summarize the model's architecture and features, including hierarchical routing, expanded context windows, and enhanced tool-use capabilities, and survey empirical evidence of improved performance on academic benchmarks. A dedicated section discusses the release of open-weight mixture-of-experts models (GPT-OSS), describing their technical design, licensing, and comparative performance. Our analysis synthesizes findings from recent literature on long-context evaluation, cognitive biases, medical summarization, and hallucination vulnerability, highlighting where GPT-5 advances the state of the art and where challenges remain. We conclude by discussing the implications of open-weight models for transparency and reproducibility and propose directions for future research on evaluation, safety, and agentic behavior.</t>
  </si>
  <si>
    <t>Leon, Maikel</t>
  </si>
  <si>
    <t>Leon, M (corresponding author), Univ Miami, Dept Business Technol, Miami Herbert Business Sch, 5250 Univ Dr, Coral Gables, FL 33146 USA.</t>
  </si>
  <si>
    <t>mleon@miami.edu</t>
  </si>
  <si>
    <t>[Leon, Maikel] Univ Miami, Dept Business Technol, Miami Herbert Business Sch, 5250 Univ Dr, Coral Gables, FL 33146 USA</t>
  </si>
  <si>
    <t>University of Miami</t>
  </si>
  <si>
    <t>GPT-5 and open-weight large language models: Advances in reasoning, transparency, and control</t>
  </si>
  <si>
    <t>INFORMATION SYSTEMS</t>
  </si>
  <si>
    <t>GPT-5; Large language models; Open-weight models; Reasoning; Evaluation</t>
  </si>
  <si>
    <t>Leon, Maikel/AAT-1532-2021</t>
  </si>
  <si>
    <t>Leon, Maikel/0000-0002-8849-4521</t>
  </si>
  <si>
    <t>PERGAMON-ELSEVIER SCIENCE LTD</t>
  </si>
  <si>
    <t>THE BOULEVARD, LANGFORD LANE, KIDLINGTON, OXFORD OX5 1GB, ENGLAND</t>
  </si>
  <si>
    <t>0306-4379</t>
  </si>
  <si>
    <t>1873-6076</t>
  </si>
  <si>
    <t>INFORM SYST</t>
  </si>
  <si>
    <t>Inf. Syst.</t>
  </si>
  <si>
    <t>136</t>
  </si>
  <si>
    <t>102620</t>
  </si>
  <si>
    <t>10.1016/j.is.2025.102620</t>
  </si>
  <si>
    <t>http://dx.doi.org/10.1016/j.is.2025.102620</t>
  </si>
  <si>
    <t>7RH4Z</t>
  </si>
  <si>
    <t>WOS:001577795500001</t>
  </si>
  <si>
    <t>Burn, F; Zwick, C; Weibel, J; Fischer, C; Veer, R; Essmann, L; Lampart, M; Chamo, M; George, C; Gafner, S; Wildisen, S; Vanecko, M; Ordoñez, K; Vieira, MA; Eisenring, C; Mueller, B; Perruchoud, DO; Struja, T</t>
  </si>
  <si>
    <t>Writing discharge notes (DNs) is a time-intensive task in inpatient care that contributes substantially to physician workload and burnout. Large language models (LLMs) offer potential opportunities to automate clinical documentation. However, concerns regarding accuracy, reliability, data privacy protection laws and data governance, and compliance with healthcare privacy remain. This study evaluated the performance of locally deployed, domain-adapted LLMs for generating German-language DN in internal medicine. In this retrospective study, electronic health record data from a Swiss tertiary care hospital were used. Clinical information from 3 inpatient scenarios served as input for the 3 open source LLMs (Mixtral 8 &amp; times;7B, Mixtral 8 &amp; times;22B, and LLaMA 3.1 70B). Zero-shot prompting, 4-shot in-context learning, and supervised fine-tuning using QLoRA were compared. Generated DNs were evaluated using automated metrics, blinded physician assessment with direct comparison of all relevant clinical information using the modified Physician Documentation Quality Instrument, and additionally an LLM-as-a-judge framework and a Turing Test. Across all evaluation methods, the fine-tuned Mixtral 8 &amp; times;7B model achieved the best overall performance compared with prompting-based approaches and larger nonspecialized models. Simpler cases consistently received higher-quality ratings. Physician inter-rater agreement was low, highlighting the challenges of objective quality assessment for clinical documentation. In a Turing Test, physicians were unable to reliably distinguish artificial intelligence-generated from clinician-authored DNs, performing at chance level, demonstrating that high-quality DN generation is feasible using locally deployed LLMs within secure hospital infrastructures. Domain-specific fine-tuning substantially improves performance and may enable practical deployment. Future work should address further hallucination mitigation, robustness across medical specialties, and real-world integration.</t>
  </si>
  <si>
    <t>Burn, Felice; Zwick, Chantal; Weibel, Joseph; Fischer, Cyril; Veer, Rick; Essmann, Lennart; Lampart, Maurin; Chamo, Michael; George, Carola; Gafner, Sandra; Wildisen, Simone; Vanecko, Martin; Ordonez, Kimberly; Vieira, Monica Alexandra; Eisenring, Christian; Mueller, Beat; Perruchoud, Daniel Olivier; Struja, Tristan</t>
  </si>
  <si>
    <t>Burn, F (corresponding author), Cantonal Hosp Aarau, Ctr Excellence &amp; Data Sci, Aarau, Switzerland.</t>
  </si>
  <si>
    <t>felice.burn@ksa.ch</t>
  </si>
  <si>
    <t>Hightech Zentrum Aargau; Forschungsrat des Kantonsspitals Aarau [FR1410.000.214]</t>
  </si>
  <si>
    <t>Hightech Zentrum Aargau; Forschungsrat des Kantonsspitals Aarau</t>
  </si>
  <si>
    <t>This study was mainly funded by an accelerator innovation grant from High-Tech-Zentrum Aargau in Switzerland, and additionally, the expenses for the ethical committee approval and for infrastructural services as well as further administrative costs for this study were supported by a booster research grant from Cantonal Hospital Aarau (FR1410.000.214).</t>
  </si>
  <si>
    <t>[Burn, Felice; Fischer, Cyril] Cantonal Hosp Aarau, Ctr Excellence &amp; Data Sci, Aarau, Switzerland; [Zwick, Chantal; Weibel, Joseph; Perruchoud, Daniel Olivier] FHNW Brugg Wind, Inst Data Sci, Windisch, Switzerland; [Veer, Rick; Essmann, Lennart; Lampart, Maurin; Chamo, Michael; George, Carola; Gafner, Sandra; Wildisen, Simone; Mueller, Beat; Struja, Tristan] Cantonal Hosp Aarau, Univ Dept, Div Gen Internal &amp; Emergency Med, Aarau, Switzerland; [Vanecko, Martin; Ordonez, Kimberly; Vieira, Monica Alexandra; Eisenring, Christian] Notfall Zurich 3, Zurich, Switzerland; [Struja, Tristan] MIT, Inst Med Engn &amp; Sci, Lab Computat Physiol, Cambridge, MA USA; [Struja, Tristan] Hosp Muri, Aargau, Switzerland</t>
  </si>
  <si>
    <t>Massachusetts Institute of Technology (MIT)</t>
  </si>
  <si>
    <t>Toward Responsible and Privacy-Preserving Generation of Inpatient Clinical Discharge Notes Using Large Language Models</t>
  </si>
  <si>
    <t>COMPUTATIONAL AND STRUCTURAL BIOTECHNOLOGY JOURNAL</t>
  </si>
  <si>
    <t>2001-0370</t>
  </si>
  <si>
    <t>COMPUT STRUCT BIOTEC</t>
  </si>
  <si>
    <t>Comp. Struct. Biotechnol. J..</t>
  </si>
  <si>
    <t>JUL 9 2026</t>
  </si>
  <si>
    <t>0151</t>
  </si>
  <si>
    <t>10.34133/csbj.0151</t>
  </si>
  <si>
    <t>http://dx.doi.org/10.34133/csbj.0151</t>
  </si>
  <si>
    <t>Biochemistry &amp; Molecular Biology; Biotechnology &amp; Applied Microbiology</t>
  </si>
  <si>
    <t>ML9PW</t>
  </si>
  <si>
    <t>WOS:001845390700001</t>
  </si>
  <si>
    <t>Hakim, JB; Painter, JL; Ramcharran, D; Kara, V; Powell, G; Sobczak, P; Sato, C; Bate, A; Beam, A</t>
  </si>
  <si>
    <t>Large language models (LLMs) are useful tools with the capacity for performing specific types of knowledge work at an effective scale. However, LLM deployments in high-risk and safety-critical domains pose unique challenges, notably the issue of "hallucinations", where LLMs can generate fabricated information. This is particularly concerning in settings such as drug safety, where inaccuracies could lead to patient harm. To mitigate these risks, we have developed and demonstrated a proof of concept suite of guardrails specifically designed to mitigate certain types of hallucinations and errors for drug safety, with potential applicability to other medical safety-critical contexts. These guardrails include mechanisms to detect anomalous documents to prevent the ingestion of inappropriate data, identify incorrect drug names or adverse event terms, and convey uncertainty in generated content. We integrated these guardrails with an LLM fine-tuned for a text-to-text task, which involves converting both structured and unstructured data within adverse event reports into natural language. This method was applied to translate individual case safety reports, demonstrating effective application in a pharmacovigilance processing task. Our guardrail framework offers a set of tools with broad applicability across various domains, ensuring LLMs can be safely used in high-risk situations by eliminating the occurrence of key errors, including the generation of incorrect pharmacovigilance-related terms, thus adhering to stringent regulatory and quality standards in medical safety-critical environments.</t>
  </si>
  <si>
    <t>Hakim, Joe B.; Painter, Jeffery L.; Ramcharran, Darmendra; Kara, Vijay; Powell, Greg; Sobczak, Paulina; Sato, Chiho; Bate, Andrew; Beam, Andrew</t>
  </si>
  <si>
    <t>Bate, A (corresponding author), GSK, London, England.; Bate, A (corresponding author), London Sch Hyg &amp; Trop Med, London, England.</t>
  </si>
  <si>
    <t>andrew_beam@hms.harvard.edu</t>
  </si>
  <si>
    <t>GlaxoSmithKline Biologicals S.A</t>
  </si>
  <si>
    <t>This research was funded by GlaxoSmithKline Biologicals S.A.</t>
  </si>
  <si>
    <t>[Hakim, Joe B.] Harvard MIT Dept Hlth Sci &amp; Technol, Cambridge, MA USA; [Painter, Jeffery L.; Powell, Greg] GSK, Durham, NC USA; [Ramcharran, Darmendra] GSK, Providence, RI USA; [Kara, Vijay; Bate, Andrew] GSK, London, England; [Sobczak, Paulina] GSK, Warsaw, Poland; [Sato, Chiho] GSK, Tokyo, Japan; [Bate, Andrew] London Sch Hyg &amp; Trop Med, London, England; [Beam, Andrew] Harvard TH Chan Sch Publ Hlth, Dept Epidemiol, Boston, MA USA</t>
  </si>
  <si>
    <t>Harvard University; GlaxoSmithKline; GlaxoSmithKline; GlaxoSmithKline; Glaxosmithkline United Kingdom; GlaxoSmithKline; GlaxoSmithKline; University of London; London School of Hygiene &amp; Tropical Medicine; Harvard University; Harvard T.H. Chan School of Public Health</t>
  </si>
  <si>
    <t>The need for guardrails with large language models in pharmacovigilance and other medical safety critical settings</t>
  </si>
  <si>
    <t>CAUSALITY ASSESSMENT; AGREEMENT</t>
  </si>
  <si>
    <t>Beam, Andrew/HKE-7517-2023</t>
  </si>
  <si>
    <t>Sobczak, Paulina/0000-0003-4622-8935</t>
  </si>
  <si>
    <t>27886</t>
  </si>
  <si>
    <t>10.1038/s41598-025-09138-0</t>
  </si>
  <si>
    <t>http://dx.doi.org/10.1038/s41598-025-09138-0</t>
  </si>
  <si>
    <t>5PZ4X</t>
  </si>
  <si>
    <t>40738919</t>
  </si>
  <si>
    <t>WOS:001541577700003</t>
  </si>
  <si>
    <t>Abumelha, M; AL-Ghamdi, AA; Fayoumi, A; Ragab, M</t>
  </si>
  <si>
    <t>Background: Medical feature extraction from clinical text is challenging because of limited data availability, variability in medical terminology, and the critical need for trustworthy outputs. Large language models (LLMs) offer promising capabilities but face critical challengeswith hallucination. Objective: This study aims to develop a robust framework for medical feature extraction that enhances accuracy by minimizing the risk of hallucination, even with limited training data. Methods: We developed a two-phase training approach. Phase 1 used instructing fine-tuning to teach feature extraction. Phase 2 introduced confidence-regularization fine-tuning with loss functions penalizing overconfident incorrect predictions, which were captured using bidirectional matching targeting hallucination and missing features. The model was trained using the full data of 700 patient notes and on few-shot 100 patient notes. We evaluated the framework on the United States Medical Licensing Examination Step-2 Clinical Skills dataset, testing on a public split of 200 patient notes and a private split of 1839 patient notes. Performance was assessed using precision, recall, and F1-scores, with error analysis conducted on predicted features from the private test set. Results: Theframework achieved an F1-score of 0.968-0.983 on the full dataset of 700 patient notes and 0.960-0.973 with a few-shot subset of 100 of 700 patient notes (14.2%), outperforming INCITE (intelligent clinical text evaluator; F1=0.883) and DeBERTa (decoding-enhanced bidirectional encoder representations from transformers with disentangled attention; F1=0.958). It reduced hallucinations by 89.9% (from 3081 to 311 features) and missing features by 88.9% (from 6376 to 708) on the private dataset compared with the baseline LLM with few-shot in-context learning. Calibration evaluation on few-shot training (100 patient notes) showed that the expected calibration error increased from 0.060 to 0.147, whereas the Brier score improved from 0.087 to 0.036. Notably, the average model confidence remained stable at 0.84 (SD 0.003) despite F1 improvements from 0.819 to 0.986. Conclusions:Our two-phaseLLM frameworksuccessfullyaddressescritical challengesinautomated medical feature extraction, achieving state-of-the-art performance while reducing hallucination and missing features. The framework's ability to achieve high performance with minimal training data (F1=0.960-0.973 with 100 samples) demonstrates strong generalization capabilities essential for resource-constrained settings in medical education. While traditional calibration metrics show misalignment, the practical benefits of confidence injection led to reduced errors, and inference-time filtering provided reliable outputs suitable for automated clinical assessment applications.</t>
  </si>
  <si>
    <t>Abumelha, Manal; AL-Ghamdi, Abdullah AL-Malaise; Fayoumi, Ayman; Ragab, Mahmoud</t>
  </si>
  <si>
    <t>Abumelha, M (corresponding author), King Abdulaziz Univ, Fac Comp &amp; Informat Technol, Informat Syst Dept, Idara St, Jeddah 21589, Saudi Arabia.; Abumelha, M (corresponding author), King Khalid Univ, Appl Coll Khamis Mushait, Informat Syst Dept, Abha, Saudi Arabia.</t>
  </si>
  <si>
    <t>mabumelha@kku.edu.sa</t>
  </si>
  <si>
    <t>KAU Endowment (WAQF) at King Abdulaziz University, Jeddah, Saudi Arabia; Deanship of Scientific Research (DSR); WAQF</t>
  </si>
  <si>
    <t>KAU Endowment (WAQF) at King Abdulaziz University, Jeddah, Saudi Arabia; Deanship of Scientific Research (DSR) (King Abdulaziz University); WAQF</t>
  </si>
  <si>
    <t>This Project was funded by KAU Endowment (WAQF) at King Abdulaziz University, Jeddah, Saudi Arabia. The authors, therefore, acknowledge with thanks WAQF and the Deanship of Scientific Research (DSR) for technical and financial support.</t>
  </si>
  <si>
    <t>[Abumelha, Manal; AL-Ghamdi, Abdullah AL-Malaise; Fayoumi, Ayman] King Abdulaziz Univ, Fac Comp &amp; Informat Technol, Informat Syst Dept, Idara St, Jeddah 21589, Saudi Arabia; [Abumelha, Manal] King Khalid Univ, Appl Coll Khamis Mushait, Informat Syst Dept, Abha, Saudi Arabia; [AL-Ghamdi, Abdullah AL-Malaise] Dar Alhekma Univ, Sch Engn Comp &amp; Design, Comp Sci Dept, Jeddah, Saudi Arabia; [Ragab, Mahmoud] King Abdulaziz Univ, Fac Comp &amp; Informat Technol, Informat Technol Dept, Jeddah, Saudi Arabia</t>
  </si>
  <si>
    <t>King Abdulaziz University; King Khalid University; King Abdulaziz University</t>
  </si>
  <si>
    <t>Medical Feature Extraction From Clinical Examination Notes: Development and Evaluation of a Two-Phase Large Language Model Framework</t>
  </si>
  <si>
    <t>automated medical assessment; clinical NLP; hallucination mitigation; instruction tuning; large language models; medical feature extraction; semantic matching</t>
  </si>
  <si>
    <t>Ragab, Mahmoud/ACY-2683-2022; Fayoumi, Ayman/E-7236-2014; Abumelha, Manal/OIU-1068-2025</t>
  </si>
  <si>
    <t>Ragab, Mahmoud/0000-0002-4427-0016; Fayoumi, Ayman/0000-0002-4160-3305; Abumelha, Manal/0000-0002-5731-9026</t>
  </si>
  <si>
    <t>e78432</t>
  </si>
  <si>
    <t>10.2196/78432</t>
  </si>
  <si>
    <t>http://dx.doi.org/10.2196/78432</t>
  </si>
  <si>
    <t>R8217</t>
  </si>
  <si>
    <t>41171081</t>
  </si>
  <si>
    <t>WOS:001635976700001</t>
  </si>
  <si>
    <t>Sakharkar, M; Jalihal, P; Chang, S; Patel, P; Chavez, M; Levi, J</t>
  </si>
  <si>
    <t>Objectives Artificial Intelligence (AI) is increasingly integrated into medicine, including otolaryngology. However, concerns remain regarding the accuracy of generated content and the tendency of large language models (LLMs) to fabricate references. This study evaluates the accuracy, appropriateness, readability, and hallucination of references in 2 prevalent large language models, ChatGPT and Claude, in response to common otolaryngological questions.Study Design Prospective observational study.Settings Academic tertiary care center.Methods Thirty-six otolaryngologic questions were individually entered into ChatGPT 4.0 Plus and CLAUDE in separate sessions, with explicit instructions to avoid utilizing previous memories. To assess reproducibility, each query was submitted twice. Two otolaryngologists independently rated the accuracy of responses. Readability was evaluated using the Flesch Reading Ease (FRE) score. Reference hallucinations were assessed by analyzing the reference validity and relevance.Results ChatGPT and CLAUDE had an FRE of 47 and 25.2 out of 100, respectively. For patient readability, ChatGPT scored a 3.60 while Claude scored a 4.68 out of 5. Claude scored slightly higher on accuracy, receiving a score of 4.42 out of 5 while ChatGPT received a 3.81. Both models hallucinated at least half of their references, with some citations irrelevant or incorrectly formatted. Thematic analysis revealed frequent vagueness, poor clinical prioritization, and excessive jargon across both models.Conclusion Both ChatGPT and CLAUDE often produced partially inaccurate, jargon-filled responses and failed to consistently provide valid references when answering common otolaryngologic patient questions. Our results highlight the need for better understanding and regulation of LLM limitations in clinical and patient-facing applications.</t>
  </si>
  <si>
    <t>Sakharkar, Mitali; Jalihal, Parth; Chang, Sarah; Patel, Prachi; Chavez, Melissa; Levi, Jessica</t>
  </si>
  <si>
    <t>Sakharkar, M (corresponding author), 815 Albany St, Boston, MA 02119 USA.</t>
  </si>
  <si>
    <t>mitalisa@bu.edu</t>
  </si>
  <si>
    <t>[Sakharkar, Mitali; Jalihal, Parth; Chang, Sarah; Levi, Jessica] Boston Univ, Chobanian &amp; Avedisian Sch Med, Boston, MA USA; [Patel, Prachi; Chavez, Melissa; Levi, Jessica] Boston Univ, Dept Otolaryngol, Boston, MA USA</t>
  </si>
  <si>
    <t>Boston University; Boston University</t>
  </si>
  <si>
    <t>Large Language Model Responses to Common Otolaryngological Questions: Evaluating Accuracy, Appropriateness, Readability, and Hallucinations</t>
  </si>
  <si>
    <t>OTOLARYNGOLOGY-HEAD AND NECK SURGERY</t>
  </si>
  <si>
    <t>Artificial Intelligence; ChatGPT; Large Language Models; medical misinformation; patient resources</t>
  </si>
  <si>
    <t>0194-5998</t>
  </si>
  <si>
    <t>1097-6817</t>
  </si>
  <si>
    <t>OTOLARYNG HEAD NECK</t>
  </si>
  <si>
    <t>Otolaryngol. Head Neck Surg.</t>
  </si>
  <si>
    <t>10.1002/ohn.70309</t>
  </si>
  <si>
    <t>http://dx.doi.org/10.1002/ohn.70309</t>
  </si>
  <si>
    <t>Otorhinolaryngology; Surgery</t>
  </si>
  <si>
    <t>IQ6GU</t>
  </si>
  <si>
    <t>42212563</t>
  </si>
  <si>
    <t>WOS:001777999100001</t>
  </si>
  <si>
    <t>Seo, D; Cheong, J; Choi, Y; Shin, Y; Park, W</t>
  </si>
  <si>
    <t>Background: Accurate assessment of pulpal status is essential for achieving successful endodontic outcomes. However, direct evaluation remains inherently challenging because the pulp is surrounded by calcified tissue, necessitating reliance on clinical and radiographic examinations for diagnostic and prognostic decision-making. These procedures demand substantial clinical expertise and time, and less-experienced clinicians often face challenges that may lead to errors in diagnosis and treatment planning. Recent advancements in large language models (LLMs) offer promising opportunities to enhance clinical reasoning by facilitating the integration of evidence and supporting methodical diagnostic decision-making. Objective: This study aimed to evaluate the clinical applicability of LLMs by comparing their text-based clinical screening performance and the clinical validity of their treatment plan responses with those of human evaluators. Methods: Between January 2011 and December 2022, 100 clinical cases involving primary endodontic disease were randomly selected from the clinical records of outpatients who visited the Department of Conservative Dentistry or Advanced General Dentistry (AGD) at Yonsei University Dental Hospital. Four prompt types, combining 2 variables (language and role), were used as input for 4 LLMs. Both LLMs and human evaluators (AGD specialists, AGD residents, endodontic residents, and senior dental students) assessed the cases using text-based clinical records. Radiographic images were not directly provided. Screening performance was evaluated using a 0-to-2-point concordance scale, and treatment plan validity and relevance were assessed using a 5-point Likert scale. Results: Among the 4 LLMs evaluated, ChatGPT achieved the highest mean concordance score on Korean-doctor prompts (mean 0.98, SD 0.82). However, this score did not reach the partially correct criterion of 1 on the 0 to 2-point scale. Clova X recorded the lowest mean score on English-patient prompts (mean 0.23, SD 0.63). Across both diagnostic categories, AGD specialists demonstrated the highest diagnostic accuracy (pulpal: 0.70; periapical: 0.65), with higher sensitivity but lower specificity than those exhibited by the other groups. ChatGPT also showed favorable performance among the LLMs, with accuracies of 0.65 (95% CI 0.55-0.74) for pulpal disease and 0.57 (95% CI 0.47-0.69) for periapical disease, which were comparable to those of AGD and endodontic residents. Conclusions: Under image-free clinical record review conditions, ChatGPT 4.0 showed relatively higher and more consistent performance in symptom screening and treatment planning compared to the other LLMs evaluated. However, its highest mean score of 0.98 (SD 0.82) did not reach the partially correct criterion of 1 on the 0 to 2-point scale. Hallucinations generated by LLMs and experience-dependent interpretation biases among human evaluators remain key challenges that require attention. Therefore, continuous clinical supervision and comprehensive user training are necessary for the safe and effective clinical application.</t>
  </si>
  <si>
    <t>Seo, Dahyun; Cheong, Jieun; Choi, Yiseul; Shin, Yooseok; Park, Wonse</t>
  </si>
  <si>
    <t>Shin, Y (corresponding author), Yonsei Univ, Coll Dent, Dept Conservat Dent, 50-1 Yonsei Ro, Seoul 03722, South Korea.</t>
  </si>
  <si>
    <t>densys@yuhs.ac</t>
  </si>
  <si>
    <t>Basic Science Research Program through the National Research Foundation of Korea - Ministry of Education, Science, and Technology [RS-2023-00243783]</t>
  </si>
  <si>
    <t>Basic Science Research Program through the National Research Foundation of Korea - Ministry of Education, Science, and Technology</t>
  </si>
  <si>
    <t>Funding This study was supported by the Basic Science Research Program through the National Research Foundation of Korea and funded by the Ministry of Education, Science, and Technology (grant RS-2023-00243783). The funder had no involvement in the study design, data collection, analysis, interpretation, or the writing of the manuscript.</t>
  </si>
  <si>
    <t>[Seo, Dahyun; Cheong, Jieun; Choi, Yiseul; Park, Wonse] Yonsei Univ, Coll Dent, Dept Adv Gen Dent, Daegu, South Korea; [Choi, Yiseul; Park, Wonse] Yonsei Univ, Inst Innovat Digital Healthcare, Seoul, South Korea; [Choi, Yiseul; Shin, Yooseok] Yonsei Univ, Coll Dent, Dept Conservat Dent, 50-1 Yonsei Ro, Seoul 03722, South Korea</t>
  </si>
  <si>
    <t>Yonsei University; Yonsei University Health System; Yonsei University; Yonsei University; Yonsei University Health System</t>
  </si>
  <si>
    <t>Large Language Models for Endodontic Symptom Assessment and Treatment Planning Using Image-Free Clinical Records: Comparative Evaluation Study</t>
  </si>
  <si>
    <t>natural language processing; decision support systems; clinical; endodontics; prompt design; ChatGPT; Gemini; Microsoft Bing</t>
  </si>
  <si>
    <t>DIAGNOSIS</t>
  </si>
  <si>
    <t>Choi, Yiseul/LFF-9210-2024</t>
  </si>
  <si>
    <t>SEO, DAHYUN/0009-0008-0320-6705</t>
  </si>
  <si>
    <t>e86145</t>
  </si>
  <si>
    <t>10.2196/86145</t>
  </si>
  <si>
    <t>http://dx.doi.org/10.2196/86145</t>
  </si>
  <si>
    <t>LX0AO</t>
  </si>
  <si>
    <t>42497401</t>
  </si>
  <si>
    <t>WOS:001835224600003</t>
  </si>
  <si>
    <t>Nakaphan, P; Damara, I; Lerttiendamrong, B; Shotelersuk, V; Chaisrimaneepan, N</t>
  </si>
  <si>
    <t>Large language models (LLMs) are increasingly used in medical education and clinical decision support, including applications in rheumatology. We evaluated seven publicly accessible LLM tools, ChatGPT (GPT-3.5 and GPT-4.0), Claude Sonnet 4, Gemini, Perplexity AI, DeepSeek, and OpenEvidence, using 50 multiple-choice questions (MCQs) and 25 image-based diagnostic prompts. We assessed accuracy, self-reported confidence, and hallucination rates. In MCQs, DeepSeek achieved the highest accuracy (96%), followed by Claude (94%), GPT-3.5 (92%), GPT-4.0 (92%), Gemini (92%), OpenEvidence (92%), and Perplexity (90%). Image-based performance was lower and more variable, ranging from 16% (Claude) to 56% (Gemini). All models showed significantly reduced odds of correct responses to image questions compared to MCQs (p &lt; 0.01). Claude performed significantly worse than GPT-3.5 on image-based questions (OR 0.24; 95% CI: 0.06-0.86, p = 0.04); no model significantly outperformed GPT-3.5 on MCQs. Confidence scores remained high across all models, ranging from 7 to 10 for MCQs and 8 to 10 for image-based questions. Hallucinations were rare for MCQs (n = 3; 1 Gemini, 2 Perplexity) but common in image responses, ranging from 40% (Gemini) to 84% (Claude). Publicly available LLMs demonstrate high accuracy on text-based rheumatology questions but show limited capability in image interpretation. High confidence in incorrect image responses and frequent hallucinations highlight the need for caution when integrating these tools into clinical education or decision-making.</t>
  </si>
  <si>
    <t>Nakaphan, Pannathorn; Damara, Ivan; Lerttiendamrong, Bhoowit; Shotelersuk, Varote; Chaisrimaneepan, Nattanicha</t>
  </si>
  <si>
    <t>Nakaphan, P (corresponding author), Univ Missouri Kansas City, Dept Internal Med, Kansas City, MO 64110 USA.</t>
  </si>
  <si>
    <t>pannathorn0769@gmail.com; varoteshotelersuk@gmail.com; bhoowit@gmail.com; ivandamara27@gmail.com; nattanicha.chaisrimaneepan@ttuhsc.edu</t>
  </si>
  <si>
    <t>[Nakaphan, Pannathorn] Univ Missouri Kansas City, Dept Internal Med, Kansas City, MO 64110 USA; [Damara, Ivan] Richmond Univ, Dept Med, Med Ctr, New York, NY USA; [Lerttiendamrong, Bhoowit] Univ Connecticut, Dept Internal Med, Farmington, CT USA; [Shotelersuk, Varote; Chaisrimaneepan, Nattanicha] Texas Tech Univ, Hlth Sci Ctr, Dept Med, Lubbock, TX USA</t>
  </si>
  <si>
    <t>University of Missouri System; University of Missouri Kansas City; University of Connecticut; Texas Tech University System; Texas Tech University Health Sciences Center</t>
  </si>
  <si>
    <t>Comparative evaluation of large language models on multiple-choice and image-based rheumatology questions</t>
  </si>
  <si>
    <t>RHEUMATOLOGY INTERNATIONAL</t>
  </si>
  <si>
    <t>Artificial intelligence; Generative artificial intelligence; Large language models; Natural language processing; Rheumatology; Education, medical</t>
  </si>
  <si>
    <t>ARTIFICIAL-INTELLIGENCE</t>
  </si>
  <si>
    <t>Nakaphan, Pannathorn/PEX-8227-2025; Lerttiendamrong, Bhoowit/HJY-3308-2023</t>
  </si>
  <si>
    <t>Nakaphan, Pannathorn/0009-0006-5137-5998; Chaisrimaneepan, Nattanicha/0000-0002-3183-7853; Lerttiendamrong, Bhoowit/0000-0003-0143-6407</t>
  </si>
  <si>
    <t>Europaplatz 3, HEIDELBERG, GERMANY</t>
  </si>
  <si>
    <t>0172-8172</t>
  </si>
  <si>
    <t>1437-160X</t>
  </si>
  <si>
    <t>RHEUMATOL INT</t>
  </si>
  <si>
    <t>Rheumatol. Int.</t>
  </si>
  <si>
    <t>DEC 8 2025</t>
  </si>
  <si>
    <t>10.1007/s00296-025-06053-5</t>
  </si>
  <si>
    <t>http://dx.doi.org/10.1007/s00296-025-06053-5</t>
  </si>
  <si>
    <t>Rheumatology</t>
  </si>
  <si>
    <t>P3168</t>
  </si>
  <si>
    <t>41359144</t>
  </si>
  <si>
    <t>WOS:001633461600003</t>
  </si>
  <si>
    <t>Rao, MJ; Tang, XJ; Wang, HY</t>
  </si>
  <si>
    <t>Background: Scars and keloids impose significant physical and psychological burdens on patients, often leading to functional limitations, cosmetic concerns, and mental health issues such as anxiety or depression. Patients increasingly turn to online platforms for information; however, existing web-based resources on scars and keloids are frequently unreliable, fragmented, or difficult to understand. Large language models such as GPT-4 show promise for delivering medical information, but their accuracy, readability, and potential to generate hallucinated content require validation for patient education applications. Objective: This study aimed to systematically evaluate GPT-4's performance in providing patient education on scars and keloids, focusing on its accuracy, reliability, readability, and reference quality. Methods: This study involved collecting 354 questions from Reddit communities (r/Keloids, r/SCAR, and r/PlasticSurgery), covering topics including treatment options, pre- and postoperative care, and psychological impacts. Each question was input into GPT-4 in independent sessions to mimic real-world patient interactions. Responses were evaluated using multiple tools: the Patient Education Materials Assessment Tool-Artificial Intelligence for understandability and actionability, DISCERN-AI for treatment information quality, the Global Quality Scale for overall information quality, and standard readability metrics (Flesch Reading Ease score, and Gunning Fog Index). Three plastic surgeons used the Natural Language Assessment Tool for Artificial Intelligence to rate the accuracy, safety, and clinical appropriateness, while the Reference Evaluation for Artificial Intelligence tool validated references for reference hallucination, relevance, and source quality. We conducted the same analysis to assess the quality of GPT-4-generated content in response to questions from 3 medical websites. Results: GPT-4 demonstrated high accuracy and reliability. The Patient Education Materials Assessment Tool-Artificial Intelligence showed 75.5% understandability, DISCERN-AI rated responses as "good" (26.3/35), and the Global Quality Scale score was 4.28 of 5. Surgeons' evaluations averaged 3.94 to 4.43 out of 5 across dimensions (accuracy 3.9, SD 0.7; safety 4.3, SD 0.8; clinical appropriateness 4.4, SD 0.5; actionability 4.1, SD 0.8; and effectiveness 4.1, SD 0.8). Readability analyses indicated moderate complexity (Flesch Reading Ease Score: 50.13; Gunning Fog Index: 12.68), corresponding to a 12th-grade reading level. Reference Evaluation for Artificial Intelligence identified 11.8% (383/3250) hallucinated references, while 88.2% (2867/3250) of references were real, with 95.1% (2724/2867) from authoritative sources (eg, government guidelines and the literature). The overall results about questions from medical websites were consistent with the answers to Reddit questions. Conclusions: GPT-4 has serious potential as a patient education tool for scars and keloids, offering reliable and accurate information. However, improvements in readability (to align with sixth to eighth grade standards) and reduction of reference hallucinations are essential to enhance accessibility and trustworthiness. Future large language model optimizations should prioritize simplifying medical language and strengthening reference validation mechanisms to maximize clinical utility.</t>
  </si>
  <si>
    <t>Rao, Mingjun; Tang, Xiujun; Wang, Haoyu</t>
  </si>
  <si>
    <t>Tang, XJ (corresponding author), Guizhou Prov People Hosp, Dept Plast Surg, 83 Zhongshan East Rd, Guiyang 550002, Peoples R China.</t>
  </si>
  <si>
    <t>xiujunsszx@163.com</t>
  </si>
  <si>
    <t>Talent Fund of Guizhou Provincial People's Hospital [[2023] -30]</t>
  </si>
  <si>
    <t>Talent Fund of Guizhou Provincial People's Hospital</t>
  </si>
  <si>
    <t>Funding This study is funded by the Talent Fund of Guizhou Provincial People's Hospital (awarded to MR; [2023] -30) .</t>
  </si>
  <si>
    <t>[Rao, Mingjun; Tang, Xiujun; Wang, Haoyu] Guizhou Prov People Hosp, Dept Plast Surg, 83 Zhongshan East Rd, Guiyang 550002, Peoples R China</t>
  </si>
  <si>
    <t>Evaluating GPT-4 Responses on Scars or Keloids for Patient Education: Large Language Model Evaluation Study</t>
  </si>
  <si>
    <t>scar; keloid; GPT-4; patient education; generative AI; generative artificial intelligence; readability; large language model</t>
  </si>
  <si>
    <t>HEALTH-CARE; INTERNET</t>
  </si>
  <si>
    <t>e78838</t>
  </si>
  <si>
    <t>10.2196/78838</t>
  </si>
  <si>
    <t>http://dx.doi.org/10.2196/78838</t>
  </si>
  <si>
    <t>EU0WX</t>
  </si>
  <si>
    <t>41773665</t>
  </si>
  <si>
    <t>WOS:001709758500003</t>
  </si>
  <si>
    <t>Çaliskan, YK; Basak, F; Erdem, O; Kudas, I</t>
  </si>
  <si>
    <t>Background Suspected acute appendicitis is difficult to triage in atypical presentations, including pediatric and geriatric cases and scenarios with muted inflammatory markers. Frontier LLMs are increasingly evaluated in emergency decision-making, but vignette-based comparisons should not be interpreted as evidence of clinical readiness. This study evaluated diagnostic behavior, triage safety, and error profiles of frontier LLMs in standardized appendicitis scenarios, using general surgery specialists as a benchmark. Methods We performed a comparative, cross-sectional diagnostic-accuracy simulation study using 150 standardized emergency department vignettes (90 appendicitis and 60 non-surgical mimics), enriched for diagnostically difficult scenarios. Six frontier AI systems and two board-certified general surgery specialists independently evaluated each vignette using a fixed triage prompt. Outcomes were diagnostic accuracy, sensitivity, specificity, inter-rater agreement, triage-priority accuracy, and qualitative error taxonomy. Results Overall diagnostic performance differed across cohorts (P &lt; 0.001). GPT-5 achieved the highest accuracy (95.3%), exceeding GPT-4o (82.0%; P &lt; 0.001) and slightly surpassing specialist consensus (92.7%). In pediatric and geriatric vignettes, GPT-5 maintained 93.8% accuracy, compared with 90.0% for specialists and 71.2% for GPT-4o. Error analysis identified distinct failure modes, including search-induced hallucinations in web-augmented systems. These findings were interpreted alongside clinical error severity rather than as product-level superiority. Conclusion In this vignette-based simulation study, LLM performance varied substantially across systems. The main contribution was characterization of model and human failure modes under diagnostic ambiguity, supporting supervised, diagnosis-specific evaluation rather than autonomous emergency triage deployment.</t>
  </si>
  <si>
    <t>Caliskan, Yahya Kemal; Basak, Fatih; Erdem, Olgun; Kudas, Ilyas</t>
  </si>
  <si>
    <t>Basak, F (corresponding author), Umraniye Training &amp; Res Hosp, Univ Hlth Sci, Dept Gen Surg, Elmalikent Neighborhood,Adem Yavuz St 1, TR-34764 Umraniye, Istanbul, Turkiye.</t>
  </si>
  <si>
    <t>fatihbasak@gmail.com</t>
  </si>
  <si>
    <t>The authors received no financial support for the research, authorship, and/or publication of this article.</t>
  </si>
  <si>
    <t>[Caliskan, Yahya Kemal] Kanuni Training &amp; Res Hosp, Univ Hlth Sci, Dept Gen Surg, Istanbul, Turkiye; [Basak, Fatih; Erdem, Olgun] Umraniye Training &amp; Res Hosp, Univ Hlth Sci, Dept Gen Surg, Elmalikent Neighborhood,Adem Yavuz St 1, TR-34764 Umraniye, Istanbul, Turkiye; [Kudas, Ilyas] Cam Sakura Training &amp; Res Hosp, Univ Hlth Sci, Dept Gen Surg, Istanbul, Turkiye</t>
  </si>
  <si>
    <t>University of Health Sciences Turkey; University of Health Sciences Turkey</t>
  </si>
  <si>
    <t>Diagnostic Ambiguity in Appendicitis: Comparing Failure Modes of Large Language Models and Surgeons</t>
  </si>
  <si>
    <t>AMERICAN SURGEON</t>
  </si>
  <si>
    <t>acute appendicitis; large language models; clinical decision support; GPT-5; diagnostic accuracy; emergency surgery triage; medical artificial intelligence; surgical informatics</t>
  </si>
  <si>
    <t>EPIDEMIOLOGY; BIAS</t>
  </si>
  <si>
    <t>Kudas, ilyas/OKS-3057-2025; Erdem, Olgun/MTF-3400-2025; Basak, Fatih/A-1531-2014</t>
  </si>
  <si>
    <t>0003-1348</t>
  </si>
  <si>
    <t>1555-9823</t>
  </si>
  <si>
    <t>AM SURGEON</t>
  </si>
  <si>
    <t>Am. Surg.</t>
  </si>
  <si>
    <t>10.1177/00031348261471464</t>
  </si>
  <si>
    <t>http://dx.doi.org/10.1177/00031348261471464</t>
  </si>
  <si>
    <t>LQ6IY</t>
  </si>
  <si>
    <t>42500998</t>
  </si>
  <si>
    <t>WOS:001830908100001</t>
  </si>
  <si>
    <t>Chen, YH; Ruan, SJ; Chen, PF</t>
  </si>
  <si>
    <t>Background: Accurately assessing perioperative risk is critical for informed surgical planning and patient safety. However, current prediction models often rely on structured data and overlook the nuanced clinical reasoning embedded in free-text preoperative notes. Recent advances in large language models (LLMs) have opened opportunities for harnessing unstructured clinical data, yet their application in perioperative prediction remains limited by concerns about factual accuracy. Retrieval-augmented generation (RAG) offers a promising solution-enhancing LLM performance by grounding outputs in domain-specific knowledge sources, potentially improving both predictive accuracy and clinical interpretability. Objective: This study aimed to investigate whether integrating LLMs with RAG can improve the prediction of 30-day postoperative mortality and American Society of Anesthesiologists (ASA) physical status classification using unstructured preoperative clinical notes. Methods: We conducted a retrospective cohort study using 24,491 medical records from a tertiary medical center, including preoperative anesthesia assessments, discharge summaries, and surgical information. To extract clinical insights from free-text data, we used the LLaMA 3.1-8B language model with RAG, using MedEmbed for text embedding and Miller's Anesthesia as the primary retrieval source. We evaluated model performance under various configurations, including embedding models, chunk sizes, and few-shot prompting. Machine learning (ML) models, including random forest, support vector machines (SVM), Extreme Gradient Boosting (XGBoost), and logistic regression, were trained on structured features as baselines. Results: A total of 520 (2.1%) patients experienced in-hospital 30-day postoperative mortality. The ASA physical status distribution wasasfollows: class I: 535 (2.2%); class II: 15,272 (62.4%); class III: 8024 (32.8%); class IV: 606 (2.5%); andclass V: 54 (0.22%). For 30-day postoperativemortality prediction, the LLaMA-RAG model achieved an F1-score of 0.4663 (95% CI 0.4654-0.4672), versus 0.2369 (95% CI 0.2341-0.2397) without few-shot prompting, 0.0879 (95% CI 0.0717-0.1041) without RAG, and 0.0436 (95% CI 0.0292-0.0580) without either few-shot prompting or RAG. Among ML models, XGBoost scored 0.4459 (95% CI 0.4176-0.4742); random forest, 0.3953 (95% CI 0.3791-0.4115); logistic regression, 0.2720 (95% CI 0.2647-0.2793); and SVM, 0.2474 (95% CI 0.2275-0.2673). For ASA classification, LLaMA-RAG achieveda micro F1-score of 0.8409 (95% CI 0.8238-0.8551) versus 0.6546 (95% CI 0.6430-0.6796) without few-shot prompting, 0.6340 (95% CI 0.6157-0.6535) without RAG, and 0.4238 (95% CI 0.3952-0.4490) without either few-shot prompting or RAG. In comparison, XGBoostachieved 0.8273 (95% CI 0.8209-0.8498); logistic regression, 0.7940 (95% CI 0.7671-0.7950); randomforest, 0.7847 (95% CI 0.7637-0.7868); and SVM, 0.7697 (95% CI 0.7637-0.7697). Notably, the model demonstrated exceptional sensitivity in identifying rare but high-risk cases, such as ASA Class 5 patients and postoperative deaths. Conclusions:The LLaMA-RAG model significantly improved the prediction of postoperativemortality and ASA classification, especially for rare high-risk cases. By grounding outputs in domain knowledge, retrieval-augmented generation enhanced both accuracy and prompt-driven interpretability over ML and ablation models-highlighting its promise for real-world clinical decision support.</t>
  </si>
  <si>
    <t>Chen, Ying-Hao; Ruan, Shanq-Jang; Chen, Pei-fu</t>
  </si>
  <si>
    <t>Chen, PF (corresponding author), Far Eastern Mem Hosp, Dept Anesthesiol, 21,Sec 2,Nanya S Rd, New Taipei City 220, Taiwan.</t>
  </si>
  <si>
    <t>andy698087@hotmail.com</t>
  </si>
  <si>
    <t>Far Eastern Memorial Hospital, Taiwan [FEMH-2024-C-052, FEMH-2025-C-017]</t>
  </si>
  <si>
    <t>Far Eastern Memorial Hospital, Taiwan</t>
  </si>
  <si>
    <t>This study was supported by grants from Far Eastern Memorial Hospital, Taiwan (grants FEMH-2024-C-052 and FEMH-2025-C-017) . The sponsors had no role in the study design, data collection and analysis, publication decision, or manuscript drafting. The authors attest that there was no use of generative artificial intelligence technology in the generation of text, figures, or other informational content of this manuscript.</t>
  </si>
  <si>
    <t>[Chen, Ying-Hao; Ruan, Shanq-Jang] Natl Taiwan Univ Sci &amp; Technol, Dept Elect &amp; Comp Engn, Taipei, Taiwan; [Chen, Pei-fu] Far Eastern Mem Hosp, Dept Anesthesiol, 21,Sec 2,Nanya S Rd, New Taipei City 220, Taiwan; [Chen, Pei-fu] Yuan Ze Univ, Dept Elect Engn, Taoyuan, Taiwan</t>
  </si>
  <si>
    <t>National Taiwan University of Science &amp; Technology; Far Eastern Memorial Hospital; Yuan Ze University</t>
  </si>
  <si>
    <t>Predicting 30-Day Postoperative Mortality and American Society of Anesthesiologists Physical Status Using Retrieval-Augmented Large Language Models: Development and Validation Study</t>
  </si>
  <si>
    <t>perioperative care; unstructured clinical data; machine learning; prediction model; few-shot prompting; surgical risk stratification</t>
  </si>
  <si>
    <t>SURGERY</t>
  </si>
  <si>
    <t>Chen, Pei-Fu/MIO-0547-2025</t>
  </si>
  <si>
    <t>Chen, Pei-Fu/0000-0002-0192-5377</t>
  </si>
  <si>
    <t>JUN 3 2025</t>
  </si>
  <si>
    <t>e75052</t>
  </si>
  <si>
    <t>10.2196/75052</t>
  </si>
  <si>
    <t>http://dx.doi.org/10.2196/75052</t>
  </si>
  <si>
    <t>4BA0T</t>
  </si>
  <si>
    <t>40460423</t>
  </si>
  <si>
    <t>WOS:001513740800001</t>
  </si>
  <si>
    <t>Agaronnik, ND; Davis, J; Manz, CR; Tulsky, JA; Lindvall, C</t>
  </si>
  <si>
    <t>Context. Efficiently tracking Advance Care Planning (ACP) documentation in electronic heath records (EHRs) is essential for quality improvement and research efforts. The use of large language models (LLMs) offers a novel approach to this task. Objectives. To evaluate the ability of LLMs to identify ACP in EHRs for patients with advanced cancer and compare performance to gold-standard manual chart review and natural language processing (NLP). Methods. EHRs from patients with advanced cancer followed at seven Dana Farber Cancer Center (DFCI) clinics in June 2024. We utilized GPT-4o-2024-05-13 within DFCI's HIPAA-secure digital infrastructure. We designed LLM prompts to identify ACP domains: goals of care, limitation of life-sustaining treatment, hospice, and palliative care. We developed a novel hallucination index to measure production of factually-incorrect evidence by the LLM. Performance was compared to gold-standard manual chart review and NLP. Results. 60 unique patients associated with 528 notes were used to construct the gold-standard data set. LLM prompts had sensitivity ranging from 0.85 to 1.0, specificity ranging from 0.80 to 0.91, and accuracy ranging from 0.81 to 0.91 across domains. The LLM had better sensitivity than NLP for identifying complex topics such as goals of care. Average hallucination index for notes identified by LLM was less than 0.5, indicating a low probability of hallucination. Despite lower precision compared to NLP, false positive documentation identified by LLMs was clinically-relevant and useful for guiding management. Conclusion. LLMs can capture ACP domains from EHRs, with sensitivity exceeding NLP methods for complex domains such as goals of care. Future studies should explore approaches for scaling this methodology. J Pain Symptom Manage 2025;69:243-250. (c) 2024 American Academy of Hospice and Palliative Medicine. Published by Elsevier Inc. All rights are reserved, including those for text and data mining, AI training, and similar technologies.</t>
  </si>
  <si>
    <t>Agaronnik, Nicole D.; Davis, Joshua; Manz, Christopher R.; Tulsky, James A.; Lindvall, Charlotta</t>
  </si>
  <si>
    <t>Lindvall, C (corresponding author), Dana Farber Canc Inst, Psychosocial Oncol &amp; Palliat Care, 450 Brookline Ave, Boston, MA 02215 USA.</t>
  </si>
  <si>
    <t>National Institutes on Aging; National Cancer Institute</t>
  </si>
  <si>
    <t>CL is receiving funding from the National Institutes on Aging and the National Cancer Institute. The authors declare no con fl icts of interest.</t>
  </si>
  <si>
    <t>[Agaronnik, Nicole D.; Manz, Christopher R.; Tulsky, James A.; Lindvall, Charlotta] Harvard Med Sch, Boston, MA USA; [Agaronnik, Nicole D.; Tulsky, James A.; Lindvall, Charlotta] Dana Farber Canc Inst, Boston, MA USA; [Davis, Joshua] Albany Med Coll, Albany, NY USA; [Manz, Christopher R.; Tulsky, James A.; Lindvall, Charlotta] Brigham &amp; Womens Hosp, Boston, MA USA</t>
  </si>
  <si>
    <t>Large Language Models to Identify Advance Care Planning in Patients With Advanced Cancer</t>
  </si>
  <si>
    <t>JOURNAL OF PAIN AND SYMPTOM MANAGEMENT</t>
  </si>
  <si>
    <t>Large language models; Advance care planning; Goals of care; Artificial intelligence</t>
  </si>
  <si>
    <t>DOCUMENTATION; MULTIPLE</t>
  </si>
  <si>
    <t>Lindvall, Charlotta/0000-0003-2090-2039; Davis, Joshua/0000-0001-7324-6018; Manz, Christopher/0000-0003-0928-3492</t>
  </si>
  <si>
    <t>0885-3924</t>
  </si>
  <si>
    <t>1873-6513</t>
  </si>
  <si>
    <t>J PAIN SYMPTOM MANAG</t>
  </si>
  <si>
    <t>J. Pain Symptom Manage.</t>
  </si>
  <si>
    <t>10.1016/j.jpainsymman.2024.11.016</t>
  </si>
  <si>
    <t>http://dx.doi.org/10.1016/j.jpainsymman.2024.11.016</t>
  </si>
  <si>
    <t>Health Care Sciences &amp; Services; Medicine, General &amp; Internal; Clinical Neurology</t>
  </si>
  <si>
    <t>Health Care Sciences &amp; Services; General &amp; Internal Medicine; Neurosciences &amp; Neurology</t>
  </si>
  <si>
    <t>X0Y4D</t>
  </si>
  <si>
    <t>39586429</t>
  </si>
  <si>
    <t>WOS:001422708600001</t>
  </si>
  <si>
    <t>Sun, NY; Genovese, A; Prabha, S; Gomez-Cabello, CA; Haider, SA; Collaco, B; Pan, T; Wood, NG; Forte, AJ</t>
  </si>
  <si>
    <t>Background: Large language models (LLMs) are being used by surgeons for education and reference yet concerns about hallucinations and reliability limit safe adoption. Retrieval-augmented generation (RAG) can offer a potential solution by grounding responses in a high-quality external database (e.g., medical textbooks) to enhance accuracy. However, performance tradeoffs across different RAG configurations-many of which exponentially increase computational cost-remain poorly characterized. Methods: In total, 120 lightweight, open-source RAG configurations were evaluated across 40 plastic surgery-focused question-answering tasks (20 single-hop, 20 multi-hop), spanning multiple subspecialties (4800 total evaluations). Configurations varied by base LLM (Phi-3-mini-128k-instruct vs. BioMistral-7B), embedding model, database size, chunk size, and query hop type. Performance was assessed using semantic similarity (Ragas) to physician-validated reference answers. Performance was analyzed using linear mixed-effects regression with query as a random effect and fixed and interaction effects selected via likelihood testing and AIC. Results: High performance was achievable using lightweight, open-source models. While BioMistral-7B had high mean sematic similarity under specific configurations (mean semantic similarity up to 0.786), Phi-3-mini-128k-instruct demonstrated more consistent performance across query complexity. Larger database sizes significantly improved semantic similarity, with the largest gain at intermediate sizes (e.g., size 5: +0.043, p = 0.001). Embedding choice had a strong effect, with bge-large-en-v1.5 improving performance (p = 0.0016) and Bio_ClinicalBERT markedly reducing it (p &lt; 0.001). Multi-hop queries substantially reduced performance (p &lt; 0.001), though this effect was attenuated for Phi-3-mini-128k-instruct via a strong model &amp; times; hop-type interaction (p &lt; 0.001). Conclusions: RAG systems for plastic surgery do not require large proprietary models, as performance depends on configuration choices and interaction effects rather than isolated components. With advancements, predictive modeling may enable resource-efficient, safe deployment of clinical RAG systems.</t>
  </si>
  <si>
    <t>Sun, Nora Y.; Genovese, Ariana; Prabha, Srinivasagam; Gomez-Cabello, Cesar A.; Haider, Syed Ali; Collaco, Bernardo; Pan, Theophilus; Wood, Nadia G.; Forte, Antonio Jorge</t>
  </si>
  <si>
    <t>Forte, AJ (corresponding author), Mayo Clin, Div Plast Surg, Jacksonville, FL 32224 USA.; Forte, AJ (corresponding author), Mayo Clin, Ctr Digital Hlth, Rochester, MN 55905 USA.; Forte, AJ (corresponding author), Mayo Clin, Dept Artificial Intelligence &amp; Informat, Jacksonville, FL 32224 USA.</t>
  </si>
  <si>
    <t>ajvforte@yahoo.com.br</t>
  </si>
  <si>
    <t>Schmidt Sciences; Dalio Philanthropies; Gerstner Philanthropies</t>
  </si>
  <si>
    <t>This work is supported by Mayo Clinic and the generosity of Schmidt Sciences, Dalio Philanthropies, and Gerstner Philanthropies.</t>
  </si>
  <si>
    <t>[Sun, Nora Y.; Genovese, Ariana; Prabha, Srinivasagam; Gomez-Cabello, Cesar A.; Haider, Syed Ali; Collaco, Bernardo; Pan, Theophilus; Forte, Antonio Jorge] Mayo Clin, Div Plast Surg, Jacksonville, FL 32224 USA; [Sun, Nora Y.] Harvard Univ, Dept Stat, Cambridge, MA 02138 USA; [Pan, Theophilus] Univ Calif Berkeley, Dept Data Sci, Berkeley, CA 94720 USA; [Wood, Nadia G.] Mayo Clin, Dept Radiol AI IT, Rochester, MN 55905 USA; [Forte, Antonio Jorge] Mayo Clin, Ctr Digital Hlth, Rochester, MN 55905 USA; [Forte, Antonio Jorge] Mayo Clin, Dept Artificial Intelligence &amp; Informat, Jacksonville, FL 32224 USA</t>
  </si>
  <si>
    <t>Mayo Clinic; Harvard University; University of California System; University of California Berkeley; Mayo Clinic; Mayo Clinic; Mayo Clinic</t>
  </si>
  <si>
    <t>Performance Modeling of Lightweight Retrieval-Augmented Large Language Models for Low-Resource Plastic Surgery Settings</t>
  </si>
  <si>
    <t>large language models; retrieval-augmented generation; artificial intelligence; plastic surgery</t>
  </si>
  <si>
    <t>Wood, Nadia/PFI-7840-2025; Genovese, Ariana/CAF-1752-2022; Forte, Antonio/I-2970-2019</t>
  </si>
  <si>
    <t>378</t>
  </si>
  <si>
    <t>10.3390/bioengineering13040378</t>
  </si>
  <si>
    <t>http://dx.doi.org/10.3390/bioengineering13040378</t>
  </si>
  <si>
    <t>HC9UJ</t>
  </si>
  <si>
    <t>42072172</t>
  </si>
  <si>
    <t>WOS:001751099800001</t>
  </si>
  <si>
    <t>Prucker, P; Busch, F; Dorfner, F; Mertens, CJ; Bayerl, N; Makowski, MR; Bressem, KK; Adams, LC</t>
  </si>
  <si>
    <t>Rationale and objectives: Large Language Models (LLMs) show promise for generating patient-friendly radiology reports, but the performance of open-source versus proprietary LLMs needs assessment. To compare open-source and proprietary LLMs in generating patient-friendly radiology reports from chest CTs using quantitative readability metrics and qualitative assessments by radiologists. Materials and methods: Fifty chest CT reports were processed by seven LLMs: three open-source models (Llama-370b, Mistral-7b, Mixtral-8x7b) and four proprietary models (GPT-4, GPT-3.5-Turbo, Claude-3-Opus, Gemini Ultra). Simplification was evaluated using five quantitative readability metrics. Three radiologists rated patient-friendliness on a five-point Likert scale across five criteria. Content and coherence errors were counted. Inter-rater reliability and differences among models were statistically assessed. Results: Inter-rater reliability was substantial to near perfect (kappa = 0.76-0.86). Qualitatively, Llama-3-70b was non-inferior to leading proprietary models in 4/5 categories. GPT-3.5-Turbo showed the best overall readability, outperforming GPT-4 in two metrics. Llama-3-70b outperformed GPT-3.5-Turbo on the CLI (p = 0.006). Claude3-Opus and Gemini-Ultra scored lower on readability but were rated highly in qualitative assessments. Claude-3Opus maintained perfect factual accuracy. Claude-3-Opus and GPT-4 outperformed Llama-3-70b in emotional sensitivity (90.0 % vs 46.0 %, p &lt; 0.001). Conclusions: Llama-3-70b shows strong potential in generating quality, patient-friendly radiology reports, challenging proprietary models. With further adaptation, open-source LLMs could advance patient-friendly reporting technology.</t>
  </si>
  <si>
    <t>Prucker, Philipp; Busch, Felix; Dorfner, Felix; Mertens, Christian J.; Bayerl, Nadine; Makowski, Marcus R.; Bressem, Keno K.; Adams, Lisa C.</t>
  </si>
  <si>
    <t>Adams, LC (corresponding author), Tech Univ Munich, Ismaninger Str 22, D-81675 Munich, Germany.</t>
  </si>
  <si>
    <t>lisa.adams@tum.de</t>
  </si>
  <si>
    <t>[Prucker, Philipp; Busch, Felix; Mertens, Christian J.; Makowski, Marcus R.; Bressem, Keno K.; Adams, Lisa C.] Tech Univ Munich, Dept Diagnost &amp; Intervent Radiol, Ismaninger Str 22, D-81675 Munich, Germany; [Dorfner, Felix] Charite Univ Med Berlin, Charitepl 1, D-10117 Berlin, Germany; [Busch, Felix] Free Univ Berlin, Charitepl 1, D-10117 Berlin, Germany; [Busch, Felix] Humboldt Univ, Dept Radiol, Charitepl 1, D-10117 Berlin, Germany; [Bayerl, Nadine] Friedrich Alexander Univ Erlangen Nurnberg, Inst Radiol, Erlangen, Germany; [Bayerl, Nadine] Uniklinikum Erlangen, Erlangen, Germany; [Bressem, Keno K.] German Heart Ctr Munich, Dept Radiol &amp; Nucl Med, Lazarettstr 36, D-80636 Munich, Germany</t>
  </si>
  <si>
    <t>Technical University of Munich; Free University of Berlin; Humboldt University of Berlin; Charite Universitatsmedizin Berlin; Free University of Berlin; Humboldt University of Berlin; Charite Universitatsmedizin Berlin; Free University of Berlin; Humboldt University of Berlin; Charite Universitatsmedizin Berlin; University of Erlangen Nuremberg; University of Erlangen Nuremberg; German Heart Centre Munich</t>
  </si>
  <si>
    <t>Performance of open-source and proprietary large language models in generating patient-friendly radiology chest CT reports</t>
  </si>
  <si>
    <t>CLINICAL IMAGING</t>
  </si>
  <si>
    <t>Artificial intelligence; Chest CT; Gemini-Ultra; GPT-4; Large language models; Llama-3; Patient communication; Radiology reporting; Readability metrics</t>
  </si>
  <si>
    <t>Busch, Felix/ABE-1064-2022; Bayerl, Nadine/LSM-1625-2024; Adams, Lisa C/AAC-7163-2021; Bressem, Keno/AAX-8241-2020; Dorfner, Felix/LDF-4298-2024</t>
  </si>
  <si>
    <t>Busch, Felix/0000-0001-9770-8555; Bayerl, Nadine/0000-0002-8530-6783; Adams, Lisa C/0000-0001-5836-4542</t>
  </si>
  <si>
    <t>0899-7071</t>
  </si>
  <si>
    <t>1873-4499</t>
  </si>
  <si>
    <t>CLIN IMAG</t>
  </si>
  <si>
    <t>Clin. Imaging</t>
  </si>
  <si>
    <t>125</t>
  </si>
  <si>
    <t>110557</t>
  </si>
  <si>
    <t>10.1016/j.clinimag.2025.110557</t>
  </si>
  <si>
    <t>http://dx.doi.org/10.1016/j.clinimag.2025.110557</t>
  </si>
  <si>
    <t>5DF6W</t>
  </si>
  <si>
    <t>40639135</t>
  </si>
  <si>
    <t>WOS:001532910400001</t>
  </si>
  <si>
    <t>Mayer, Y; Canullo, L; Kivovics, M; Giladi, HZ; Gabay, E; Ginesin, O</t>
  </si>
  <si>
    <t>Objectives: To compare expert-rated diagnostic accuracy, patient safety, completeness of management, and freedom from detectable hallucinations across eleven conversational artificial-intelligence (AI) platforms (general-purpose large language models [LLMs], a general-purpose retrieval-augmented [RAG] platform, and a medical-domain RAG platform) using synthetic vignettes of dental implant complications. Methods: Thirty vignettes (10 surgical, 10 biological, 10 mechanical/prosthetic) were submitted as independent prompts to each platform. Four blinded specialists (periodontists or oral and maxillofacial surgeons, &gt;10 years' implant experience) scored each response on a 5-point Likert scale across four parameters. Friedman tests (Kendall's W effect size) assessed ordinal scores, and Cochran's Q tested two binary outcomes: safe (Safety &gt; 4) and hallucination-free (Hallucinations &gt; 4). Results: Across 330 responses (1320 ratings), OpenEvidence achieved 100% safe and 100% hallucination-free responses. Among general-purpose platforms, safe rates ranged from 56.7% (Claude 4.5 Haiku) to 86.7% (Perplexity) and hallucination-free rates from 36.7% (Claude 4.5 Haiku) to 93.3% (GPT-5.4 Thinking; Qwen 3.5Plus), both significant (Cochran's Q, p &lt; 0.01). Friedman tests were significant for every parameter (lowest p = 1.7 &amp; times; 10(-15); Kendall's W 0.126-0.293). OpenEvidence had the highest composite score (4.90 +/- 0.18), with the largest effects in the mechanical/prosthetic subcategory (W = 0.548, large). Conclusions: Within a vignette-based design, the medical-domain RAG platform (OpenEvidence) achieved the highest ratings across all domains, with Perplexity second; among general-purpose LLMs, GPT-5.4 Thinking, Claude Opus, and Mistral led. These findings reflect performance under tested conditions, not real-world efficacy. All platforms should serve as adjuncts to specialist judgement, and prospective validation is required before clinical deployment. Clinical Significance: Retrieval-augmented platforms grounded in peer-reviewed literature earned higher expert ratings than general-purpose LLMs, with the medical-domain platform OpenEvidence rated 100% safe and hallucination-free. Inter-model gaps were largest for mechanical/prosthetic cases; specialist verification remains essential before clinical use.</t>
  </si>
  <si>
    <t>Mayer, Yaniv; Canullo, Luigi; Kivovics, Marton; Giladi, Hadar Zigdon; Gabay, Eran; Ginesin, Ofir</t>
  </si>
  <si>
    <t>Mayer, Y (corresponding author), Rambam Hlth Care Campus, Sch Grad Dent, Dept Periodontol, HaAliya HaShniya St 8, IL-3109601 Haifa, Israel.</t>
  </si>
  <si>
    <t>[Mayer, Yaniv; Giladi, Hadar Zigdon; Gabay, Eran; Ginesin, Ofir] Technion Israel Inst Technol, Ruth &amp; Bruce Rappaport Fac Med, Haifa, Israel; [Mayer, Yaniv; Giladi, Hadar Zigdon; Gabay, Eran; Ginesin, Ofir] Rambam Hlth Care Campus, Dept Periodontol, Haifa, Israel; [Canullo, Luigi] Univ St Camillus, Dept Prosthodont, I-00139 Rome, Italy; [Kivovics, Marton] Semmelweis Univ, Dept Publ Dent Hlth, Budapest, Hungary</t>
  </si>
  <si>
    <t>Technion Israel Institute of Technology; Rappaport Faculty of Medicine; Technion Israel Institute of Technology; Rambam Health Care Campus; Semmelweis University</t>
  </si>
  <si>
    <t>Large language models and retrieval-augmented platforms for dental implant complications: A blinded, expert-rated benchmarking study</t>
  </si>
  <si>
    <t>JOURNAL OF DENTISTRY</t>
  </si>
  <si>
    <t>Artificial intelligence; Large language models; Retrieval-augmented generation; Dental implants; Peri-implantitis; Clinical decision support; Hallucinations</t>
  </si>
  <si>
    <t>CONSENSUS REPORT; PLACEMENT; SURVIVAL</t>
  </si>
  <si>
    <t>0300-5712</t>
  </si>
  <si>
    <t>1879-176X</t>
  </si>
  <si>
    <t>J DENT</t>
  </si>
  <si>
    <t>J. Dent.</t>
  </si>
  <si>
    <t>DEC 2026</t>
  </si>
  <si>
    <t>106828</t>
  </si>
  <si>
    <t>10.1016/j.jdent.2026.106828</t>
  </si>
  <si>
    <t>http://dx.doi.org/10.1016/j.jdent.2026.106828</t>
  </si>
  <si>
    <t>MJ9BY</t>
  </si>
  <si>
    <t>42269758</t>
  </si>
  <si>
    <t>WOS:001843998200001</t>
  </si>
  <si>
    <t>Li, CP; Jia, WW; Ghanad, E; Gao, H; Abdelhadi, S; Reissfelder, C; Sandra-Petrescu, F; Yang, C</t>
  </si>
  <si>
    <t>Introduction: This study evaluates how different prompting strategies affect the performance of three advanced large language models (LLMs) (GPT-4o, Claude 3.5 Sonnet, and Llama 3 70b) when answering questions about biliary tract cancer (BTC). We used European Society for Medical Oncology (ESMO) guidelines as our reference standard. The study aimed to assess their accuracy, conciseness, evidence quality, and rates of hallucinations. Methods: We conducted a cross-sectional analysis using 40 clinical questions derived from the ESMO BTC guidelines. We tested three prompting strategies: no prompt, short prompt, and long prompt. Two independent senior physicians evaluated the responses for accuracy, conciseness, and evidence quality. Inter-rater reliability, text length of response, model performance, and hallucination rates were analyzed. Results: Prompting strategies significantly influenced LLM performance. Long prompts improved evidence quality and accuracy, especially for GPT-4o and Claude 3.5 Sonnet, while short prompts enhanced conciseness. GPT-4o exhibited superior overall performance, with higher accuracy and conciseness scores, whereas Claude 3.5 Sonnet excelled in evidence quality but generated longer responses. Llama 3 70b showed deficiencies in both accuracy and evidence quality. Hallucination rates were lowest for GPT-4o and Claude 3.5 Sonnet, but nearly 40% of their references were fabricated or misattributed. Conclusion: Prompting strategies substantially affect LLM performance in medical contexts. While GPT-4o and Claude 3.5 Sonnet demonstrate promising potential with proper prompts, the risk of hallucinations necessitates careful cross-verification. Future studies should incorporate real-world clinical scenarios to further evaluate LLM capabilities and limitations.Doctors and patients are beginning to use large language models - computer programs that can read questions and generate written answers, similar to chatbots - to search for health information. This study examined how well three such programs - ChatGPT-4o, Claude 3.5 Sonnet, and Llama 3 70b - answered questions about cancers of the bile ducts and gallbladder. The way a chatbot responds can change depending on the prompt, which is the short instruction given before asking a question. Three approaches were tested. In the first, the question was asked directly without instructions. In the second, the chatbot was told to act like an experienced doctor and to say when it did not know the answer. In the third, the chatbot was also asked to provide supporting evidence such as medical guidelines or research studies. Forty questions were taken from European clinical guidelines. Two senior cancer specialists reviewed each response and scored it for accuracy, clarity, and the quality of the evidence provided. Clear instructions improved performance for some systems. Detailed prompts increased accuracy and the quality of evidence for GPT-4o and Claude 3.5 Sonnet, while shorter prompts often produced clearer and more concise answers. Overall, GPT-4o performed best for accuracy and brevity, whereas Claude 3.5 Sonnet more often provided supporting evidence but used more words. Llama 3 70b was less reliable. All three systems sometimes produced incorrect or invented references. Because of this risk, information from chatbots should always be checked by medical professionals.</t>
  </si>
  <si>
    <t>Li, Chengpeng; Jia, Wei-Wei; Ghanad, Erfan; Gao, Hui; Abdelhadi, Schaima; Reissfelder, Christoph; Sandra-Petrescu, Flavius; Yang, Cui</t>
  </si>
  <si>
    <t>Yang, C (corresponding author), Heidelberg Univ, Med Fac Mannheim, Mannheim Sch Med, Dept Surg, Mannheim, Germany.; Yang, C (corresponding author), German Canc Res Ctr, AI Hlth Innovat Cluster, Heidelberg, Germany.</t>
  </si>
  <si>
    <t>cui.yang@umm.de</t>
  </si>
  <si>
    <t>State funds by the State Parliament of Baden-Wurttemberg</t>
  </si>
  <si>
    <t>This publication was supported through state funds approved by the State Parliament of Baden-Wurttemberg for the Innovation Campus Health + Life Science Alliance Heidelberg Mannheim.</t>
  </si>
  <si>
    <t>[Li, Chengpeng; Jia, Wei-Wei] Peking Univ Canc Hosp &amp; Inst, Minist Educ Beijing, Dept Hepatopancreatobiliary Surg, Key Lab Carcinogenesis &amp; Translat Res, Beijing, Peoples R China; [Li, Chengpeng; Ghanad, Erfan; Abdelhadi, Schaima; Reissfelder, Christoph; Sandra-Petrescu, Flavius; Yang, Cui] Heidelberg Univ, Med Fac Mannheim, Mannheim Sch Med, Dept Surg, Mannheim, Germany; [Gao, Hui] Peking Univ Int Hosp, Dept Rheumatol, Beijing, Peoples R China; [Reissfelder, Christoph] Heidelberg Univ, DKFZ Hector Canc Inst, Med Fac Mannheim, Mannheim Sch Med, Mannheim, Germany; [Yang, Cui] German Canc Res Ctr, AI Hlth Innovat Cluster, Heidelberg, Germany</t>
  </si>
  <si>
    <t>Peking University; Ruprecht Karls University Heidelberg; Peking University; Ruprecht Karls University Heidelberg; Helmholtz Association; German Cancer Research Center (DKFZ)</t>
  </si>
  <si>
    <t>Ask the Right Questions: Prompting Strategies Shape Large Language Model Performance on Biliary Tract Cancer Guideline Queries</t>
  </si>
  <si>
    <t>DIGESTIVE DISEASES</t>
  </si>
  <si>
    <t>Artificial intelligence; Large language model; Prompt engineering; Biliary tract cancer</t>
  </si>
  <si>
    <t>Reissfelder, Christoph/HRA-4846-2023; Li, Cheng-Peng/ADA-3853-2022; Abdelhadi, Schaima/NFS-6126-2025; Yang, Cui/JMC-3313-2023</t>
  </si>
  <si>
    <t>KARGER</t>
  </si>
  <si>
    <t>ALLSCHWILERSTRASSE 10, CH-4009 BASEL, SWITZERLAND</t>
  </si>
  <si>
    <t>0257-2753</t>
  </si>
  <si>
    <t>1421-9875</t>
  </si>
  <si>
    <t>DIGEST DIS</t>
  </si>
  <si>
    <t>Dig. Dis.</t>
  </si>
  <si>
    <t>298</t>
  </si>
  <si>
    <t>306</t>
  </si>
  <si>
    <t>10.1159/000551433</t>
  </si>
  <si>
    <t>http://dx.doi.org/10.1159/000551433</t>
  </si>
  <si>
    <t>LM5NL</t>
  </si>
  <si>
    <t>42054257</t>
  </si>
  <si>
    <t>WOS:001795898700001</t>
  </si>
  <si>
    <t>Jiao, RQ; Chen, MZ; Zhang, J</t>
  </si>
  <si>
    <t>Background Pediatric depression shows age-specific symptoms that hinder recognition and delay care, while parents and adolescents increasingly turn to online sources, including large language models, for mental health information and guidance. The quality of such information depends on readability, factual accuracy, completeness, and emotional tone. This study compared responses from 3 contemporary large language models (LLMs) to frequently asked questions about pediatric depression to assess their suitability as informational tools.Methods A cross-sectional analytical study design was used. 15 standardized frequently asked questions covering definition, causes, clinical features, diagnosis, prevention, treatment, and prognosis of pediatric depression were submitted to ChatGPT-5, Microsoft Copilot GPT-5 in Smart Research mode, and DeepSeek 3.1V. Responses were collected verbatim. Readability was assessed using seven established indices. Accuracy and completeness were independently scored on a 0 to 6 scale using a predefined rubric. Sentiment was measured with sentiment scores. One-way analysis of variance (ANOVA) with Tukey post hoc statistical analysis was performed.Results Readability was different among the various models. DeepSeek 3.1V achieved the highest Flesch Reading Ease Score of 54 to 55 and the lowest Flesch-Kincaid Grade Level of about 9.5 thus indicating easier comprehension. ChatGPT-5 showed intermediate readability with scores of 49 to 50 and grade level about 10.5. Copilot-5 had the lowest Reading Ease score of 43 to 44 and the highest grade level near 10.8. Accuracy on a 0 to 6 scale was highest for Copilot-5. ChatGPT-5 showed the greatest completeness, whereas other models had variable coverage in detailed clinical items.Conclusion Large language models (LLMs) provide information on pediatric depression but show varying levels of readability, accuracy, and completeness. DeepSeek 3.1V provides greater linguistic accessibility, Microsoft Copilot GPT-5 shows stronger factual consistency, and ChatGPT-5 provides more comprehensive coverage. These artificial intelligence (AI) chatbot systems require human understanding before use in pediatric mental health education or guidance.</t>
  </si>
  <si>
    <t>Jiao, Rongqi; Chen, Mingzhu; Zhang, Jing</t>
  </si>
  <si>
    <t>Zhang, J (corresponding author), Nanjing Med Univ, Childrens Hosp, Nanjing, Peoples R China.</t>
  </si>
  <si>
    <t>zhangjing198561@163.com</t>
  </si>
  <si>
    <t>[Jiao, Rongqi; Chen, Mingzhu; Zhang, Jing] Nanjing Med Univ, Childrens Hosp, Nanjing, Peoples R China</t>
  </si>
  <si>
    <t>Nanjing Medical University</t>
  </si>
  <si>
    <t>Assessing large language model responses to pediatric depression FAQs: a cross-sectional study on readability, accuracy, and sentiment</t>
  </si>
  <si>
    <t>FRONTIERS IN PSYCHIATRY</t>
  </si>
  <si>
    <t>Adolescent depression; ChatGPT; Copilot GPT; DeepSeek; emotional tone analysis; large language models; readability assessment; sentiment analysis</t>
  </si>
  <si>
    <t>CHILDREN; CHATGPT; SUPPORT</t>
  </si>
  <si>
    <t>1664-0640</t>
  </si>
  <si>
    <t>FRONT PSYCHIATRY</t>
  </si>
  <si>
    <t>Front. Psychiatry</t>
  </si>
  <si>
    <t>APR 29 2026</t>
  </si>
  <si>
    <t>1782288</t>
  </si>
  <si>
    <t>10.3389/fpsyt.2026.1782288</t>
  </si>
  <si>
    <t>http://dx.doi.org/10.3389/fpsyt.2026.1782288</t>
  </si>
  <si>
    <t>HU7FH</t>
  </si>
  <si>
    <t>42137540</t>
  </si>
  <si>
    <t>WOS:001763140300001</t>
  </si>
  <si>
    <t>Reis, ZSN; Albergaria, ET; Pagano, AS; Lage, EM; de Oliveira, FR; Dias, CD; Oliveira, JA; Pereira, GMV; de Oliveira, IJR; Mineiro, ÉF; Oliveira, ICL; de Jesus, DD; de Souza, AP Jr; Gomes, ID; Gaete, RAC; Cruz-Correia, R; Rocha, L</t>
  </si>
  <si>
    <t>Background: The application of generative artificial intelligence to simplify medication use instructions has the potential to enhance people's health by improving treatment adherence. Objective: We evaluated the performance of large language models (LLMs) in generating medication usage instructions to complement prescriptions in primary health care. Methods: This randomized, blinded experimental preclinical study used prescription-inducing scenarios, assigned to 62 health care professionals, to validate instructions generated by LLMs during electronic prescriptions. The instructions were generated by ChatGPT-4.0 (OpenAI), Llama3.1-8B (Meta), and Llama3.1-8B-RAG (Meta) using retrieval-augmented generation based on patient information leaflets. Performance metrics assessed adequacy, completeness, clarity, language simplification, usefulness, and errors in the generated instructions, with scores to analyze overall and individual metrics. Results: The 3 models yielded high overall scores for producing qualified instructions (ChatGPT-4.0: median 88.4, IQR 22.8; Llama3.1-8B: median 66.5, IQR 50.9; Llama3.1-8B-RAG: median 79.9, IQR 34.4; Kruskal-Wallis test P=.003). Llama3.1-8B-RAG received evaluations with similar overall scores to ChatGPT-4.0 (post hoc test, P=.05) and similar to Llama3.1-8B (post hoc test, P=.44). ChatGPT-4.0 outperformed Llama3.1-8B (Bonferroni test, P&lt;.001). Regarding specific domains, Llama3.1-8B-RAG received scores equivalent to those of ChatGPT-4.0 for adequacy (mean 6.24, SD 2.3 vs mean 6.82, SD 2.1; post hoc test, P=.54); completeness (mean 5.94, SD 2.2 vs 6.55, SD 1.9; post hoc test P=.38), clarity (mean 5.77, SD 2.4 vs mean 6.68, SD 1.9; post hoc test P=.09), and usefulness (mean 5.42, SD 2.4 vs mean 5.96, SD 2.2; post hoc test P=.63). ChatGPT-4.0 received higher scores in the language simplification criterion than Llama3.1-8B-RAG (mean 7.05, SD 1.5 vs mean 5.44, SD 2.6; post hoc test P&lt;.001). Interrater variability in assigning scores ranged from 4.2% (n=3) to 85.8% (n=6) among primary health care professionals. Instructions leading to incorrect use of the medication had similar frequency among the models(ChatGPT-4.0: n=15, 22.7%; Llama3.1-8B: n=19, 22.8%; Llama3.1-8B-RAG: n=19, 22.8%; chi-square test P=.71). The frequencies of hallucination were similar (ChatGPT-4.0: n=7, 10.6%; Llama3.1-8B: n=9, 13.6%; Llama3.1-8B-RAG: n=6, 9.1%; chi-square test P=.67). Conclusions: The open-source LLM enhanced with external information presented similar performance to the closed-source model, except for ChatGPT4.0, which was superior in language simplification of messages. LLM generation demonstrated potential for instructing patients on medication use. Nonetheless, the introduction of this innovation into the electronic prescribing workflow demands prescriber validation for human oversight of the technology and requires a strategy for LLM performance governance.</t>
  </si>
  <si>
    <t>Reis, Zilma Silveira Nogueira; Albergaria, Elisa Tuler; Pagano, Adriana Silvina; Lage, Eura Martins; de Oliveira, Flavia Ribeiro; Dias, Cristiane dos Santos; Oliveira, Juliana Almeida; Pereira, Glaucia Miranda Varella; de Oliveira, Isaias Jose Ramos; Mineiro, Erico Franco; Oliveira, Igor Carvalho Lima; de Jesus, Davi dos Reis; de Souza Junior, Antonio Pereira; Gomes, Igor de Carvalho; Gaete, Rodrigo Andre Cuevas; Cruz-Correia, Ricardo; Rocha, Leonardo</t>
  </si>
  <si>
    <t>Reis, ZSN (corresponding author), Univ Fed Minas Gerais, Hlth Informat Ctr, Ave Prof Alfredo Balena 190, BR-30130100 Belo Horizonte, Brazil.</t>
  </si>
  <si>
    <t>Brazilian Ministry of Health/DECIT/CNPq [00758/2024-5]; Gates Foundation [INV-007186]; Bill and Melinda Gates Foundation [INV-007186] Funding Source: Bill and Melinda Gates Foundation</t>
  </si>
  <si>
    <t>Brazilian Ministry of Health/DECIT/CNPq; Gates Foundation (Bill &amp; Melinda Gates Foundation); Bill and Melinda Gates Foundation (Bill &amp; Melinda Gates Foundation)</t>
  </si>
  <si>
    <t>The authors declare that financial support was received for the research and/or publication of this study. This work was supported by the Brazilian Ministry of Health/DECIT/CNPq (00758/2024-5) in partnership with the Gates Foundation, INV-007186. The funders had no role in the study design, data collection, analysis, interpretation, writing, or the decision to submit the manuscript.</t>
  </si>
  <si>
    <t>[Reis, Zilma Silveira Nogueira] Univ Fed Minas Gerais, Hlth Informat Ctr, Ave Prof Alfredo Balena 190, BR-30130100 Belo Horizonte, Brazil; [Albergaria, Elisa Tuler; de Jesus, Davi dos Reis; de Souza Junior, Antonio Pereira; Gaete, Rodrigo Andre Cuevas; Rocha, Leonardo] Univ Fed Sao Joao del Rei, Comp Sci Dept, Sao Joao Del Rei, Brazil; [Pagano, Adriana Silvina] Univ Fed Minas Gerais, Arts Fac, Belo Horizonte, Brazil; [Lage, Eura Martins; de Oliveira, Flavia Ribeiro; Dias, Cristiane dos Santos; Oliveira, Juliana Almeida; Pereira, Glaucia Miranda Varella; de Oliveira, Isaias Jose Ramos] Univ Fed Minas Gerais, Sch Phys Educ Physiotherapy &amp; Occupat Therapy, Dept Physiotherapy, Belo Horizonte, Brazil; [Mineiro, Erico Franco; Oliveira, Igor Carvalho Lima] Univ Fed Minas Gerais, Sch Architecture, Belo Horizonte, Brazil; [Gomes, Igor de Carvalho] Brazilian Minist Hlth, Natl Secretary Primary Care, Brasilia, Brazil; [Cruz-Correia, Ricardo] Univ Porto, MEDCIDS, Porto, Portugal</t>
  </si>
  <si>
    <t>Universidade Federal de Minas Gerais; Universidade Federal de Sao Joao del-Rei; Universidade Federal de Minas Gerais; Universidade Federal de Minas Gerais; Universidade Federal de Minas Gerais; Universidade do Porto</t>
  </si>
  <si>
    <t>Large Language Model-Generated Patient Instructions for Prescriptions in Primary Health Care: Preclinical Algorithm Validation</t>
  </si>
  <si>
    <t>primary health care; drug prescriptions; large language models; generative artificial intelligence; digital health</t>
  </si>
  <si>
    <t>Oliveira, Flávia/ABG-6084-2021; Pagano, Adriana/AAD-2168-2020; Oliveira, Igor/AAM-1314-2021; Oliveira, Juliana/CAG-1260-2022; Reis, Zilma/H-8105-2013</t>
  </si>
  <si>
    <t>e84444</t>
  </si>
  <si>
    <t>10.2196/84444</t>
  </si>
  <si>
    <t>http://dx.doi.org/10.2196/84444</t>
  </si>
  <si>
    <t>IZ0MK</t>
  </si>
  <si>
    <t>42190235</t>
  </si>
  <si>
    <t>WOS:001783714600001</t>
  </si>
  <si>
    <t>Hier, DB; Srinivasula, PY; Carrithers, MD</t>
  </si>
  <si>
    <t>Background/Objectives: Clinical phenotyping from narrative electronic health records (EHRs) often relies on multi-stage pipelines involving span-level extraction, ontology mapping, and aggregation. Large language models (LLMs) may enable direct document-level abstraction of clinically meaningful phenotype features from complete notes. We evaluated whether GPT-5.2 could approximate human annotation for note-level multiple sclerosis (MS) phenotyping and compared its performance with human annotators, a locally run open-source LLM, HPO-based extraction tools, and a supervised clinical transformer encoder. Methods: We analyzed 100 de-identified MS neurology progress notes from a single academic medical center. Each note was annotated for the presence or absence of 17 predefined neurological phenotype categories. Two human annotators independently labeled all notes using a multi-label note-level framework in Prodigy, and disagreements were adjudicated to create a reference annotation set. GPT-5.2 was evaluated in a zero-shot setting using structured JSON output. Comparator methods included Llama-3.1 8B, Doc2Hpo, ClinPhen, PhenoSnap, and BioClinical ModernBERT. Performance was assessed using agreement, precision, recall, F1, Matthews correlation coefficient, and false-positive and false-negative assignments per note. Results: Human-human agreement was generally high, although lower for rare or ambiguously documented features. GPT-5.2 achieved the strongest automated performance, with macro-precision 0.734, macro-recall 0.921, macro-F1 0.801, and macro-averaged MCC 0.777, approaching human annotator performance. GPT-5.2 showed the lowest false-negative count per note but more false-positive assignments than either human annotator, reflecting a sensitive but more inclusive annotation profile. Llama-3.1 8B performed competitively among automated methods, whereas HPO-based extraction tools and BioClinical ModernBERT showed lower performance on this low-resource note-level task. Secondary review of GPT-5.2 discordant assignments found no clear hallucinations and suggested that some apparent false positives reflected phenotype evidence missed in the human-derived reference set. Conclusions: GPT-5.2 achieved near-human performance for document-level recognition of MS phenotype categories from narrative neurology notes. Direct note-level abstraction may provide a scalable approach for research and population-health phenotyping of large EHR note corpora.</t>
  </si>
  <si>
    <t>Hier, Daniel B.; Srinivasula, Pavankumar Y.; Carrithers, Michael D.</t>
  </si>
  <si>
    <t>Hier, DB (corresponding author), Univ Illinois, Coll Med, Chicago, IL 60612 USA.</t>
  </si>
  <si>
    <t>psrin4@uic.edu; dhier@uic.edu; mcar1@uic.edu</t>
  </si>
  <si>
    <t>[Hier, Daniel B.; Carrithers, Michael D.] Univ Illinois, Coll Med, Chicago, IL 60612 USA; [Srinivasula, Pavankumar Y.] Univ Illinois, Coll Liberal Arts &amp; Sci, Chicago, IL 60607 USA</t>
  </si>
  <si>
    <t>University of Illinois System; University of Illinois Chicago; University of Illinois Chicago Hospital; University of Illinois System; University of Illinois Chicago; University of Illinois Chicago Hospital</t>
  </si>
  <si>
    <t>Note-Level Phenotyping of Multiple-Sclerosis Notes by a Large Language Model Achieves near Human-Level Agreement</t>
  </si>
  <si>
    <t>multiple sclerosis; phenotype; clinical text; large language models; natural language processing; inter-rater agreement; phenotyping</t>
  </si>
  <si>
    <t>Hier, Daniel/L-6409-2019</t>
  </si>
  <si>
    <t>MAY 25 2026</t>
  </si>
  <si>
    <t>4092</t>
  </si>
  <si>
    <t>10.3390/jcm15114092</t>
  </si>
  <si>
    <t>http://dx.doi.org/10.3390/jcm15114092</t>
  </si>
  <si>
    <t>JI3YU</t>
  </si>
  <si>
    <t>42278954</t>
  </si>
  <si>
    <t>WOS:001790057400001</t>
  </si>
  <si>
    <t>Bai, YB; Cui, WT; Finkelstein, J</t>
  </si>
  <si>
    <t>Background: Accurate identification of clinical symptoms and signs (S&amp;S) is essential for the early detection of high-burden cardiorespiratory conditions, including lung cancer, chronic obstructive pulmonary disease, and heart failure. Although symptom data play a central role in diagnostic reasoning and predictive modeling, most S&amp;S information remains embedded in unstructured electronic health record notes, limiting their use in automated phenotyping, surveillance, and clinical decision support. Traditional natural language processing systems struggle with domain variability and contextual nuance in clinical text. Recent advances in large language models (LLMs) offer a promising alternative, yet challenges remain in hallucinations, overinference, and safe deployment. This study evaluated whether locally deployed open-source models could reliably extract cardiorespiratory S&amp;S and map them to ICD-J0-CM (International Classification of Diseases, Tenth Revision, Clinical Modification) codes using optimized prompting strategies. Objective: This study aims to assess the accuracy of open-source LLMs in extracting explicitly stated cardiorespiratory S&amp;S from clinical notes and mapping them to ICD-J0-CM codes (R00-R09) and to compare performance across 4 prompt-engineering strategies, including a multimodule LLM framework. Methods: A total of 593 clinical notes from the MTSamples database were manually reviewed, with 93 notes used for prompt development and comparison using Llama 3.3-70B, and 500 notes used as testing data for the final best prompt setting using both Llama 3.3-70B and gpt-oss-120B. Four prompting conditions were evaluated: (1) instruction-only, (2) ICD-J0-CM definition-based prompts, (3) assumption-free prompts, and (4) a multimodule LLM framework with postprocessing. Performance was measured using precision, recall, and F1-score for both S&amp;S extraction and ICD-J0-CM code generation. Results: Across all prompt strategies, model performance improved as more structure and constraints were added. Instruction-only prompting demonstrated high recall but poor precision. Incorporating ICD-J0-CM definitions improved coding accuracy, and assumption-free prompting further balanced precision and recall. The multimodule approach with postprocessing achieved the highest performance during prompt development. On the independent test corpus, entity-level microaveraged evaluation showed that gpt-oss-120B outperformed Llama 3.3-70B in both tasks. For S&amp;S extraction, Llama 3.3-70B achieved a precision of 0.63, a recall of 0.86, and an F1-score of 0.73, whereas gpt-oss-120B achieved a precision of 0.89, a recall of 0.87, and an F1-score of 0.88. For ICD-J0-CM code mapping, Llama 3.3-70B achieved a precision of 0.59, a recall of 0.83, and an F1-score of 0.69, whereas gpt-oss-120B achieved a precision of 0.90, a recall of 0.84, and an F1-score of 0.87. Conclusions: Locally deployed LLMs, when paired with optimized prompting and multimodule orchestration, can accurately extract cardiorespiratory S&amp;S and generate ICD-J0-CM codes from unstructured clinical notes. This approach increases the level of data safety by enabling on-premises processing without external data transmission and demonstrates strong potential for scalable, domain-adaptive symptom extraction pipelines in biomedical informatics. Future work should expand datasets and evaluate generalizability across clinical domains.</t>
  </si>
  <si>
    <t>Bai, Yunbing; Cui, Wanting; Finkelstein, Joseph</t>
  </si>
  <si>
    <t>Bai, YB (corresponding author), Univ Arizona, Coll Med, Arizona Ctr Telemed &amp; Digital Hlth, 1501 N Campbell Ave,AHSL 1156, Tucson, AZ 85724 USA.</t>
  </si>
  <si>
    <t>yunbing@arizona.edu</t>
  </si>
  <si>
    <t>National Institutes of Health [R33HL143317]</t>
  </si>
  <si>
    <t>National Institutes of Health (United States Department of Health &amp; Human Services, National Institutes of Health (NIH) - USA)</t>
  </si>
  <si>
    <t>Funding The project was funded in part by National Institutes of Health grant R33HL143317.</t>
  </si>
  <si>
    <t>[Bai, Yunbing; Cui, Wanting; Finkelstein, Joseph] Univ Arizona, Coll Med, Arizona Ctr Telemed &amp; Digital Hlth, 1501 N Campbell Ave,AHSL 1156, Tucson, AZ 85724 USA</t>
  </si>
  <si>
    <t>University of Arizona</t>
  </si>
  <si>
    <t>Extracting Cardiorespiratory Symptoms From Clinical Notes Using Open-Weight Large Language Models: Method Development and Validation Study</t>
  </si>
  <si>
    <t>JMIR CARDIO</t>
  </si>
  <si>
    <t>natural language processing; NLP; large language models; electronic health records; signs and symptoms; clinical coding; prompt engineering; named entity recognition</t>
  </si>
  <si>
    <t>LUNG-CANCER; DIAGNOSIS</t>
  </si>
  <si>
    <t>Bai, Yunbing/0009-0005-4910-4497</t>
  </si>
  <si>
    <t>2561-1011</t>
  </si>
  <si>
    <t>JMIR Cardio</t>
  </si>
  <si>
    <t>e89480</t>
  </si>
  <si>
    <t>10.2196/89480</t>
  </si>
  <si>
    <t>http://dx.doi.org/10.2196/89480</t>
  </si>
  <si>
    <t>IS6EV</t>
  </si>
  <si>
    <t>42206405</t>
  </si>
  <si>
    <t>WOS:001779347900001</t>
  </si>
  <si>
    <t>Bang, SH; Han, S; Turchioe, MR; Ellison, M; Dai, S; Happ, MB; Russell, D; Creber, RM</t>
  </si>
  <si>
    <t>Objective To develop and systematically compare a human-led and LLM-assisted hybrid deductive-inductive workflow for qualitative analyses.Materials and methods We analyzed 122 transcripts (n = 61 research clinical consultations; n = 61 reflexive interviews) from a video ethnography study of patients with heart failure. Human-led thematic analysis used Dedoose software, and LLM-based analysis was conducted using ChatGPT Edu (GPT-5.2; OpenAI) with an eleven-prompt protocol. Both applied a hybrid deductive-inductive approach. The research team compared outputs across 63 human-LLM theme pairs using human consensus and LLM-based evaluation, integrated themes into a final framework, and manually verified quotation fidelity against the original transcripts.Results Human-led and LLM-generated analyses produced complementary cross-cutting themes (7 human; 9 LLM), all judged valid and integrated into 14 final themes across three domains. Thematic overlap was moderate to substantial (Hit Rate 1.00; Jaccard 0.44-0.51). Robustness testing across three runs revealed recurrence of five core concepts alongside variability in theme labels and counts. Quotation fidelity showed 68% verbatim, 20% paraphrased, 6% partial and 3% full hallucinations, and 3% truncated excerpts; verbatim quotations did not always clearly support their assigned themes.Discussion LLM-assisted analysis is feasible for large-scale qualitative health research within a HIPAA-compliant environment using an adaptable eleven-prompt protocol. Human oversight remained essential for contextual interpretation, quotation verification, and assessment of theme-quotation support.Conclusions LLMs are best positioned as analytic partners rather than autonomous coders. Transparent workflows with human-in-the-loop validation are essential for responsible AI integration in health and biomedical informatics.</t>
  </si>
  <si>
    <t>Bang, So Hyeon; Han, Soojeong; Turchioe, Meghan Reading; Ellison, Melani; Dai, Stacey; Happ, Mary Beth; Russell, David; Creber, Ruth Masterson</t>
  </si>
  <si>
    <t>Creber, RM (corresponding author), 560 168th St, New York, NY 10032 USA.</t>
  </si>
  <si>
    <t>rm3284@cumc.columbia.edu</t>
  </si>
  <si>
    <t>National Institutes of Health [R01HL161458]</t>
  </si>
  <si>
    <t>National Institutes of Health (United States Department of Health &amp; Human Services, National Institutes of Health (NIH) - USA, Office of the Administrator (NIH))</t>
  </si>
  <si>
    <t>This work was supported by the National Heart, Lung, and Blood Institute of the National Institutes of Health under Award Number R01HL161458 (PI: Masterson Creber). Soojeong Han is a postdoctoral research fellow, supported by the National Institutes of Health, National Institute of Nursing Research-Reducing Health Differences Through Informatics Training Program (T32NR007969).</t>
  </si>
  <si>
    <t>[Bang, So Hyeon; Han, Soojeong; Turchioe, Meghan Reading; Ellison, Melani; Dai, Stacey; Creber, Ruth Masterson] Columbia Univ, Sch Nursing, New York, NY USA; [Happ, Mary Beth] Ohio State Univ, Coll Nursing, Columbus, OH USA; [Russell, David] Appalachian State Univ, Dept Sociol, Boone, NC USA</t>
  </si>
  <si>
    <t>Columbia University; University System of Ohio; Ohio State University; University of North Carolina; Appalachian State University</t>
  </si>
  <si>
    <t>Developing and evaluating human-led and large language model-assisted hybrid deductive-inductive workflows for qualitative analysis</t>
  </si>
  <si>
    <t>Large Language Models (LLMs); qualitative research; thematic analysis; clinical informatics; patient-reported outcomes</t>
  </si>
  <si>
    <t>Bang, Sohyeon/LJM-1722-2024</t>
  </si>
  <si>
    <t>10.1093/jamia/ocag123</t>
  </si>
  <si>
    <t>http://dx.doi.org/10.1093/jamia/ocag123</t>
  </si>
  <si>
    <t>MH1BS</t>
  </si>
  <si>
    <t>42562767</t>
  </si>
  <si>
    <t>WOS:001842094200001</t>
  </si>
  <si>
    <t>Shakir, K; Sarlak, H; Rogati, G; Leardini, A; Berti, L; Caravaggi, P</t>
  </si>
  <si>
    <t>Diabetic foot ulcers (DFUs) impose a substantial burden on people with diabetes and healthcare systems. The post-healing "transition phase" remains clinically challenging with limited guideline support. While large language models (LLMs) are increasingly proposed as clinical decision-support tools, their reliability in evidence-scarce scenarios is largely untested. This exploratory study benchmarked leading LLMs against European clinician consensus for the evidence-scarce scenario of DFU transition-phase management. Six LLMs (ChatGPT-4o, ChatGPT-5.0, Gemini 2.5 Flash, Gemini 2.5 Pro, Claude Sonnet 4.0, and Perplexity) were evaluated for accuracy and hallucination using a two-stage framework. Benchmarks were derived from an online survey of European DFU experts reflecting European-level and national practices (Denmark, Netherlands, UK). Binary outcomes were summarized as proportions with Wilson 95% confidence intervals. Paired within-item comparisons across models were assessed using Cochran's Q, followed by exact McNemar tests with Holm correction (alpha = 0.05); inferential results were considered supportive due to the limited number of paired items (n = 8). Across 192 accuracy assessments and 384 reference checks, LLM accuracy ranged from 50-75% and declined when simulating national practices. Hallucination rates exceeded 50% in several models. LLMs rely on generic recommendations, which contrast with clinicians' contextual, patient-centered reasoning, suggesting current limitations in their suitability for clinical decision support in DFU transition phase clinical care.</t>
  </si>
  <si>
    <t>Shakir, Kamran; Sarlak, Hadi; Rogati, Giulia; Leardini, Alberto; Berti, Lisa; Caravaggi, Paolo</t>
  </si>
  <si>
    <t>Sarlak, H (corresponding author), Univ Bologna, Alma Mater Studiorum, Dept Biomed &amp; Neuromotor Sci, Via Zamboni 33, I-40136 Bologna, Italy.; Sarlak, H (corresponding author), IRCCS Ist Ortoped Rizzoli, Movement Anal Lab &amp; Funct Evaluat Prostheses, Via Barbiano 1-10, I-40136 Bologna, Italy.</t>
  </si>
  <si>
    <t>kamran.shakir2@unibo.it; leardini@ior.it; hadi.sarlak2@unibo.it; giulia.rogati@ior.it; paolo.caravaggi@ior.it; lisa.berti@unibo.it</t>
  </si>
  <si>
    <t>European Union's Horizon 2020 research and innovation program [101073533]</t>
  </si>
  <si>
    <t>European Union's Horizon 2020 research and innovation program</t>
  </si>
  <si>
    <t>This project received funding from the European Union's Horizon 2020 research and innovation program under the Marie Sk &amp; lstrok;odowska-Curie grant agreement no. 101073533 (DIALECT: Diabetes Lower Extremity Complications Research and Training Network in Foot Ulcer and Amputation Prevention).</t>
  </si>
  <si>
    <t>[Shakir, Kamran; Sarlak, Hadi; Berti, Lisa] Univ Bologna, Alma Mater Studiorum, Dept Biomed &amp; Neuromotor Sci, Via Zamboni 33, I-40136 Bologna, Italy; [Shakir, Kamran; Sarlak, Hadi; Rogati, Giulia; Leardini, Alberto; Caravaggi, Paolo] IRCCS Ist Ortoped Rizzoli, Movement Anal Lab &amp; Funct Evaluat Prostheses, Via Barbiano 1-10, I-40136 Bologna, Italy; [Berti, Lisa] IRCCS Ist Ortoped Rizzoli, Phys Med &amp; Rehabil Unit, I-40136 Bologna, Italy</t>
  </si>
  <si>
    <t>University of Bologna</t>
  </si>
  <si>
    <t>Evaluating the Performance of Large Language Models in Evidence-Scarce Scenario: The Diabetic Foot Ulcer Transition Phase</t>
  </si>
  <si>
    <t>INFORMATICS-BASEL</t>
  </si>
  <si>
    <t>generative artificial intelligence; healthcare; large language model; diabetes mellitus; T2DM; diabetic foot ulcers; clinical decision support system</t>
  </si>
  <si>
    <t>Caravaggi, Paolo/AAB-8196-2019; Leardini, Alberto/C-8189-2019; Rogati, Giulia/AAJ-1447-2021; Sarlak, Hadi/QKX-8758-2026</t>
  </si>
  <si>
    <t>2227-9709</t>
  </si>
  <si>
    <t>Informatics-Basel</t>
  </si>
  <si>
    <t>JUL 20 2026</t>
  </si>
  <si>
    <t>117</t>
  </si>
  <si>
    <t>10.3390/informatics13070117</t>
  </si>
  <si>
    <t>http://dx.doi.org/10.3390/informatics13070117</t>
  </si>
  <si>
    <t>Computer Science, Interdisciplinary Applications</t>
  </si>
  <si>
    <t>LS2OA</t>
  </si>
  <si>
    <t>WOS:001832004500001</t>
  </si>
  <si>
    <t>Garcia, BT; Westerfield, L; Yelemali, P; Gogate, N; Rivera-Munoz, EA; Du, HW; Dawood, M; Jolly, A; Lupski, JR; Posey, JE</t>
  </si>
  <si>
    <t>BackgroundDiagnosing rare genetic disorders relies on precise phenotypic and genotypic analysis, with the Human Phenotype Ontology (HPO) providing a standardized language for capturing clinical phenotypes. Rule-based HPO extraction tools use concept recognition to automatically identify phenotypes, but they often struggle with incomplete phenotype assignment, requiring significant manual review. While large language models (LLMs) hold promise for more context-driven phenotype extraction, they are prone to errors and "hallucinations," making them less reliable without further refinement. We present RAG-HPO, a Python-based tool that leverages retrieval-augmented generation (RAG) to elevate accuracy of HPO term assignment by LLM. This approach bypasses the limitations of baseline models and eliminates the need for time- and resource-intensive fine-tuning. RAG-HPO integrates a dynamic vector database, containing &gt; 54,000 phenotypic phrases mapped to HPO IDs, which allows real-time retrieval and contextual matching. The RAG-HPO workflow begins by extracting phenotypic phrases from clinical text via an LLM and then matching them via semantic similarity to entries within the database. The best term matches are returned to the LLM as context for final HPO term assignment of each phrase. ResultsPerformance was benchmarked on 112 published case reports with 1792 manually assigned HPO terms and compared to Doc2HPO, ClinPhen, and FastHPOCR. In evaluations, RAG-HPO + LLaMa-3.1 70B achieved a mean precision of 0.81, recall of 0.76, and an F1 score of 0.78-significantly surpassing conventional tools (p &lt; 0.00001). RAG-HPO returned 1648 terms, of which 19.1% (315) were false positives that did not exactly match our manually annotated standard. Among these, &lt; 1% (1/315) represented hallucinations, and 1.3% (4/315) represented terms with no ontological relationship to the desired target; the remaining false positives (95.2%, 300/315) were broader ancestor terms of the target term, which may still be relevant to users in many contexts. ConclusionsRAG-HPO is a user-friendly, adaptable tool designed for secure evaluation of clinical text and outperforms standard HPO-matching tools in precision, recall, and F1. Its enhanced precision and recall represent a substantial advancement in phenotypic analysis, accelerating the identification of genetic mechanisms underlying rare diseases and driving progress in genetic research and clinical genomics. RAG-HPO is available at https://github.com/PoseyPod/RAG-HPO.</t>
  </si>
  <si>
    <t>Garcia, Brandon T.; Westerfield, Lauren; Yelemali, Priya; Gogate, Nikhita; Rivera-Munoz, E. Andres; Du, Haowei; Dawood, Moez; Jolly, Angad; Lupski, James R.; Posey, Jennifer E.</t>
  </si>
  <si>
    <t>Posey, JE (corresponding author), Baylor Coll Med, Dept Mol &amp; Human Genet, Houston, TX 77030 USA.; Posey, JE (corresponding author), Columbia Univ, Irving Med Ctr, Vagelos Coll Phys &amp; Surg, Dept Pediat, New York, NY 10032 USA.; Posey, JE (corresponding author), Columbia Univ, Vagelos Coll Phys &amp; Surg, Irving Med Ctr, Dept Med, New York, NY 10032 USA.</t>
  </si>
  <si>
    <t>jep2156@cumc.columbia.edu</t>
  </si>
  <si>
    <t>U.S. NIH National Human Genome Research Institute (NHGRI)</t>
  </si>
  <si>
    <t>We would like to thank the following for their help and support in creating RAG-HPO: Thanks to Steve Ludke, PhD, Maxim Seferovic, PhD, and Shinya Yamamoto DVM, PhD for your guidance in coding in Python; thanks to Gwendolyn Hummel for biostatistics guidance; and thanks to Cole Deisseroth for being a resource for information on HPO analysis and the application of NLP to deep phenotyping.</t>
  </si>
  <si>
    <t>[Garcia, Brandon T.; Westerfield, Lauren; Yelemali, Priya; Gogate, Nikhita; Rivera-Munoz, E. Andres; Du, Haowei; Dawood, Moez; Jolly, Angad; Lupski, James R.; Posey, Jennifer E.] Baylor Coll Med, Dept Mol &amp; Human Genet, Houston, TX 77030 USA; [Garcia, Brandon T.; Dawood, Moez] Baylor Coll Med, Med Scientist Training Program, Houston, TX 77030 USA; [Garcia, Brandon T.; Gogate, Nikhita; Rivera-Munoz, E. Andres; Dawood, Moez] Baylor Coll Med, Genet &amp; Genom Grad Program, Houston, TX 77030 USA; [Westerfield, Lauren; Lupski, James R.] Texas Childrens Hosp, Houston, TX 77030 USA; [Westerfield, Lauren] Baylor Coll Med, Dept Obstet &amp; Gynecol, Houston, TX 77030 USA; [Yelemali, Priya] Meharry Med Coll, Sch Med, Nashville, TN 37208 USA; [Dawood, Moez; Lupski, James R.] Baylor Coll Med, Human Genome Sequencing Ctr, Houston, TX 77030 USA; [Lupski, James R.] Baylor Coll Med, Dept Pediat, Houston, TX 77030 USA; [Posey, Jennifer E.] Columbia Univ, Irving Med Ctr, Vagelos Coll Phys &amp; Surg, Dept Pediat, New York, NY 10032 USA; [Posey, Jennifer E.] Columbia Univ, Vagelos Coll Phys &amp; Surg, Irving Med Ctr, Dept Med, New York, NY 10032 USA</t>
  </si>
  <si>
    <t>Baylor College of Medicine; Baylor College of Medicine; Baylor College of Medicine; Baylor College of Medicine; Baylor College Medical Hospital; Baylor College of Medicine; Meharry Medical College; Baylor College of Medicine; Baylor College of Medicine; Cornell University; Columbia University; Weill Cornell Medicine; NewYork-Presbyterian Hospital; Columbia University; Cornell University; Weill Cornell Medicine; NewYork-Presbyterian Hospital</t>
  </si>
  <si>
    <t>Improving automated deep phenotyping through large language models using retrieval-augmented generation</t>
  </si>
  <si>
    <t>GENOME MEDICINE</t>
  </si>
  <si>
    <t>Large language models (LLMs); Retrieval-augmented generation (RAG); Phenotyping; Human Phenotype Ontology (HPO); Natural language processing (NLP); Clinical genomics; Generative pre-trained transformer (GPT); Generative AI; LLaMa-3</t>
  </si>
  <si>
    <t>Westerfield, Lauren/AFV-4747-2022; Du, Haowei/HHN-1823-2022; Posey, Jennifer/J-3048-2019</t>
  </si>
  <si>
    <t>Rivera-Muñoz, Edgar/0000-0002-0610-4770; Westerfield, Lauren/0000-0002-0878-6808</t>
  </si>
  <si>
    <t>1756-994X</t>
  </si>
  <si>
    <t>GENOME MED</t>
  </si>
  <si>
    <t>Genome Med.</t>
  </si>
  <si>
    <t>AUG 18 2025</t>
  </si>
  <si>
    <t>91</t>
  </si>
  <si>
    <t>10.1186/s13073-025-01521-w</t>
  </si>
  <si>
    <t>http://dx.doi.org/10.1186/s13073-025-01521-w</t>
  </si>
  <si>
    <t>Genetics &amp; Heredity</t>
  </si>
  <si>
    <t>6HA2U</t>
  </si>
  <si>
    <t>40826123</t>
  </si>
  <si>
    <t>WOS:001553155800002</t>
  </si>
  <si>
    <t>gold; Green Submitted; Green Published</t>
  </si>
  <si>
    <t>Ma, JL; Wu, XH; Feng, ZY; Kuang, Y; Ding, ZD; Li, M; Yang, GP</t>
  </si>
  <si>
    <t>Background: Adverse drug events (ADEs) pose significant public health challenges and economic burdens. While substantial ADE information is documented in unstructured clinical notes, its extraction remains difficult due to semantic complexity. Large language models (LLMs) offer promising text comprehension capabilities but are often hindered by domain-specific hallucinations. Objective: This study aims to evaluate the effectiveness of retrieval-augmented generation (RAG) in improving the identification of ADEs using LLMs from Chinese clinical narratives and to establish a paradigm for this task. Methods: We collected and preprocessed 19,983 Chinese clinical notes, retaining 18,432 high-quality records. Following a rigorous annotation and deduplication process, we established a gold-standard reference dataset (n=2510) and an ADE knowledge base (n=5144) using a standardized JSON schema. We evaluated 3 state-of-the-art LLMs (DeepSeek-V3 [Deep-Seek], ERNIE 3.5-8K [Baidu], and GPT-4o [OpenAI]) under 3 prompt strategies: nonaugmented generation (NAG), static-augmented generation (SAG), and RAG. Performance was comprehensively assessed using precision, recall, and F1-score across 3 recognition matching levels (L1 exact, L2 sentence, and L3 overlap) via 1000 bootstrap resamples. Model robustness was further validated from real-world clinical progress notes, reflecting real-world ADE prevalence. Results: We successfully constructed and publicly released the first Chinese ADE corpus derived from clinical notes. Across the tested LLMs, RAG yielded higher F1-scores than NAG and SAG at the L3 level. The optimal configuration, DeepSeek-V3 with RAG, achieved an overall L3-level F1-score of 0.9638 (95% CI 0.9541-0.9727). Notably, the RAG approach increased the recall of GPT-4o from 0.6419 under NAG to 0.9241 under RAG (FDR P=.003). Evaluation on real-world datasets demonstrated clinical utility, with the RAG prompt maintaining high discriminatory capability (specificity: 0.9821; F2-score: 0.8885). Error analysis revealed that RAG successfully resolved common identification errors, both omissions and commissions, that were intractable for nonaugmented models. Conclusions: Synergizing a curated domain-specific knowledge base with LLMs via a RAG architecture is an effective strategy for accurately identifying ADEs in unstructured Chinese clinical notes. This approach can mitigate hallucinations in LLMs, providing a foundational open-source benchmark and a robust technical framework to advance pharmacovigilance, drug safety research, and clinical decision support.</t>
  </si>
  <si>
    <t>Ma, Junlong; Wu, Xuehong; Feng, Zeying; Kuang, Yun; Ding, Zhendong; Li, Min; Yang, Guoping</t>
  </si>
  <si>
    <t>Yang, GP (corresponding author), Cent South Univ, Xiangya Hosp 3, Ctr Clin Pharmacol, 138 Tongzipo Rd, Changsha 410013, Hunan, Peoples R China.</t>
  </si>
  <si>
    <t>ygp9880@126.com</t>
  </si>
  <si>
    <t>National Natural Science Foundation of China [82474009]; Hunan Provincial Natural Science Foundation of China [2023JJ60513, 2025JJ30025]; Liuzhou City Science and Technology Planning Project [2024YB0103A019]; Liuzhou Key Laboratory of Clinical Drug Research and Evaluation for Women and Children</t>
  </si>
  <si>
    <t>National Natural Science Foundation of China (National Natural Science Foundation of China (NSFC)); Hunan Provincial Natural Science Foundation of China; Liuzhou City Science and Technology Planning Project; Liuzhou Key Laboratory of Clinical Drug Research and Evaluation for Women and Children</t>
  </si>
  <si>
    <t>This work was funded by the National Natural Science Foundation of China (No. 82474009) , Hunan Provincial Natural Science Foundation of China (No. 2023JJ60513 and 2025JJ30025) , the Liuzhou City Science and Technology Planning Project (No. 2024YB0103A019) , and the Liuzhou Key Laboratory of Clinical Drug Research and Evaluation for Women and Children.</t>
  </si>
  <si>
    <t>[Ma, Junlong] Cent South Univ, Xiangya Hosp, Dept Pharm, Changsha, Hunan, Peoples R China; [Wu, Xuehong; Li, Min] Cent South Univ, Sch Comp Sci &amp; Engn, Changsha, Hunan, Peoples R China; [Feng, Zeying] Liuzhou Hosp, Clin Trial Inst Off, Guangzhou Women &amp; Childrens Med Ctr, Liuzhou, Guangxi, Peoples R China; [Kuang, Yun; Yang, Guoping] Cent South Univ, Xiangya Hosp 3, Ctr Clin Pharmacol, 138 Tongzipo Rd, Changsha 410013, Hunan, Peoples R China; [Ding, Zhendong] Cent South Univ, Xiangya Hosp 3, Dept Anesthesiol, Changsha, Hunan, Peoples R China; [Yang, Guoping] Cent South Univ, Xiangya Sch Pharmaceut Sci, Changsha, Hunan, Peoples R China</t>
  </si>
  <si>
    <t>Central South University; Central South University; Central South University; Central South University; Central South University</t>
  </si>
  <si>
    <t>Intelligent Framework for Adverse Drug Event Identification Using Large Language Models and Retrieval-Augmented Generation: Development and Evaluation Study</t>
  </si>
  <si>
    <t>adverse drug event; large language model; retrieval-augmented generation; Chinese clinical notes; pharmacovigilance</t>
  </si>
  <si>
    <t>AUG 10 2026</t>
  </si>
  <si>
    <t>e84086</t>
  </si>
  <si>
    <t>10.2196/84086</t>
  </si>
  <si>
    <t>http://dx.doi.org/10.2196/84086</t>
  </si>
  <si>
    <t>MS1KY</t>
  </si>
  <si>
    <t>42574561</t>
  </si>
  <si>
    <t>WOS:001849575100011</t>
  </si>
  <si>
    <t>Ergen, YM; Teke, S; Basaran, EG; Balamtekin, N</t>
  </si>
  <si>
    <t>Objective To evaluate the diagnostic accuracy and clinical reasoning of three frontier large language models (LLMs) across standardized pediatric gastroenterology, hepatology, and nutrition (PGHN) clinical vignettes.Methods In this cross-sectional study, 25 fictional PGHN vignettes were developed by one board-certified pediatric gastroenterologist and evaluated using three LLMs: Gemini 3.1 Pro, ChatGPT 5.4 Thinking, and Claude Sonnet 4.6 Extended. A conditional two-step prompting protocol was applied. Three blinded, PGHN-certified co-authors independently scored responses using a structured instrument covering four domains (diagnostic accuracy, management, patient safety, reference quality; 0-2 each) and a global quality of clinical reasoning (QCR) score (1-5 Likert scale). Interobserver reliability was assessed using the intraclass correlation coefficient (ICC). Group differences were analyzed using the Kruskal-Wallis H test with Dunn post-hoc correction.Results Interobserver reliability was excellent (ICC: 0.98 for domains; 0.87 for QCR). All three models achieved perfect diagnostic accuracy (median 2.00, interquartile range: 2.00-2.00). Statistically significant intermodel differences were identified in reference quality (p = 0.048) and QCR (p = 0.049). Claude achieved significantly higher QCR scores than ChatGPT (p = 0.043) and demonstrated the highest overall reference quality. Qualitative analysis revealed critical pharmacological dosing errors, contextual blindness, temporal obsolescence, and a high frequency of fabricated citations.Conclusion While current LLMs demonstrate good diagnostic pattern recognition in PGHN, reproducible and potentially life-threatening failures in pharmacological reasoning and reference accuracy create a dangerous illusion of competence. These findings suggest that LLMs may support differential diagnosis brainstorming in PGHN but do not establish their safety in real-world clinical scenarios.</t>
  </si>
  <si>
    <t>Ergen, Yasin Maruf; Teke, Selcuk; Basaran, Edibe Gozde; Balamtekin, Necati</t>
  </si>
  <si>
    <t>Ergen, YM (corresponding author), Gulhane Training &amp; Res Hosp, Dept Pediat, Div Pediat Gastroenterol, Ankara, Turkiye.</t>
  </si>
  <si>
    <t>yasinmaruf@gmail.com</t>
  </si>
  <si>
    <t>None Funding Source: Medline</t>
  </si>
  <si>
    <t>None</t>
  </si>
  <si>
    <t>[Ergen, Yasin Maruf; Teke, Selcuk; Basaran, Edibe Gozde; Balamtekin, Necati] Gulhane Training &amp; Res Hosp, Dept Pediat, Div Pediat Gastroenterol, Ankara, Turkiye</t>
  </si>
  <si>
    <t>Gulhane Training &amp; Research Hospital</t>
  </si>
  <si>
    <t>The illusion of competence: Evaluating the clinical reasoning of large language models in pediatric gastroenterology</t>
  </si>
  <si>
    <t>JOURNAL OF PEDIATRIC GASTROENTEROLOGY AND NUTRITION</t>
  </si>
  <si>
    <t>artificial intelligence; clinical decision support; guideline concordance; hallucination; reference hallucination</t>
  </si>
  <si>
    <t>Balamtekin, Necati/AFL-0117-2022; Ergen, Yasin Maruf/MFI-5664-2025; Teke, Selcuk/LRC-4184-2024; Başaran, Edibe Gözde/MTD-1776-2025</t>
  </si>
  <si>
    <t>0277-2116</t>
  </si>
  <si>
    <t>1536-4801</t>
  </si>
  <si>
    <t>J PEDIATR GASTR NUTR</t>
  </si>
  <si>
    <t>J. Pediatr. Gastroenterol. Nutr.</t>
  </si>
  <si>
    <t>10.1002/jpn3.70502</t>
  </si>
  <si>
    <t>http://dx.doi.org/10.1002/jpn3.70502</t>
  </si>
  <si>
    <t>Gastroenterology &amp; Hepatology; Nutrition &amp; Dietetics; Pediatrics</t>
  </si>
  <si>
    <t>LC3VM</t>
  </si>
  <si>
    <t>42460647</t>
  </si>
  <si>
    <t>WOS:001821245300001</t>
  </si>
  <si>
    <t>Tozuka, R; Johno, H; Amakawa, A; Sato, J; Muto, M; Seki, S; Komaba, A; Onishi, H</t>
  </si>
  <si>
    <t>PurposeIn radiology, large language models (LLMs), including ChatGPT, have recently gained attention, and their utility is being rapidly evaluated. However, concerns have emerged regarding their reliability in clinical applications due to limitations such as hallucinations and insufficient referencing. To address these issues, we focus on the latest technology, retrieval-augmented generation (RAG), which enables LLMs to reference reliable external knowledge (REK). Specifically, this study examines the utility and reliability of a recently released RAG-equipped LLM (RAG-LLM), NotebookLM, for staging lung cancer.Materials and methodsWe summarized the current lung cancer staging guideline in Japan and provided this as REK to NotebookLM. We then tasked NotebookLM with staging 100 fictional lung cancer cases based on CT findings and evaluated its accuracy. For comparison, we performed the same task using a gold-standard LLM, GPT-4 Omni (GPT-4o), both with and without the REK. For GPT-4o, the REK was provided directly within the prompt rather than through RAG.ResultsNotebookLM achieved 86% diagnostic accuracy in the lung cancer staging experiment, outperforming GPT-4o, which recorded 39% accuracy with the REK and 25% without it. Moreover, NotebookLM demonstrated 95% accuracy in searching reference locations within the REK.ConclusionNotebookLM, a RAG-LLM, successfully performed lung cancer staging by utilizing the REK, demonstrating superior performance compared to GPT-4o (without RAG). Additionally, it provided highly accurate reference locations within the REK, allowing radiologists to efficiently evaluate the reliability of NotebookLM's responses and detect possible hallucinations. Overall, this study highlights the potential of NotebookLM, a RAG-LLM, in image diagnosis.</t>
  </si>
  <si>
    <t>Tozuka, Ryota; Johno, Hisashi; Amakawa, Akitomo; Sato, Junichi; Muto, Mizuki; Seki, Shoichiro; Komaba, Atsushi; Onishi, Hiroshi</t>
  </si>
  <si>
    <t>Johno, H (corresponding author), Univ Yamanashi, Dept Radiol, 1110 Shimokato, Chuo, Yamanashi 4093898, Japan.</t>
  </si>
  <si>
    <t>johnoh@yamanashi.ac.jp</t>
  </si>
  <si>
    <t>JSPS KAKENHI; Grants-in-Aid for Scientific Research [21K15762] Funding Source: KAKEN</t>
  </si>
  <si>
    <t>JSPS KAKENHI (Ministry of Education, Culture, Sports, Science and Technology, Japan (MEXT), Japan Society for the Promotion of Science, Grants-in-Aid for Scientific Research (KAKENHI)); Grants-in-Aid for Scientific Research (Ministry of Education, Culture, Sports, Science and Technology, Japan (MEXT), Japan Society for the Promotion of Science, Grants-in-Aid for Scientific Research (KAKENHI))</t>
  </si>
  <si>
    <t>This study was partially supported by JSPS KAKENHI Grant Number JP21K15762.</t>
  </si>
  <si>
    <t>[Tozuka, Ryota; Johno, Hisashi; Amakawa, Akitomo; Sato, Junichi; Muto, Mizuki; Seki, Shoichiro; Komaba, Atsushi; Onishi, Hiroshi] Univ Yamanashi, Dept Radiol, 1110 Shimokato, Chuo, Yamanashi 4093898, Japan; [Tozuka, Ryota] Tohoku Univ, Dept Radiat Oncol, Grad Sch Med, 1-1 Seiryo Machi,Aoba Ku, Sendai, Miyagi 9808574, Japan</t>
  </si>
  <si>
    <t>University of Yamanashi; Tohoku University</t>
  </si>
  <si>
    <t>Application of NotebookLM, a large language model with retrieval-augmented generation, for lung cancer staging</t>
  </si>
  <si>
    <t>JAPANESE JOURNAL OF RADIOLOGY</t>
  </si>
  <si>
    <t>Large language model (LLM); Retrieval-augmented generation (RAG); Reliable external knowledge (REK); NotebookLM; GPT-4 Omni (GPT-4o); Lung cancer staging</t>
  </si>
  <si>
    <t>Tozuka, Ryota/LJM-4788-2024</t>
  </si>
  <si>
    <t>Johno, Hisashi/0000-0002-8058-1401; Komaba, Atsushi/0000-0002-4935-3945</t>
  </si>
  <si>
    <t>1867-1071</t>
  </si>
  <si>
    <t>1867-108X</t>
  </si>
  <si>
    <t>JPN J RADIOL</t>
  </si>
  <si>
    <t>Jpn. J. Radiol.</t>
  </si>
  <si>
    <t>706</t>
  </si>
  <si>
    <t>712</t>
  </si>
  <si>
    <t>10.1007/s11604-024-01705-1</t>
  </si>
  <si>
    <t>http://dx.doi.org/10.1007/s11604-024-01705-1</t>
  </si>
  <si>
    <t>0SG4O</t>
  </si>
  <si>
    <t>39585559</t>
  </si>
  <si>
    <t>WOS:001362633800001</t>
  </si>
  <si>
    <t>Kalaivani, K</t>
  </si>
  <si>
    <t>The remarkable potential of Large Language Models (LLMs) in clinical decision support systems (CDSS) comprises the ability to perform complicated medical reasoning, natural language understanding, and workflow automation. Nonetheless, the real-world application of them is still limited due to hallucinations, lack of interpretability, shortcomings in clinical accuracy, and regulatory issues. This paper introduces a trust-based framework for adapting LLMs to CDSS using domain-specific training, retrieval-augmented generation (RAG), and a Medical Validation Pipeline (MVP).</t>
  </si>
  <si>
    <t>Kalaivani, K.</t>
  </si>
  <si>
    <t>kalaivani.sai21@gmail.com</t>
  </si>
  <si>
    <t>From Black Box to Bedside: Trustworthy Large Language Models for Clinical Decision Support Systems</t>
  </si>
  <si>
    <t>BOLETIM SOCIEDADE PARANAENSE DE MATEMATICA</t>
  </si>
  <si>
    <t>Large Language Models; clinical decision support systems; trustworthy AI; explainable AI; patient safety; healthcare AI</t>
  </si>
  <si>
    <t>SOC PARANAENSE MATEMATICA</t>
  </si>
  <si>
    <t>CURITIBA</t>
  </si>
  <si>
    <t>JD AMERICAS, CAIXA POSTAL 19081, CURITIBA, PR 81531-990, BRAZIL</t>
  </si>
  <si>
    <t>0037-8712</t>
  </si>
  <si>
    <t>2175-1188</t>
  </si>
  <si>
    <t>BOL SOC PARANA MAT</t>
  </si>
  <si>
    <t>Bol. Soc. Parana. Mat.</t>
  </si>
  <si>
    <t>AUG 5 2026</t>
  </si>
  <si>
    <t>82946</t>
  </si>
  <si>
    <t>10.5269/bspm.82946</t>
  </si>
  <si>
    <t>http://dx.doi.org/10.5269/bspm.82946</t>
  </si>
  <si>
    <t>Mathematics</t>
  </si>
  <si>
    <t>MG8RU</t>
  </si>
  <si>
    <t>WOS:001841932600004</t>
  </si>
  <si>
    <t>Wang, YS; Wan, YL; Lei, XY; Chen, QK; Hu, HP</t>
  </si>
  <si>
    <t>Based on the existing Retrieval Augmented Generation (RAG) technology, this study proposes innovative solution to better address the hallucination issues of current large language models. By optimizing data processing, prompt engineering, and multi-retriever fusion, it resolves issues such as semantic capture bias, inaccurate context retrieval, information redundancy, hallucination generation, and length limitations. Data processing focuses on text cleaning, disambiguation, and removing redundant information to enhance consistency. Prompt engineering aids the model in better understanding the task. The adaptive weight fusion of sparse and dense retrievers improves context retrieval accuracy. Experiments conducted on the CCKS-TCMBench dataset for medical knowledge understanding and semantic reasoning show that the optimized model significantly outperforms the baseline across all evaluation metrics.</t>
  </si>
  <si>
    <t>Wang, Yingshuai; Wan, Yanli; Lei, Xingyun; Chen, Qingkun; Hu, Hongpu</t>
  </si>
  <si>
    <t>Hu, HP (corresponding author), Chinese Acad Med Sci &amp; Peking Union Med Coll, Inst Med Informat &amp; Lib, Beijing 100020, Peoples R China.</t>
  </si>
  <si>
    <t>hu.hongpu@imicams.ac.cn</t>
  </si>
  <si>
    <t>Chinese Academy of Medical Sciences Innovation Fund for Medical Sciences (CIFMS) [2022-I2M-1-019]; National Social Science Fund of China [22ZD141]; Non-profit Central Research Institute Fund of Chinese Academy of Medical Sciences [2024-ZHCH630-01]; First Batch of Key Research Projects on Medical and Health System Reform by the Chinese Health Economics Association</t>
  </si>
  <si>
    <t>Chinese Academy of Medical Sciences Innovation Fund for Medical Sciences (CIFMS); National Social Science Fund of China; Non-profit Central Research Institute Fund of Chinese Academy of Medical Sciences; First Batch of Key Research Projects on Medical and Health System Reform by the Chinese Health Economics Association</t>
  </si>
  <si>
    <t>This study was funded by the Chinese Academy of Medical Sciences Innovation Fund for Medical Sciences (CIFMS) [2022-I2M-1-019], National Social Science Fund of China (22&amp;ZD141), The Non-profit Central Research Institute Fund of Chinese Academy of Medical Sciences (2024-ZHCH630-01), The First Batch of Key Research Projects on Medical and Health System Reform by the Chinese Health Economics Association.</t>
  </si>
  <si>
    <t>[Wang, Yingshuai; Wan, Yanli; Lei, Xingyun; Chen, Qingkun; Hu, Hongpu] Chinese Acad Med Sci &amp; Peking Union Med Coll, Inst Med Informat &amp; Lib, Beijing 100020, Peoples R China; [Hu, Hongpu] Chinese Acad Med Sci &amp; Peking Union Med Coll, Sch Marxism, Sch Humanities &amp; Social Sci, Beijing 100730, Peoples R China</t>
  </si>
  <si>
    <t>Chinese Academy of Medical Sciences - Peking Union Medical College; Peking Union Medical College; Chinese Academy of Medical Sciences - Peking Union Medical College; Peking Union Medical College</t>
  </si>
  <si>
    <t>A retrieval augmented generation based optimization approach for medical knowledge understanding and reasoning in large language models</t>
  </si>
  <si>
    <t>ARRAY</t>
  </si>
  <si>
    <t>Large language model; Prompt engineering; Retrieval augmented generation; Medical knowledge understanding; Medical knowledge reasoning</t>
  </si>
  <si>
    <t>2590-0056</t>
  </si>
  <si>
    <t>ARRAY-NY</t>
  </si>
  <si>
    <t>Array</t>
  </si>
  <si>
    <t>100504</t>
  </si>
  <si>
    <t>10.1016/j.array.2025.100504</t>
  </si>
  <si>
    <t>http://dx.doi.org/10.1016/j.array.2025.100504</t>
  </si>
  <si>
    <t>Computer Science, Theory &amp; Methods</t>
  </si>
  <si>
    <t>8AB9Q</t>
  </si>
  <si>
    <t>WOS:001583751600001</t>
  </si>
  <si>
    <t>Wei, SY; Hu, AK; Liang, YG; Yang, JR; Yu, L; Li, WB; Yang, B; Qiu, J</t>
  </si>
  <si>
    <t>BackgroundRadiotherapy treatment planning traditionally involves complex and time-consuming processes, often relying on trial-and-error methods. The emergence of artificial intelligence, particularly Large Language Models (LLMs), surpassing human capabilities and existing algorithms in various domains, presents an opportunity to automate and enhance this optimization process.PurposeThis study seeks to evaluate the capacity of LLMs to generate radiotherapy treatment plans comparable to those crafted by human medical physicists, focusing on target volume conformity and organs-at-risk (OARs) dose sparing. The goal is to automate the optimization process of radiotherapy treatment plans through the utilization of LLMs.MethodsMultiple LLMs were employed to adjust optimization parameters for radiotherapy treatment plans, using a dataset comprising 35 cervical cancer patients treated with volumetric modulated arc therapy (VMAT). Customized prompts were applied to 5 patients to tailor the LLMs, which were subsequently tested on 30 patients. Evaluation metrics included target volume conformity, dose homogeneity, monitor units (MU) value, and OARs dose sparing, comparing plans generated by various LLMs to manual plans.ResultsWith the exception of Gemini-1.5-flash, which faced challenges due to hallucinations, Qwen-2.5-max and Llama-3.2 produced acceptable VMAT plans in 16.3 +/- 5.0 and 9.8 +/- 2.1 min, respectively, outperforming an experienced human physicist's time cost of about 20 min. The average conformity index (CI) for Qwen-2.5-max plans, Llama-3.2 plans, and manual plans on the test set were 0.929 +/- 0.007, 0.928 +/- 0.007, and 0.926 +/- 0.007, respectively. The average homogeneity index (HI) was 0.058 +/- 0.006, 0.059 +/- 0.005, and 0.065 +/- 0.006, respectively. While there was a significant difference in target volume conformity between LLM plans and manual plans, OARs dose sparing showed no significant variations. In lateral comparisons among different LLMs, no statistically significant differences were observed in the PTV dose, OARs dose sparing, and target volume conformity between Qwen-2.5-max and Llama-3.2 plans.ConclusionsThrough an assessment of LLM-generated plans and clinical plans in terms of target volume conformity and OARs dose sparing, this study provides preliminary evidence supporting the viability of LLMs for optimizing radiotherapy treatment plans. The implementation of LLMs demonstrates the potential for enhancing clinical workflows and reducing the workload associated with treatment planning.</t>
  </si>
  <si>
    <t>Wei, Shuoyang; Hu, Ankang; Liang, Yongguang; Yang, Jingru; Yu, Lang; Li, Wenbo; Yang, Bo; Qiu, Jie</t>
  </si>
  <si>
    <t>Yang, B (corresponding author), Peking Union Med Coll Hosp, Dept Radiotherapy, Beijing 100730, Peoples R China.</t>
  </si>
  <si>
    <t>yb1632@163.com</t>
  </si>
  <si>
    <t>National key research and development program of China, China [2022YFC2404606]; National High Level Hospital Clinical Research Funding [2022-PUMCH-B-116]</t>
  </si>
  <si>
    <t>National key research and development program of China, China (National Key Research &amp; Development Program of China); National High Level Hospital Clinical Research Funding</t>
  </si>
  <si>
    <t>National key research and development program of China, China (No. 2022YFC2404606). National High Level Hospital Clinical Research Funding (No. 2022-PUMCH-B-116).</t>
  </si>
  <si>
    <t>[Wei, Shuoyang; Liang, Yongguang; Yang, Jingru; Yu, Lang; Li, Wenbo; Yang, Bo; Qiu, Jie] Peking Union Med Coll Hosp, Dept Radiotherapy, Beijing 100730, Peoples R China; [Hu, Ankang] Tsinghua Univ, Dept Engn Phys, Beijing 100084, Peoples R China; [Hu, Ankang] Tsinghua Univ, Minist Educ, Key Lab Particle &amp; Radiat Imaging, Beijing 100084, Peoples R China</t>
  </si>
  <si>
    <t>Chinese Academy of Medical Sciences - Peking Union Medical College; Peking Union Medical College Hospital; Tsinghua University; Tsinghua University</t>
  </si>
  <si>
    <t>Feasibility study of automatic radiotherapy treatment planning for cervical cancer using a large language model</t>
  </si>
  <si>
    <t>RADIATION ONCOLOGY</t>
  </si>
  <si>
    <t>Radiotherapy; Treatment planning; Large language model; Automation</t>
  </si>
  <si>
    <t>LINEAR-PROGRAMMING APPROACH; THERAPY; OPTIMIZATION</t>
  </si>
  <si>
    <t>Wei, Shuoyang/JCN-6768-2023; li, wenbo/AAF-3106-2019; Hu, Ankang/JPA-0455-2023; Liang, Yongguang/POU-3442-2026</t>
  </si>
  <si>
    <t>1748-717X</t>
  </si>
  <si>
    <t>RADIAT ONCOL</t>
  </si>
  <si>
    <t>Radiat. Oncol.</t>
  </si>
  <si>
    <t>MAY 15 2025</t>
  </si>
  <si>
    <t>10.1186/s13014-025-02660-5</t>
  </si>
  <si>
    <t>http://dx.doi.org/10.1186/s13014-025-02660-5</t>
  </si>
  <si>
    <t>Oncology; Radiology, Nuclear Medicine &amp; Medical Imaging</t>
  </si>
  <si>
    <t>2RF6H</t>
  </si>
  <si>
    <t>40375332</t>
  </si>
  <si>
    <t>WOS:001489386700002</t>
  </si>
  <si>
    <t>Hallinan, JTPD; Leow, NW; Low, YX; Lee, A; Ong, W; Chan, MDZ; Devi, GK; He, SS; Loh, DDL; Lim, DSW; Low, XZ; Lim, MC; Yong, C; Sng, WJ; Teo, EC; Tan, JH; Kumar, N; Makmur, A; Ting, YH</t>
  </si>
  <si>
    <t>Background: Incomplete clinical details on magnetic resonance imaging (MRI) examination requests (MERs) can lead to suboptimal protocol selection. An institutional secure large language model (sLLM) with access to manually retrieved salient data from the electronic medical record (EMR) may improve request completeness and protocol accuracy across multiple MRI subspecialties. Objective: The objective of this study was to compare clinician MERs with sLLM-augmented MERs for information quality and to evaluate the protocoling accuracy of the sLLM versus board-certified radiologists across body, musculoskeletal, and neuroradiology MRI. Methods: This retrospective study included 608 random outpatient MRI examinations performed between September 2023 and July 2024 (body 206, musculoskeletal 203, neuroradiology 199). The cohort comprised 528 patients (mean 51.2 years, SD 19.2; range 4-93; n=279, 52.8% women, n=249, 47.2% men). MERs without EMR access were excluded. A privately hosted Anthropic Claude 3.5 model (temperature 0) augmented each MER with manually retrieved salient EMR data and, via rule-based parsing, mapped the extracted elements onto predefined institutional criteria to recommend region or coverage and contrast use. Two experienced radiologists established a consensus reference standard. Two board-certified general radiologists (Rad 3 and Rad 4) and the sLLM were compared with this standard. Clinical information quality was graded using the Reason-for-Exam Imaging Reporting and Data System (RI-RADS). Interrater reliability was quantified with Gwet AC1. Paired accuracies were compared with the McNemar test to determine whether there was a statistically significant difference. Results: Interreader agreement for RI-RADS was almost perfect for sLLM-augmented MERs (AC1 0.97, 95% CI 0.94-0.99) and moderate for clinician MERs (AC1 0.43, 95% CI 0.34-0.52). Limited or deficient clinical information (RI-RADS C/D) fell to 0% to 0.7% (0/608 to 4/608) with sLLM augmentation vs 4.1% to 20.4% (25/608 to 124/608) for clinician MERs. Overall protocol accuracy was 93.1% (566/608; 95% CI 89.6-96.6) for the sLLM, 91.4% (556/608; 95% CI 87.6-95.3) for Rad 3, and 92.1% (560/608; 95% CI 88.4-95.8) for Rad 4 (sLLM vs Rad 3 P=.23 vs Rad 4 P=.40). Region or coverage accuracy was similar (sLLM: 579/608, 95.2%; Rad 3: 585/608, 96.2%; Rad 4: 573/608, 94.2%; P=.46 and P=.36). Contrast decisions were more accurate using the sLLM at 94.4% (574/608; 95% CI 91.3-97.5) vs Rad 3 at 92.1% (560/608; 95% CI 88.4-95.8; P=.027) and were not significantly different to Rad 4 at 92.9% (565/608; 95% CI 89.4-96.4; P=.16). Subspecialty analyses showed similar patterns, with the sLLM outperforming Rad 4 for musculoskeletal MRI contrast decisions (96.6% vs 91.1%; P=.006) and matching readers elsewhere. Manual review indicated that sLLM improvements arose from EMR details not listed on the MER (infection/inflammation, tumor history, prior surgery). No clinically significant hallucinations were identified in a manual review of discordant cases. Conclusions: Across body, musculoskeletal, and neuroradiology MRI, sLLM-augmented examination requests improved clinical context and enhanced contrast selection while demonstrating accuracy comparable to general radiologists for region or coverage. Integrating sLLMs into routine vetting workflows may reduce manual workload in protocol selection for more efficient, standardized protocoling.</t>
  </si>
  <si>
    <t>Hallinan, James Thomas Patrick Decourcy; Leow, Naomi Wenxin; Low, Yi Xian; Lee, Aric; Ong, Wilson; Chan, Matthew Ding Zhou; Devi, Ganakirthana Kalpenya; He, Stephanie Shengjie; Loh, Daniel De-Liang; Lim, Desmond Shi Wei; Low, Xi Zhen; Lim, Mei Chin; Yong, Clement; Sng, Weizhong Jonathan; Teo, Ee Chin; Tan, Jiong Hao; Kumar, Naresh; Makmur, Andrew; Ting, Yonghan</t>
  </si>
  <si>
    <t>Hallinan, JTPD (corresponding author), Natl Univ Singapore Hosp, Dept Diagnost Imaging, 5 Lower Kent Ridge Rd, Singapore 119074, Singapore.</t>
  </si>
  <si>
    <t>james_hallinan@nuhs.edu.sg</t>
  </si>
  <si>
    <t>Singapore Ministry of Health National Medical Research Council under the NMRC Clinician Innovator Award [CIAINV25jan-0005]; Prototype to Full Deployment: A Comprehensive Deep Learning Pipeline for Whole-Spine MRI [CIAINV25jan-0005]</t>
  </si>
  <si>
    <t>Singapore Ministry of Health National Medical Research Council under the NMRC Clinician Innovator Award; Prototype to Full Deployment: A Comprehensive Deep Learning Pipeline for Whole-Spine MRI</t>
  </si>
  <si>
    <t>Funding This study received support from the Singapore Ministry of Health National Medical Research Council under the NMRC Clinician Innovator Award (CIA) . The grant was awarded for the project titled "From Prototype to Full Deployment: A Comprehensive Deep Learning Pipeline for Whole-Spine MRI" (Grant ID: CIAINV25jan-0005 J.T.P.D.H) .</t>
  </si>
  <si>
    <t>[Hallinan, James Thomas Patrick Decourcy; Low, Yi Xian; Lee, Aric; Ong, Wilson; Chan, Matthew Ding Zhou; Devi, Ganakirthana Kalpenya; He, Stephanie Shengjie; Loh, Daniel De-Liang; Lim, Desmond Shi Wei; Low, Xi Zhen; Lim, Mei Chin; Yong, Clement; Sng, Weizhong Jonathan; Teo, Ee Chin; Makmur, Andrew; Ting, Yonghan] Natl Univ Singapore Hosp, Dept Diagnost Imaging, 5 Lower Kent Ridge Rd, Singapore 119074, Singapore; [Hallinan, James Thomas Patrick Decourcy] Natl Univ Singapore, Yong Loo Lin Sch Med, Dept Diagnost Radiol, Singapore, Singapore; [Leow, Naomi Wenxin; Makmur, Andrew] Natl Univ Hlth Syst, Innovat Off, AI Off, Singapore, Singapore; [Tan, Jiong Hao; Kumar, Naresh] Natl Univ Singapore Hosp, Natl Univ Spine Inst, Dept Orthoped Surg, Singapore, Singapore</t>
  </si>
  <si>
    <t>National University of Singapore; National University of Singapore; National University of Singapore; National University of Singapore</t>
  </si>
  <si>
    <t>Initial Insights Into an Institutional Secure Large Language Model for Magnetic Resonance Imaging Examination Requests: Retrospective Study</t>
  </si>
  <si>
    <t>secure large language model; radiology request form; reason for exam imaging reporting and data system; musculoskeletal imaging; body imaging; neuroradiology imaging; magnetic resonance imaging</t>
  </si>
  <si>
    <t>Hallinan, James/AAB-9348-2022; Kumar, Naresh/J-9422-2015</t>
  </si>
  <si>
    <t>Low, Yi Xian/0009-0001-5374-0390; Kumar, Naresh/0000-0003-4538-5031; kalpenya devi, ganakirthana/0000-0002-8650-1708</t>
  </si>
  <si>
    <t>APR 7 2026</t>
  </si>
  <si>
    <t>e82579</t>
  </si>
  <si>
    <t>10.2196/82579</t>
  </si>
  <si>
    <t>http://dx.doi.org/10.2196/82579</t>
  </si>
  <si>
    <t>GO4VM</t>
  </si>
  <si>
    <t>41945643</t>
  </si>
  <si>
    <t>WOS:001741259900001</t>
  </si>
  <si>
    <t>Ülkir, M; Pasli, B</t>
  </si>
  <si>
    <t>Large language models (LLMs) are increasingly used in medical education and academic writing. However, concerns remain regarding reference hallucination, citation, and the reliability of LLM-generated content. This study aimed to evaluate the performance of ChatGPT 5.2, Gemini 3 Pro, and DeepSeek V3.2 in generating anatomy-related responses by assessing bibliographic reference accuracy, citation content consistency, and the readability of LLM-generated content. A total of 120 open-ended anatomy questions covering six anatomical categories (neuroanatomy, musculoskeletal, respiratory and circulatory, gastrointestinal, urogenital and endocrine, head and neck) were submitted to each model. Individual citation components, including author names, article titles, journal names, publication details, and PMIDs, were verified against indexed sources. Citation content consistency was evaluated using a three-point Likert scale. Readability was assessed using the Flesch Reading Ease score, Flesch-Kincaid Grade Level, Coleman-Liau, and Simple Measure of Gobbledygook indices. A total of 1800 references were analyzed. ChatGPT 5.2 demonstrated the lowest hallucination rate (23.2%), whereas Gemini 3 Pro and DeepSeek V3.2 exhibited substantially higher hallucination rates (45.8% and 47.5%, respectively). DeepSeek V3.2 achieved the highest accuracy for several individual bibliographic components, including author names, article titles, volumes, issues, pages, and journal names. PMID accuracy remained limited across all models, ranging from 25.1% to 57.6%. Citation content consistency differed significantly among the models (p &lt; 0.001), with ChatGPT 5.2 demonstrating the highest proportion of fully supported citations (67.2%), compared with Gemini 3 Pro (42.5%) and DeepSeek V3.2 (41.0%). Citation accuracy differed significantly across most anatomical subcategories, with the greatest intermodel discrepancy observed in head and neck anatomy. Readability analyses indicated that the generated responses generally required college-level reading proficiency. Although LLMs can generate plausible anatomy-related responses, substantial limitations remain regarding reference accuracy, hallucination, and citation reliability. Human verification remains essential before incorporating LLM-generated references into academic or educational materials.</t>
  </si>
  <si>
    <t>Ulkir, Mehmet; Pasli, Bahattin</t>
  </si>
  <si>
    <t>Ülkir, M (corresponding author), Hacettepe Univ, Fac Med, Dept Anat, Ankara, Turkiye.</t>
  </si>
  <si>
    <t>mehmet.ulkir@hacettepe.edu.tr</t>
  </si>
  <si>
    <t>[Ulkir, Mehmet; Pasli, Bahattin] Hacettepe Univ, Fac Med, Dept Anat, Ankara, Turkiye</t>
  </si>
  <si>
    <t>Hacettepe University</t>
  </si>
  <si>
    <t>Reference Hallucination, Citation Reliability, and Readability of Large Language Models in Anatomy-Related Question Answering</t>
  </si>
  <si>
    <t>CLINICAL ANATOMY</t>
  </si>
  <si>
    <t>anatomy education; citation accuracy; large language models; readability; reference hallucination</t>
  </si>
  <si>
    <t>ülkir, mehmet/AHA-0845-2022; PASLI, Bahattin/KGM-4244-2024</t>
  </si>
  <si>
    <t>0897-3806</t>
  </si>
  <si>
    <t>1098-2353</t>
  </si>
  <si>
    <t>CLIN ANAT</t>
  </si>
  <si>
    <t>Clin. Anat.</t>
  </si>
  <si>
    <t>10.1002/ca.70187</t>
  </si>
  <si>
    <t>http://dx.doi.org/10.1002/ca.70187</t>
  </si>
  <si>
    <t>Anatomy &amp; Morphology</t>
  </si>
  <si>
    <t>LB6KW</t>
  </si>
  <si>
    <t>42454403</t>
  </si>
  <si>
    <t>WOS:001820742400001</t>
  </si>
  <si>
    <t>Zhang, WC; Qiao, SQ; Luo, LJ; Li, SC; Li, YF; Zheng, CY; Xu, Q; Li, M; Gui, Y; He, YJ; Qiu, JN; Hong, JD; Sun, JK</t>
  </si>
  <si>
    <t>Objective With the increasing adoption of large language models (LLMs) in practical applications, selecting between 'thinking' (high-reasoning) and 'non-thinking' (fast, low-cost) modes requires balancing performance and operational cost. In medical question answering, task complexity varies widely-from routine medication adjustments to complex rare disease diagnosis-placing different demands on LLM reasoning capabilities. While the thinking mode excels at complex inference, it often incurs higher computational cost, latency and hallucination risk. In contrast, the non-thinking mode provides faster, cheaper responses but struggles with complex reasoning. This study proposes SynapseRoute, an intelligent routing framework that dynamically assigns queries to either mode to optimise accuracy, latency and token cost.Methods and analysis Questions from four medical datasets (USMLE, MedMCQA, PubMedQA and CareQA) were automatically labelled as thinking or non-thinking using the Qwen3-30B-a3b model. Multiple routing algorithms, including traditional machine learning methods and fine-tuned LLMs, were evaluated. Performance was assessed using standard metrics and a novel cross-dimensional metric, the Accuracy-Inference-Token (AIT) index, which integrates accuracy, latency and token cost with adjustable weights.Results Approximately 58% of medical questions were correctly answered by the non-thinking mode alone. Logistic Regression achieved the best routing performance (area under the curve=0.82). Compared with using the thinking mode alone, SynapseRoute improved accuracy (0.8390 vs 0.8272), while reducing inference time by 36.8% and token consumption by 39.66%.Discussion Dynamic mode routing improves the cost-efficiency and practicality of dual-mode LLMs in medical question answering. SynapseRoute and the AIT index provide practical tools for deploying adaptive LLM systems with controllable performance-cost trade-offs.</t>
  </si>
  <si>
    <t>Zhang, Wencheng; Qiao, Shiqin; Luo, Lingjie; Li, Sicheng; Li, Yinfeng; Zheng, Chuanyang; Xu, Qian; Li, Meng; Gui, Yong; He, Yijun; Qiu, Jianing; Hong, Jindong; Sun, Jiankai</t>
  </si>
  <si>
    <t>Sun, JK (corresponding author), Bytedance, Beijing, Peoples R China.</t>
  </si>
  <si>
    <t>hongjindong@pku.edu.cn; wangke.kelly@bytedance.com; Jianing.Qiu@mbzuai.ac.ae; limeng.lim@bytedance.com; zhangwencheng.888@bytedance.com; 32620230156367@stu.xmu.edu.cn; cyzhengme@gmail.com; heyijun.aa@bytedance.com; guiyong@bytedance.com; qiaoshiqin.k@bytedance.com; liyinfengcn@163.com; luolingjie@bytedance.com; jkaisun1@gmail.com</t>
  </si>
  <si>
    <t>[Zhang, Wencheng; Qiao, Shiqin; Luo, Lingjie; Xu, Qian; Li, Meng; Gui, Yong; He, Yijun; Hong, Jindong; Sun, Jiankai] Bytedance, Beijing, Peoples R China; [Li, Sicheng] Xiamen Univ, Xiamen, Fujian, Peoples R China; [Li, Yinfeng] Xidian Univ, Xian, Shaanxi, Peoples R China; [Zheng, Chuanyang] Chinese Univ Hong Kong, Hong Kong, Peoples R China; [Qiu, Jianing] Mohamed Bin Zayed Univ Artificial Intelligence, Masdar City, U Arab Emirates; [Hong, Jindong] Peking Univ, Beijing, Peoples R China</t>
  </si>
  <si>
    <t>Xiamen University; Xidian University; Chinese University of Hong Kong; Mohamed bin Zayed University of Artificial Intelligence MBZUAI; Peking University</t>
  </si>
  <si>
    <t>SynapseRoute: an auto-route switching framework on dual-state large language model for medical question answering</t>
  </si>
  <si>
    <t>BMJ INNOVATIONS</t>
  </si>
  <si>
    <t>Biomedical Engineering; Health; Health Care Quality, Access, and Evaluation</t>
  </si>
  <si>
    <t>Xu, Qianyi/PTF-8504-2026</t>
  </si>
  <si>
    <t>2055-8074</t>
  </si>
  <si>
    <t>2055-642X</t>
  </si>
  <si>
    <t>BMJ INNOV</t>
  </si>
  <si>
    <t>BMJ Innov.</t>
  </si>
  <si>
    <t>10.1136/bmjinnov-2025-001529</t>
  </si>
  <si>
    <t>http://dx.doi.org/10.1136/bmjinnov-2025-001529</t>
  </si>
  <si>
    <t>JL8TJ</t>
  </si>
  <si>
    <t>WOS:001792415000001</t>
  </si>
  <si>
    <t>Vollmer, A; Schorn, L; Schrader, F; Kübler, N; Sproll, C; Vollmer, M; Singh, DD; Saravi, B</t>
  </si>
  <si>
    <t>Background/Objectives: Large language models (LLMs) show promise for clinical decision support, yet their accuracy in interpreting specialized medical guidelines remains uncertain. Retrieval-augmented generation (RAG) may enhance performance by grounding responses in authoritative knowledge bases. This study aimed to compare the accuracy, comprehensiveness, and safety of RAG-enhanced versus standard LLMs for answering clinical questions derived from the German S3 guideline for oral cavity carcinoma. Methods: We conducted a prospective, single-blind benchmark study evaluating six LLMs: one RAG-enhanced model (Custom GPT with guideline access), one consensus-based model (ConsensusGPT), and four standard models (DeepSeek-V3.2, Mistral Small 3.2, Qwen3-Next-80B, GPT-OSS-120B). Fifty clinical questions covering 17 guideline domains were presented to each model three times, yielding 900 evaluations. Three expert reviewers assessed responses using 5-point Likert scales for accuracy, comprehensiveness, and clarity, under a single-blind procedure, the effectiveness of which was tested by a pre-specified manipulation check. We then ran a paired within-model experiment in which each base model was queried with and without guideline access through a transparent, openly released retrieval pipeline, and scored every response with a condition-blind automated judge alongside deterministic retrieval metrics computed from the logs. Secondary outcomes included hallucination rates and guideline citation behavior. Inter-rater reliability was assessed using intraclass correlation coefficients (ICCs). Results: In a paired within-model design that held each base model fixed, adding transparent guideline retrieval improved accuracy-significantly in the three weaker open-weight models (Mistral, Qwen3, and GPT-OSS) and directionally in the already-strong DeepSeek and GPT-5 bases. Because a pre-specified blinding check found that experts could still identify retrieval-augmented answers with 98.5% accuracy, we anchored causal interpretation on measures that do not depend on the human raters, ranked by their independence: deterministic, log-derived retrieval metrics first, and then an automated, condition-blind LLM judge, whose agreement with the experts (Spearman rho = 0.81, 95.7% within-one agreement) establishes shared calibration rather than independence from their bias. Deterministically from the retrieval logs, citation groundedness rose from 0% to 51-89% and retrieval recall@5 was 92%. On the judge, content-level hallucination fell from 42% to 4% and accuracy rose by a pooled +0.64 points (95% CI 0.47-0.80); the accuracy gain persisted after adjustment for response length (+0.48, 95% CI 0.22-0.73), which retrieval shortened rather than lengthened. The accuracy gain was large for weaker base models and small or non-significant for already-strong ones, whereas the hallucination and auditability gains were consistent across all models. The human ratings reproduced the judge's accuracy effect (+0.61, 95% CI 0.49-0.74), and GPT-5 run through the transparent pipeline showed no significant difference from the proprietary Custom GPT (judge accuracy 4.48 vs. 4.58). Conclusions: Guideline retrieval yields a reproducible, largely base-independent improvement in the safety and auditability of LLM answers to clinical guideline questions, with accuracy gains concentrated in weaker base models.Because retrieval-augmented answers are recognizable to experts, rigorous evaluation should rely on rater-independent measures, and residual hallucination continues to require human oversight.</t>
  </si>
  <si>
    <t>Vollmer, Andreas; Schorn, Lara; Schrader, Felix; Kubler, Norbert; Sproll, Christoph; Vollmer, Michael; Singh, Daman Deep; Saravi, Babak</t>
  </si>
  <si>
    <t>Saravi, B (corresponding author), Heinrich Heine Univ Duesseldorf, Med Fac, Dept Oral Maxillofacial &amp; Facial Plast Surg, D-40225 Dusseldorf, Germany.; Saravi, B (corresponding author), Heinrich Heine Univ Duesseldorf, Univ Hosp Duesseldorf, D-40225 Dusseldorf, Germany.</t>
  </si>
  <si>
    <t>felix.schrader@med.uni-duesseldorf.de; christoph.sproll@med.uni-duesseldorf.de; lara.schorn@med.uni-duesseldorf.de; kuebler@med.uni-duesseldorf.de; damandeep.singh@med.uni-duesseldorf.de; babak.saravi@med.uni-duesseldorf.de; vollmer_a@ukw.de; michael.vollmer@med.uni-tuebingen.de</t>
  </si>
  <si>
    <t>[Vollmer, Andreas] Univ Hosp Wuerzburg, Dept Oral &amp; Maxillofacial Plast Surg, D-97070 Wurzburg, Germany; [Schorn, Lara; Schrader, Felix; Kubler, Norbert; Sproll, Christoph; Singh, Daman Deep; Saravi, Babak] Heinrich Heine Univ Duesseldorf, Med Fac, Dept Oral Maxillofacial &amp; Facial Plast Surg, D-40225 Dusseldorf, Germany; [Schorn, Lara; Schrader, Felix; Kubler, Norbert; Sproll, Christoph; Singh, Daman Deep; Saravi, Babak] Heinrich Heine Univ Duesseldorf, Univ Hosp Duesseldorf, D-40225 Dusseldorf, Germany; [Vollmer, Michael] Tuebingen Univ Hosp, Dept Oral &amp; Maxillofacial Surg, Osianderst 2-8, D-72076 Tubingen, Germany</t>
  </si>
  <si>
    <t>University of Wurzburg; Heinrich Heine University Dusseldorf; Heinrich Heine University Dusseldorf; Eberhard Karls University of Tubingen; Eberhard Karls University Hospital</t>
  </si>
  <si>
    <t>A Self-Controlled Benchmark of Retrieval-Augmented Generation for Large Language Models on Clinical Guideline Questions</t>
  </si>
  <si>
    <t>large language models; retrieval-augmented generation; clinical decision support; oral cavity carcinoma; clinical practice guidelines; artificial intelligence; hallucination; benchmark study; oncology; evidence-based medicine</t>
  </si>
  <si>
    <t>AUG 4 2026</t>
  </si>
  <si>
    <t>2456</t>
  </si>
  <si>
    <t>10.3390/diagnostics16152456</t>
  </si>
  <si>
    <t>http://dx.doi.org/10.3390/diagnostics16152456</t>
  </si>
  <si>
    <t>MO8EQ</t>
  </si>
  <si>
    <t>WOS:001847324700001</t>
  </si>
  <si>
    <t>Dorfner, FJ; Dada, A; Busch, F; Makowski, MR; Han, TY; Truhn, D; Kleesiek, J; Sushil, M; Adams, LC; Bressem, KK</t>
  </si>
  <si>
    <t>Objectives Large language models (LLMs) have shown potential in biomedical applications, leading to efforts to fine-tune them on domain-specific data. However, the effectiveness of this approach remains unclear. This study aims to critically evaluate the performance of biomedically fine-tuned LLMs against their general-purpose counterparts across a range of clinical tasks.Materials and Methods We evaluated the performance of biomedically fine-tuned LLMs against their general-purpose counterparts on clinical case challenges from NEJM and JAMA, and on multiple clinical tasks, such as information extraction, document summarization and clinical coding. We used a diverse set of benchmarks specifically chosen to be outside the likely fine-tuning datasets of biomedical models, ensuring a fair assessment of generalization capabilities.Results Biomedical LLMs generally underperformed compared to general-purpose models, especially on tasks not focused on probing medical knowledge. While on the case challenges, larger biomedical and general-purpose models showed similar performance (eg, OpenBioLLM-70B: 66.4% vs Llama-3-70B-Instruct: 65% on JAMA), smaller biomedical models showed more pronounced underperformance (OpenBioLLM-8B: 30% vs Llama-3-8B-Instruct: 64.3% on NEJM). Similar trends appeared across CLUE benchmarks, with general-purpose models often achieving higher scores in text generation, question answering, and coding. Notably, biomedical LLMs also showed a higher tendency to hallucinate.Discussion Our findings challenge the assumption that biomedical fine-tuning inherently improves LLM performance, as general-purpose models consistently performed better on unseen medical tasks. Retrieval-augmented generation may offer a more effective strategy for clinical adaptation.Conclusion Fine-tuning LLMs on biomedical data may not yield the anticipated benefits. Alternative approaches, such as retrieval augmentation, should be further explored for effective and reliable clinical integration of LLMs.</t>
  </si>
  <si>
    <t>Dorfner, Felix J.; Dada, Amin; Busch, Felix; Makowski, Marcus R.; Han, Tianyu; Truhn, Daniel; Kleesiek, Jens; Sushil, Madhumita; Adams, Lisa C.; Bressem, Keno K.</t>
  </si>
  <si>
    <t>Adams, LC (corresponding author), Tech Univ Munich, Dept Radiol, Klinikum Rechts Isar, Ismaninger Str 22, D-81675 Munich, Germany.</t>
  </si>
  <si>
    <t>Federal Ministry of Education and Research (BMBF); Free State of Bavaria</t>
  </si>
  <si>
    <t>Federal Ministry of Education and Research (BMBF) (Federal Ministry of Education &amp; Research (BMBF)); Free State of Bavaria</t>
  </si>
  <si>
    <t>This research received no specific grant from any funding agency in the public, commercial, or not-for-profit sectors. LCA is a is an Albrecht-Struppler-Clinician Scientist Fellow, funded by the Federal Ministry of Education and Research (BMBF) and the Free State of Bavaria under the Excellence Strategy of the Federal Government and the Lander, as well as by the Technical University of Munich-Institute for Advanced Study.</t>
  </si>
  <si>
    <t>[Dorfner, Felix J.] Charite Univ Med Berlin, D-10117 Berlin, Germany; [Dorfner, Felix J.] Free Univ Berlin, D-10117 Berlin, Germany; [Dorfner, Felix J.] Humboldt Univ, D-10117 Berlin, Germany; [Dorfner, Felix J.] Massachusetts Gen Hosp, Athinoula A Martinos Ctr Biomed Imaging, Charlestown, MA 02129 USA; [Dorfner, Felix J.] Harvard Med Sch, Charlestown, MA 02129 USA; [Dada, Amin; Kleesiek, Jens] Univ Hosp Essen AoR, Inst Med IKIM, D-45131 Essen, Germany; [Busch, Felix; Makowski, Marcus R.; Adams, Lisa C.; Bressem, Keno K.] Tech Univ Munich, Dept Radiol, Klinikum Rechts Isar, Ismaninger Str 22, D-81675 Munich, Germany; [Han, Tianyu; Truhn, Daniel] Univ Hosp Aachen, Dept Diagnost &amp; Intervent Radiol, D-52074 Aachen, Germany; [Kleesiek, Jens] Univ Hosp Essen AoR, Canc Res Ctr Cologne Essen CCCE, West German Canc Ctr Essen, D-45147 Essen, Germany; [Kleesiek, Jens] German Canc Consortium DKTK, Partner Site Essen, Heidelberg, Germany; [Kleesiek, Jens] TU Dortmund, Dept Phys, D-44227 Dortmund, Germany; [Sushil, Madhumita] Univ Calif San Francisco, Bakar Computat Hlth Sci Inst, San Francisco, CA 94158 USA; [Bressem, Keno K.] Tech Univ Munich, German Heart Ctr Munich, D-80636 Munich, Germany</t>
  </si>
  <si>
    <t>Free University of Berlin; Humboldt University of Berlin; Charite Universitatsmedizin Berlin; Free University of Berlin; Humboldt University of Berlin; Harvard University; Harvard University Medical Affiliates; Massachusetts General Hospital; Technical University of Munich; RWTH Aachen University; RWTH Aachen University Hospital; Helmholtz Association; German Cancer Research Center (DKFZ); Dortmund University of Technology; University of California System; University of California San Francisco; German Heart Centre Munich; Technical University of Munich</t>
  </si>
  <si>
    <t>Evaluating the effectiveness of biomedical fine-tuning for large language models on clinical tasks</t>
  </si>
  <si>
    <t>large language models (LLMs); biomedical fine-tuning; domain-specific adaptation; hallucination in AI models; benchmarking</t>
  </si>
  <si>
    <t>Bressem, Keno/AAX-8241-2020; Dorfner, Felix/LDF-4298-2024; Truhn, Daniel/AAL-1950-2021; Adams, Lisa C/AAC-7163-2021; Busch, Felix/ABE-1064-2022</t>
  </si>
  <si>
    <t>Sushil, Madhumita/0000-0001-7884-0526; Adams, Lisa C/0000-0001-5836-4542; Busch, Felix/0000-0001-9770-8555</t>
  </si>
  <si>
    <t>1015</t>
  </si>
  <si>
    <t>1024</t>
  </si>
  <si>
    <t>10.1093/jamia/ocaf045</t>
  </si>
  <si>
    <t>http://dx.doi.org/10.1093/jamia/ocaf045</t>
  </si>
  <si>
    <t>3IN8P</t>
  </si>
  <si>
    <t>40190132</t>
  </si>
  <si>
    <t>WOS:001460129700001</t>
  </si>
  <si>
    <t>Chen, PK; Cai, JF; Zhou, JY; Chen, SX; Xu, CG; Yuan, LH; Dai, XY; Chen, XW; Wei, YZ; Li, X; Gong, SF; Liang, XL; Yang, JC; Jin, J; Dai, KL; Cui, YZ; Kuang, GM; Xie, JS; Luo, LB; Xiao, HB; Yin, SJ; Yang, J; Yan, YL; Chen, JL; Chen, YH; Zhang, QS; Zhou, QS; Zhao, LN; Wu, M; Tang, X; Rong, L; Wang, ZX; Qiu, WF; Wang, YL; Cui, LW; Li, XY; Hu, Y; Tao, HR; Wu, N; Shih, DJH; Pai, PR; Wei, MX; To, MKT; Cheung, KMC</t>
  </si>
  <si>
    <t>Background Direct clinical uses of large language models (LLMs) remain controversial, partly because of the lack of methodological rigor in assessing their risks and benefits in medicine. Methods We developed Medieval, a multidisciplinary, randomized, and blinded expert evaluation framework. A ten-point Dreyfus-based scoring scale linked to career stages of human physicians was designed to reflect response qualities. Seven advanced LLMs or their distilled versions that were released within a short time-frame ( &lt;= 45 days) in early 2025 were tested. Incidence of fabricated medical facts were documented. Linear mixed-effects models and variance-stabilizing Bayesian generalized linear mixed models were employed to perform statistical analyses. Results We first develop a high-quality question bank comprising 685 real and simulated clinical cases across 13 specialties. An expert panel of 27 clinicians (average years of services: 25.9) evaluated the 4795 model responses. We show that these LLM ratings (n = 9856) have excellent reliability (intraclass correlation coefficients &gt;0.9). Among the seven LLMs tested, Gemini 2.0 Flash achieved the highest raw scores. However, after adjusting for confounders, DeepSeek-R1 was the top-performing model with a mean score of 6.36 (95% confidence interval 6.03 - 6.69), a performance level equivalent to an early-career physician. Despite these strengths, 3-19% LLM responses were rated as incompetent and 40 instances of LLM hallucination were also identified. Conclusions Our study shows that in spite of LLMs' substantial potentials in medicine, their unguarded clinical application could present serious risks, which must be continuously monitored by human expert panels. The evaluation framework developed and validated in this study will facilitate such efforts.</t>
  </si>
  <si>
    <t>Chen, Peikai; Cai, Jifu; Zhou, Jiaying; Chen, Shaoxi; Xu, Chenguang; Yuan, Lihua; Dai, Xiaoying; Chen, Xiaowei; Wei, Yanzhe; Li, Xia; Gong, Shaofeng; Liang, Xiaolong; Yang, Jiancheng; Jin, Jun; Dai, Kanglin; Cui, Yuzhen; Kuang, Guan-Ming; Xie, Jiansheng; Luo, Libing; Xiao, Haibing; Yin, Shijie; Yang, Jun; Yan, Yulan; Chen, Jianliang; Chen, Yihua; Zhang, Qianshen; Zhou, Qingshan; Zhao, Lina; Wu, Min; Tang, Xin; Rong, Lei; Wang, Zanxin; Qiu, Weifu; Wang, Yanli; Cui, Liwen; Li, Xiangyang; Hu, Yong; Tao, Huiren; Wu, Nan; Shih, David J. H.; Pai, Pearl; Wei, Minxin; To, Michael Kai-tsun; Cheung, Kenneth M. C.</t>
  </si>
  <si>
    <t>Chen, PK; To, MKT; Cheung, KMC (corresponding author), Univ Hong Kong, Shenzhen Hosp, Dept Orthoped, Shenzhen, Peoples R China.; Chen, PK; To, MKT; Cheung, KMC (corresponding author), Shenzhen Clin Res Ctr Rare Dis, Shenzhen, Peoples R China.; Chen, PK (corresponding author), Univ Hong Kong, Shenzhen Hosp, AIBD Lab, Shenzhen, Peoples R China.; Chen, PK (corresponding author), Univ Hong Kong, Li Ka Shing Fac Med, Sch Biomed Sci, Pokfulam, Hong Kong, Peoples R China.</t>
  </si>
  <si>
    <t>pkchen@hku-szh.org; duqj@hku-szh.org; cheungmc@hku-szh.org</t>
  </si>
  <si>
    <t>Sanming Project of Medicine in Shenzhen [SZSM202311022]; Shenzhen Clinical Research Center for Rare Diseases [LCYSSQ20220823091402005]; Shenzhen Key Medical Discipline Construction Fund [SZXK2020084, SZXK077]; Shenzhen Science and Technology Program [JCYJ20250604180803005]; Shenzhen Science and Technology Major Project of China [KJZD20240903102759061, HZQSWS-KCCYB-2024055]; Shenzhen Peacock Plan [(20210830100 C)]; Futian Talent Program; Shenzhen General Research Program [JCYJ20250604180803005]; N Ding (ZJU)</t>
  </si>
  <si>
    <t>Sanming Project of Medicine in Shenzhen; Shenzhen Clinical Research Center for Rare Diseases; Shenzhen Key Medical Discipline Construction Fund; Shenzhen Science and Technology Program (Shenzhen Science and Technology Program); Shenzhen Science and Technology Major Project of China; Shenzhen Peacock Plan; Futian Talent Program; Shenzhen General Research Program; N Ding (ZJU)</t>
  </si>
  <si>
    <t>This work was supported by the Sanming Project of Medicine in Shenzhen (SZSM202311022), Shenzhen Clinical Research Center for Rare Diseases (LCYSSQ20220823091402005), Shenzhen Key Medical Discipline Construction Fund (SZXK2020084 and SZXK077), Shenzhen Science and Technology Program (JCYJ20250604180803005), Shenzhen Science and Technology Major Project of China (KJZD20240903102759061), Small Equipment Grant (HKU), and the HKU - SZH Translational Med Centre (HZQSWS-KCCYB-2024055). PKC thanks the Shenzhen Peacock Plan (No.20210830100 C) and Futian Talent Program, and Shenzhen General Research Program JCYJ20250604180803005. We thank the three disqualified evaluators for their engagement. We thank C Zhong, D Chen, Kevin Tam, Profs Pak Sham (HKU) and N Ding (ZJU), and Drs A. Wai and CF Jiang for assistance or useful discussions.</t>
  </si>
  <si>
    <t>[Chen, Peikai; Wei, Yanzhe; Kuang, Guan-Ming; Yin, Shijie; Tao, Huiren; To, Michael Kai-tsun; Cheung, Kenneth M. C.] Univ Hong Kong, Shenzhen Hosp, Dept Orthoped, Shenzhen, Peoples R China; [Chen, Peikai; Cai, Jifu; Zhou, Jiaying; Dai, Xiaoying; Xie, Jiansheng; Luo, Libing; Xiao, Haibing; Yin, Shijie; Zhang, Qianshen; Wu, Nan; Pai, Pearl; To, Michael Kai-tsun; Cheung, Kenneth M. C.] Shenzhen Clin Res Ctr Rare Dis, Shenzhen, Peoples R China; [Chen, Peikai; Hu, Yong] Univ Hong Kong, Shenzhen Hosp, AIBD Lab, Shenzhen, Peoples R China; [Chen, Peikai; Shih, David J. H.] Univ Hong Kong, Li Ka Shing Fac Med, Sch Biomed Sci, Pokfulam, Hong Kong, Peoples R China; [Cai, Jifu; Cui, Yuzhen; Xiao, Haibing] Univ Hong Kong, Shenzhen Hosp, Dept Neurol, Shenzhen, Peoples R China; [Zhou, Jiaying; Yang, Jun; Chen, Jianliang] Univ Hong Kong, Shenzhen Hosp, Dept Pediat, Shenzhen, Peoples R China; [Chen, Shaoxi; Qiu, Weifu; Wang, Yanli] Univ Hong Kong, Dept Accid &amp; Emergency, Shenzhen Hosp, Shenzhen, Peoples R China; [Xu, Chenguang; Chen, Yihua; Zhang, Qianshen] Univ Hong Kong, Shenzhen Hosp, Neonatal ICU, Shenzhen, Peoples R China; [Yuan, Lihua; Dai, Kanglin] Univ Hong Kong, Shenzhen Hosp, Dept Pediat Surg, Shenzhen, Peoples R China; [Dai, Xiaoying; Xie, Jiansheng; Luo, Libing] Univ Hong Kong, Shenzhen Hosp, Dept Prenatal Diag Clin Genet, Shenzhen, Peoples R China; [Chen, Xiaowei; Cui, Liwen; Li, Xiangyang; Pai, Pearl] Univ Hong Kong, Shenzhen Hosp, Dept Nephrol, Shenzhen, Peoples R China; [Li, Xia; Yan, Yulan; Rong, Lei] Univ Hong Kong, Shenzhen Hosp, Dept Resp Med, Shenzhen, Peoples R China; [Gong, Shaofeng; Jin, Jun; Zhou, Qingshan] Univ Hong Kong, Shenzhen Hosp, Intens Care Unit, Shenzhen, Peoples R China; [Liang, Xiaolong; Wang, Zanxin; Wei, Minxin] Univ Hong Kong, Shenzhen Hosp, Dept Cardiac Surg, Shenzhen, Peoples R China; [Yang, Jiancheng; Zhao, Lina; Wu, Min] Univ Hong Kong, Shenzhen Hosp, Dept Cardiol, Shenzhen, Peoples R China; [Tang, Xin] Zhejiang Univ, Childrens Hosp, Dept Pediat Orthoped, Sch Med, Hangzhou, Peoples R China; [Wu, Nan] Chinese Acad Med Sci, Peking Union Med Coll Hosp, Dept Orthoped, Beijing, Peoples R China</t>
  </si>
  <si>
    <t>University of Hong Kong; University of Hong Kong; University of Hong Kong; University of Hong Kong; University of Hong Kong; University of Hong Kong; University of Hong Kong; University of Hong Kong; University of Hong Kong; University of Hong Kong; University of Hong Kong; University of Hong Kong; University of Hong Kong; University of Hong Kong; Zhejiang University; Chinese Academy of Medical Sciences - Peking Union Medical College; Peking Union Medical College Hospital</t>
  </si>
  <si>
    <t>Multidisciplinary blinded randomized expert evaluation of large language models for clinical diagnosis and management</t>
  </si>
  <si>
    <t>COMMUNICATIONS MEDICINE</t>
  </si>
  <si>
    <t>JOINT CONSENSUS RECOMMENDATION; MEDICAL GENETICS; AMERICAN-COLLEGE; STANDARDS; VARIANTS; GENOMICS</t>
  </si>
  <si>
    <t>Chen, ShaoXi/0000-0002-1123-7535</t>
  </si>
  <si>
    <t>2730-664X</t>
  </si>
  <si>
    <t>COMMUN MED-LONDON</t>
  </si>
  <si>
    <t>Commun. Med.</t>
  </si>
  <si>
    <t>APR 15 2026</t>
  </si>
  <si>
    <t>10.1038/s43856-026-01576-9</t>
  </si>
  <si>
    <t>http://dx.doi.org/10.1038/s43856-026-01576-9</t>
  </si>
  <si>
    <t>JO8XE</t>
  </si>
  <si>
    <t>41986491</t>
  </si>
  <si>
    <t>WOS:001794462100001</t>
  </si>
  <si>
    <t>Flathers, M; Xia, WN; Hau, C; Nelson, BW; Cheong, JE; Burns, J; Torous, J</t>
  </si>
  <si>
    <t>Background Digital phenotyping provides passive monitoring of behavioural health but faces implementation challenges in translating complex multimodal data into actionable clinical insights. Digital navigators, healthcare staff who interpret patient data and relay findings to clinicians, provide a solution, but workforce limitations restrict scalability. Objective This study provides one of the first systematic evaluation of large language model performance in interpreting simulated psychiatric digital phenotyping data, establishing baseline accuracy metrics for this emerging application. Methods We evaluated GPT-4o and GPT-3.5-turbo across over 153 test cases covering various clinical scenarios, timeframes and data quality levels using simulated test datasets currently employed in training human digital navigators. Performance was assessed on the model's capacity to identify clinical patterns relative to human digital navigation experts. Findings GPT-4o demonstrated 52% accuracy (95% CI 46.5% to 57.6%) in identifying clinical patterns based on standard test cases, significantly outperforming GPT-3.5-turbo (12%, 95% CI 8.4% to 15.6%). When analysing GPT-4o's performance across different scenarios, strongest results were observed for worsening depression (100%) and worsening anxiety (83%) patterns while weakest performance was seen for increased home time with improving symptoms (6%). Accuracy declined with decreasing data quality (69% for high-quality data vs 39% for low-quality data) and shorter timeframes (60% for 3-month data vs 43% for 3-week data). Conclusions GPT-4o's 52% accuracy in zero-shot interpretation of psychiatric digital phenotyping data establishes a meaningful baseline, though performance gaps and occasional hallucinations confirm human oversight in digital navigation tasks remains essential. The significant performance variations across models, data quality levels and clinical scenarios highlight the need for careful implementation.Clinical implications Large language models could serve as assistive tools that augment human digital navigators, potentially addressing workforce limitations while maintaining necessary clinical oversight in psychiatric digital phenotyping applications.</t>
  </si>
  <si>
    <t>Flathers, Matthew; Xia, Winna; Hau, Christine; Nelson, Benjamin W.; Cheong, Jiaee; Burns, James; Torous, John</t>
  </si>
  <si>
    <t>Torous, J (corresponding author), Harvard Med Sch, Div Digital Psychiat BIDMC, Boston, MA 02115 USA.; Torous, J (corresponding author), Harvard Med Sch, Boston, MA 02115 USA.</t>
  </si>
  <si>
    <t>jtorous@bidmc.harvard.edu; chau@bidmc.harvard.edu; wxia@bidmc.harvard.edu; drbenjaminwnelson@gmail.com; jcheong1@bidmc.harvard.edu; jburns9@bidmc.harvard.edu; mflather@bidmc.harvard.edu</t>
  </si>
  <si>
    <t>Shifting Gears Foundation</t>
  </si>
  <si>
    <t>This research was supported by a grant from the Shifting Gears Foundation. The funders had no role in study design, data collection and analysis, decision to publish or preparation of the manuscript.</t>
  </si>
  <si>
    <t>[Flathers, Matthew; Xia, Winna; Hau, Christine; Cheong, Jiaee; Burns, James; Torous, John] Harvard Med Sch, Div Digital Psychiat BIDMC, Boston, MA 02115 USA; [Nelson, Benjamin W.; Torous, John] Harvard Med Sch, Boston, MA 02115 USA; [Nelson, Benjamin W.] Verily Life Sci LLC, South San Francisco, CA USA</t>
  </si>
  <si>
    <t>Harvard University; Harvard Medical School; Harvard University; Harvard Medical School</t>
  </si>
  <si>
    <t>Interpreting psychiatric digital phenotyping data with large language models: a preliminary analysis</t>
  </si>
  <si>
    <t>BMJ MENTAL HEALTH</t>
  </si>
  <si>
    <t>PSYCHIATRY; Machine Learning; Depression &amp; mood disorders</t>
  </si>
  <si>
    <t>Nelson, Benjamin/N-5811-2019; Torous, John/AFN-7229-2022</t>
  </si>
  <si>
    <t>Torous, John/0000-0002-5362-7937</t>
  </si>
  <si>
    <t>2755-9734</t>
  </si>
  <si>
    <t>BMJ Mental Health</t>
  </si>
  <si>
    <t>SEP 23 2025</t>
  </si>
  <si>
    <t>e301817</t>
  </si>
  <si>
    <t>10.1136/bmjment-2025-301817</t>
  </si>
  <si>
    <t>http://dx.doi.org/10.1136/bmjment-2025-301817</t>
  </si>
  <si>
    <t>7SY8W</t>
  </si>
  <si>
    <t>40992790</t>
  </si>
  <si>
    <t>WOS:001578927600001</t>
  </si>
  <si>
    <t>Hu, XY; Luo, XJ; Zhao, Y; Zheng, BB</t>
  </si>
  <si>
    <t>Background: Standardized residency training in obstetrics and gynecology (OB/GYN) relies heavily on Case-Based Learning (CBL). Yet, manually curating high-quality teaching cases remains a labor-intensive burden. Objective: To develop and evaluate a methodological framework using a locally deployed large language model (LLM) to automate the extraction and construction of structured CBL databases. Methods: We employed a locally deployed Qwen3-8B-Instruct model to analyze 3678 OB/GYN PubMed case abstracts, extracting primary diagnosis, core teaching points, clinical pitfalls, and difficulty levels. Two senior OB/GYN educators established a ground-truth dataset from 100 randomly selected cases to quantify extraction accuracy and AI hallucination rates. Teaching utility was assessed via a 5-point Likert scale, calculating inter-rater reliability using intraclass correlation coefficients (ICC). Results: Our automated framework effectively categorized the 3678 cases into diverse subspecialties, with Reproductive Endocrinology and Obstetrics (28.10%) and Andrology and Male Infertility (25.20%) representing the largest cohorts. The LLM demonstrated high precision in extracting objective clinical data, achieving a 96.0% accuracy rate for primary diagnoses and 92.0% for core teaching points. Notably, the overall incidence of AI hallucinations remained low at 3.0%. In pedagogical evaluations, the model earned high scores for diagnostic accuracy (Mean = 4.48/5.0, p &lt; 0.05), showing strong expert consensus (ICC = 0.92). However, the model's performance faltered when addressing subjective clinical nuances; inter-rater reliability dropped significantly regarding the utility of clinical pitfalls (ICC = 0.65) and the appropriateness of difficulty levels (ICC = 0.54). Conclusion: This study demonstrates that LLMs offer an efficient, scalable framework for building large-scale CBL databases. While highly accurate in extracting objective facts, AI still lacks the "tacit knowledge" and empirical intuition of senior clinicians. Thus, human oversight remains indispensable to validate content and mitigate clinical risks. Future research must evaluate how these databases directly impact resident competency and learning outcomes.</t>
  </si>
  <si>
    <t>Hu, Xueyan; Luo, Xiaoju; Zhao, Yuan; Zheng, Beibei</t>
  </si>
  <si>
    <t>Zheng, BB (corresponding author), Wenzhou Peoples Hosp, Dept Obstet &amp; Gynecol, Wenzhou, Zhejiang, Peoples R China.</t>
  </si>
  <si>
    <t>comeforxz_z@163.com</t>
  </si>
  <si>
    <t>[Hu, Xueyan; Luo, Xiaoju; Zhao, Yuan; Zheng, Beibei] Wenzhou Peoples Hosp, Dept Obstet &amp; Gynecol, Wenzhou, Zhejiang, Peoples R China; [Hu, Xueyan] Chinese Med Univ, Dept Obstet &amp; Gynecol, Hangzhou, Zhejiang, Peoples R China</t>
  </si>
  <si>
    <t>China Medical University</t>
  </si>
  <si>
    <t>Automating Case-Based Learning in Obstetrics and Gynecology: Validation of a Locally Deployed Large Language Model</t>
  </si>
  <si>
    <t>JOURNAL OF MULTIDISCIPLINARY HEALTHCARE</t>
  </si>
  <si>
    <t>obstetrics and gynecology; OB/GYN; large language model; LLM; case-based learning; CBL; natural language processing; NLP; health informatics; knowledge extraction</t>
  </si>
  <si>
    <t>1178-2390</t>
  </si>
  <si>
    <t>J MULTIDISCIP HEALTH</t>
  </si>
  <si>
    <t>J. Multidiscip. Healthc.</t>
  </si>
  <si>
    <t>612064</t>
  </si>
  <si>
    <t>10.2147/JMDH.S612064</t>
  </si>
  <si>
    <t>http://dx.doi.org/10.2147/JMDH.S612064</t>
  </si>
  <si>
    <t>LH9PF</t>
  </si>
  <si>
    <t>42471961</t>
  </si>
  <si>
    <t>WOS:001825022300001</t>
  </si>
  <si>
    <t>Hlaing, NHMM; Park, K; Wan, QC; Lee, SJ; Gallucci, GO; Lee, JH</t>
  </si>
  <si>
    <t>Objectives This study aimed to evaluate the accuracy and error patterns of four artificial intelligence-based large language models (LLMs) in identifying dental implant characteristics including implant level, connection type, brand, and manufacturer, on radiographic images. Methods In total, 120 standardized radiographic images (60 periapical and 60 panoramic) representing six implant systems (Straumann BL, Straumann TL, Osstem TS [Hiossen ET], Osstem [Hiossen] US, Osstem [Hiossen] SS, and Dentium SuperLine) were retrospectively collected and analyzed. For each image, four multimodal LLMs (ChatGPT-5, ChatGPT-4o, Gemini 2.5 Pro, and Grok 4) were queried six times with a standardized prompt that requested the implant level, connection type, brand, and manufacturer. The primary outcome was response-level accuracy. Responses were classified as successful or unsuccessful identification; unsuccessful responses were further categorized as definitive incorrect (hallucination), tentative incorrect, ambiguous, or abstention. Statistical analysis used generalized estimating equations for accuracy and Chi-square tests for error types (alpha=0.05). Results Structural characteristics (implant level and connection type) were identified with accuracies ranging from 51.67% to 82.5%, whereas brand and manufacturer recognition remained consistently poor (4.17%-32.78%). Hallucinations represented the predominant error type (&gt;87% of errors in all models), while ChatGPT-5 showed a comparatively higher rate of abstention and lower hallucination frequency. Conclusions Current LLMs have limited capability for the definitive radiographic identification of dental implant systems, particularly for specific brands. Recent model iterations show a promising trend toward reduced hallucinations and increased reliability through abstention; however, their high error rates indicate that they can only be considered as supplementary tools requiring clinician verification. Clinical significance Current LLMs are not sufficiently reliable for definitive radiographic implant identification, and their outputs should be interpreted with clinician verification. However, the increasing tendency of recent models to acknowledge uncertainty indicates promising progress toward safer clinical decision support systems.</t>
  </si>
  <si>
    <t>Hlaing, Nan Hsu Myat Mon; Park, Koungjin; Wan, Qiucen; Lee, Sang J.; Gallucci, German O.; Lee, Jae-Hyun</t>
  </si>
  <si>
    <t>Lee, JH (corresponding author), Seoul Natl Univ, Sch Dent, Dept Prosthodont, 101 Daehak Ro, Seoul 03080, South Korea.; Lee, JH (corresponding author), Harvard Sch Dent Med, Dept Restorat Dent &amp; Biomat Sci, 188 Longwood Ave, Boston, MA 02115 USA.; Lee, JH (corresponding author), Seoul Natl Univ, Sch Dent, Dent Res Inst, 101 Daehak Ro, Seoul 03080, South Korea.</t>
  </si>
  <si>
    <t>jaehyun_lee@hsdm.harvard.edu</t>
  </si>
  <si>
    <t>National Research Foundation of Korea (NRF) - Korean government (MSIT) [RS-2025-24803070, RS-2025-25462769]; Hyundai Motor Chung Mong-Koo Foundation</t>
  </si>
  <si>
    <t>National Research Foundation of Korea (NRF) - Korean government (MSIT) (National Research Foundation of Korea); Hyundai Motor Chung Mong-Koo Foundation</t>
  </si>
  <si>
    <t>Funding Information This study was supported by the National Research Foundation of Korea (NRF) grant funded by the Korean government (MSIT) (project no RS-2025-24803070 and RS-2025-25462769) . N.H.M.M.H. was sup-ported by the Hyundai Motor Chung Mong-Koo Foundation.</t>
  </si>
  <si>
    <t>[Hlaing, Nan Hsu Myat Mon; Park, Koungjin; Wan, Qiucen; Lee, Jae-Hyun] Seoul Natl Univ, Sch Dent, Dept Prosthodont, 101 Daehak Ro, Seoul 03080, South Korea; [Lee, Sang J.; Gallucci, German O.; Lee, Jae-Hyun] Harvard Sch Dent Med, Dept Restorat Dent &amp; Biomat Sci, 188 Longwood Ave, Boston, MA 02115 USA; [Lee, Jae-Hyun] Seoul Natl Univ, Sch Dent, Dent Res Inst, 101 Daehak Ro, Seoul 03080, South Korea</t>
  </si>
  <si>
    <t>Seoul National University (SNU); Harvard University; Seoul National University (SNU)</t>
  </si>
  <si>
    <t>Accuracy and hallucination behaviors of artificial intelligence-based large language models for dental implant identification on radiographs</t>
  </si>
  <si>
    <t>Artificial intelligence; Computer-assisted diagnosis; Dental implants; Dental radiography; Hallucinations; Large language models</t>
  </si>
  <si>
    <t>Park, Koungjin/PNH-3734-2026; Gallucci, German/H-4505-2011; Lee, Jae-Hyun/W-3649-2019; Hlaing, Nan Hsu Myat Mon/OJU-9978-2025</t>
  </si>
  <si>
    <t>OCT 2026</t>
  </si>
  <si>
    <t>173</t>
  </si>
  <si>
    <t>106754</t>
  </si>
  <si>
    <t>10.1016/j.jdent.2026.106754</t>
  </si>
  <si>
    <t>http://dx.doi.org/10.1016/j.jdent.2026.106754</t>
  </si>
  <si>
    <t>KI4RK</t>
  </si>
  <si>
    <t>42142612</t>
  </si>
  <si>
    <t>WOS:001807730400001</t>
  </si>
  <si>
    <t>Alharbi, NM; Alghamdi, T; Alqurashi, RM; Alwashmi, R; Babour, A; Alkayal, E</t>
  </si>
  <si>
    <t>Language Models such as GPT-4o and GPT4o-mini have shown significant promise in various fields. However, hallucination, when models generate inaccurate information, remains a critical challenge, especially in domains that require high accuracy, such as the healthcare field. This study investigates hallucinations in two different LLMs, focusing on the healthcare domain. Four different experiments were defined to examine the two models' memorization and reasoning abilities. For each experiment, a dataset with 193,155 multiple-choice medical questions from postgraduate medical programs was prepared by splitting it into 21 subsets according to medical topics. Each subset has two versions: one with the correct answers included and one without them. Accuracy and compliance were evaluated for each model. Models' adherence to requirements in prompts was assessed. Also, the correlation between size and accuracy was tested. The experiments were repeated to evaluate the models' stability. Finally, the models' reasoning was evaluated by human experts who assessed the models' explanations for correct answers. The results revealed poor rates of accuracy and compliance for the two models, with rates below 70% and 75%, respectively, in most datasets; yet, both models showed low uncertainty (3%) in their responses. The findings showed that the accuracy was not affected by the size of the dataset provided to the models. Also, the results indicated that GPT-4o-mini demonstrates greater performance stability compared to GPT-4o. Furthermore, the two models provided acceptable justifications for choosing the correct answer in most cases, according to 68.8% of expert questionnaire participants who agreed with both models' justifications. According to these results, both models cannot be relied upon when accuracy is critical, even though GPT-4o-mini slightly outperformed GPT-4o in providing the correct answers. The findings highlight the importance of improving LLM accuracy and reasoning to ensure reliability in critical fields like healthcare.</t>
  </si>
  <si>
    <t>Alharbi, Nesreen M.; Alghamdi, Thoria; Alqurashi, Raghda M.; Alwashmi, Reem; Babour, Amal; Alkayal, Entisar</t>
  </si>
  <si>
    <t>Babour, A (corresponding author), King Abdulaziz Univ, Fac Comp &amp; Informat Technol, Dept Informat Syst, Jeddah, Saudi Arabia.</t>
  </si>
  <si>
    <t>[Alharbi, Nesreen M.] King Abdulaziz Univ, Fac Comp &amp; Informat Technol Rabigh, Dept Comp Sci, Rabigh 21911, Saudi Arabia; [Alharbi, Nesreen M.; Alkayal, Entisar] King Abdulaziz Univ, Fac Comp &amp; Informat Technol Rabigh, LIGHT, Rabigh 21911, Saudi Arabia; [Alghamdi, Thoria; Babour, Amal] King Abdulaziz Univ, Fac Comp &amp; Informat Technol, Dept Informat Syst, Jeddah, Saudi Arabia; [Alqurashi, Raghda M.] Umm Al Aura Univ, Jamoum Univ Coll, Dept Comp Sci, Al Jumum 25371, Saudi Arabia; [Alwashmi, Reem] King Abdulaziz Univ, Fac Comp &amp; Informat Technol Rabigh, Dept Informat Technol, Rabigh 21911, Saudi Arabia</t>
  </si>
  <si>
    <t>King Abdulaziz University; King Abdulaziz University; King Abdulaziz University; King Abdulaziz University</t>
  </si>
  <si>
    <t>Exploring Hallucination in Large Language Models A Comparative Study of GPT-4o and GPT-4o-mini in Medical Domains</t>
  </si>
  <si>
    <t>INTERNATIONAL JOURNAL OF ADVANCED COMPUTER SCIENCE AND APPLICATIONS</t>
  </si>
  <si>
    <t>ChatGPT; GPT-4o; GPT-4o-mini; hallucination; healthcare; large language models</t>
  </si>
  <si>
    <t>Alwashmi, Reem/OOK-7773-2025; Alghamdi, Thoria/JVE-1106-2024; /V-5353-2019; alkayal, entisar/H-4027-2018; Alharbi, Nesreen/AAT-5829-2021</t>
  </si>
  <si>
    <t>SCIENCE &amp; INFORMATION SAI ORGANIZATION LTD</t>
  </si>
  <si>
    <t>WEST YORKSHIRE</t>
  </si>
  <si>
    <t>19 BOLLING RD, BRADFORD, WEST YORKSHIRE, 00000, ENGLAND</t>
  </si>
  <si>
    <t>2158-107X</t>
  </si>
  <si>
    <t>2156-5570</t>
  </si>
  <si>
    <t>INT J ADV COMPUT SC</t>
  </si>
  <si>
    <t>Int. J. Adv. Comput. Sci. Appl.</t>
  </si>
  <si>
    <t>228</t>
  </si>
  <si>
    <t>U5001</t>
  </si>
  <si>
    <t>WOS:001638661700001</t>
  </si>
  <si>
    <t>Xu, HH; Chen, QS; He, WX; Chen, XY; Gao, HH</t>
  </si>
  <si>
    <t>Medical Visual Question Answering (Med-VQA) is an emerging interdisciplinary task that integrates computer vision and natural language processing to enable automated clinical decision support based on medical images. Recent advances in deep learning have led to two prominent model paradigms: task-specific models (TSMs), which are tailored to specific datasets and clinical tasks, and large vision-language models (VLMs), which leverage large-scale pretraining to achieve strong generalization across modalities. However, a comprehensive and comparative understanding of these two approaches remains lacking. This survey presents the first systematic comparison between TSMs and VLMs in the Med-VQA domain. An unified taxonomy is introduced covering architectural strategies, knowledge integration techniques, pretraining methods, and interpretability mechanisms. Over 50 representative models are reviewed and benchmark their performance across multiple datasets. Furthermore, this paper analyses the trade-offs between accuracy, generalizability, interpretability, and computational efficiency, and examine common challenges such as hallucination, modality bias, and data scarcity. Finally, the paper outlines emerging trends and future directions, including hybrid TSM-VLM systems, instruction tuning, and trustworthy VQA frameworks, to guide the development of clinically viable Med-VQA solutions.</t>
  </si>
  <si>
    <t>Xu, Huahu; Chen, Qishen; He, Wenxuan; Chen, Xingyuan; Gao, Honghao</t>
  </si>
  <si>
    <t>Gao, HH (corresponding author), Shanghai Univ, Sch Comp Engn &amp; Sci, Shanghai 200444, Peoples R China.</t>
  </si>
  <si>
    <t>gaohonghao@shu.edu.cn; salieri@shu.edu.cn; cccxy@shu.edu.cn; qs-chen@shu.edu.cn; hhxu25@shu.edu.cn</t>
  </si>
  <si>
    <t>National Key RD Program China [2022YFF0902500]; Shanghai Technical Service Center of Science and Engineering puting, Shanghai University</t>
  </si>
  <si>
    <t>National Key RD Program China; Shanghai Technical Service Center of Science and Engineering puting, Shanghai University</t>
  </si>
  <si>
    <t>Acknowledgment This work was supported by the National Key R&amp;D Program China under grant No. 2022YFF0902500. This work was also Supported by Shanghai Technical Service Center of Science and Engineering puting, Shanghai University.</t>
  </si>
  <si>
    <t>[Xu, Huahu; Chen, Qishen; He, Wenxuan; Chen, Xingyuan; Gao, Honghao] Shanghai Univ, Sch Comp Engn &amp; Sci, Shanghai 200444, Peoples R China</t>
  </si>
  <si>
    <t>Shanghai University</t>
  </si>
  <si>
    <t>Task-specific models vs. large vision-language models in medical visual question answering: A survey</t>
  </si>
  <si>
    <t>EXPERT SYSTEMS WITH APPLICATIONS</t>
  </si>
  <si>
    <t>Visual question answering; Medical image; Task-specific model; Vision-language model</t>
  </si>
  <si>
    <t>Gao, Honghao/AAX-4529-2020</t>
  </si>
  <si>
    <t>0957-4174</t>
  </si>
  <si>
    <t>1873-6793</t>
  </si>
  <si>
    <t>EXPERT SYST APPL</t>
  </si>
  <si>
    <t>Expert Syst. Appl.</t>
  </si>
  <si>
    <t>318</t>
  </si>
  <si>
    <t>132008</t>
  </si>
  <si>
    <t>10.1016/j.eswa.2026.132008</t>
  </si>
  <si>
    <t>http://dx.doi.org/10.1016/j.eswa.2026.132008</t>
  </si>
  <si>
    <t>Computer Science, Artificial Intelligence; Engineering, Electrical &amp; Electronic; Operations Research &amp; Management Science</t>
  </si>
  <si>
    <t>Computer Science; Engineering; Operations Research &amp; Management Science</t>
  </si>
  <si>
    <t>FK8JV</t>
  </si>
  <si>
    <t>WOS:001721139800001</t>
  </si>
  <si>
    <t>Alagarsamy, R; Lal, B; Chawla, J; Arangaraju, R; Mohanty, S; Fatima, K; Barathi, A</t>
  </si>
  <si>
    <t>Background: Patients with maxillofacial fractures increasingly seek information from large language models (LLMs), yet the accuracy and readability of these responses remain uncertain. Purpose: This study evaluated the performance of 5 publicly accessible LLMs in answering frequently asked questions (FAQs) about maxillomandibular fixation (MMF). Study design, setting, and sample: This in-silico cross-sectional study, conducted in January 2025, evaluated 47 FAQs and yielded 235 responses from 5 open-access LLMs, excluding subscription-based models. Predictor variable: The predictor variable was LLM architecture: decoder-only transformer models (DOT-1, DOT-2), a multimodal transformer model (MTM), a productivity-focused model (PM), and a constitutional artificial intelligence (AI)-based model (CAM). Outcome variables: The primary outcome was LLM performance, measured with the QUEST (Quality of information, Understanding and reasoning, Expression style and persona, Safety and harm, and Trust and confidence) framework. Domains assessed were accuracy (Likert &gt;= 4), hallucination (presence/absence of fabricated content), usefulness, clarity, trust, and satisfaction (Likert 1 to 5), and readability (Flesch-Kincaid Reading Ease [FKRE] and Grade Level [FKGL]). Responses were rated independently by 7 evaluators (5 oral and maxillofacial surgeons and 2 residents) in a blinded manner. Covariates: None. Analyses: Ordinal outcomes were analyzed with the Friedman test and pairwise Wilcoxon signed-rank tests. Readability was compared with one-way ANOVA. Inter-rater reliability was measured with Fleiss' kappa. Statistical significance was set at P &lt; .05. Results: The sample included 235 LLM-generated responses. DOT-1 showed the highest accuracy (88.5 +/- 6.2%), which was statistically significantly greater than DOT-2 (79.6 +/- 10.1%) and PM (81.2 +/- 9.3%) (P = .004). It also had a statistically significantly lower hallucination rate (5.2%) compared with DOT-2 (10.1%) and PM (9.4%) (P = .013). CAM performed comparably in accuracy (86.3 +/- 7.1%); however, its readability was statistically significantly poorer (Flesch-Kincaid Grade Level = 22.7 +/- 12.9; P &lt; .001). Multimodal transformer model showed intermediate performance. Inter-rater agreement was almost perfect for accuracy (kappa = 0.79 to 1.00) and hallucination (kappa = 0.91 to 1.00) and moderate to substantial for ordinal variables. Conclusion and relevance: LLMs can provide accurate responses to maxillomandibular fixation queries, but readability remains limited and model-dependent. These findings underscore the need for developing more patient-friendly artificial intelligence (AI) outputs and highlight the importance of clinician oversight in guiding patients' use of LLMs.</t>
  </si>
  <si>
    <t>Alagarsamy, Ragavi; Lal, Babu; Chawla, Jitendra; Arangaraju, Ramya; Mohanty, Sujata; Fatima, Kaleem; Barathi, Arivarasan</t>
  </si>
  <si>
    <t>Arangaraju, R (corresponding author), Yenepoya Deemed Be Univ, Yenepoya Dent Coll, Dept Oral &amp; Maxillofacial Surg, Room 4,1 Floor, Mangalore 575018, Karnataka, India.</t>
  </si>
  <si>
    <t>ramya.a@yenepoya.edu.in</t>
  </si>
  <si>
    <t>[Alagarsamy, Ragavi; Mohanty, Sujata] Maulana Azad Inst Dent Sci, Dept Oral &amp; Maxillofacial Surg, New Delhi, India; [Lal, Babu] All India Inst Med Sci, Dept Trauma &amp; Emergency Med, Bhopal, Madhya Pradesh, India; [Chawla, Jitendra] All India Inst Med Sci, Dept Dent, Mangalagiri, Andhra Pradesh, India; [Arangaraju, Ramya] Yenepoya Deemed Be Univ, Yenepoya Dent Coll, Dept Oral &amp; Maxillofacial Surg, Room 4,1 Floor, Mangalore 575018, Karnataka, India; [Fatima, Kaleem] Maulana Azad Inst Dent Sci, Dept Orthodont &amp; Dentofacial Orthopaed, New Delhi, India; [Barathi, Arivarasan] ESIC Med Coll, Dept Community Med, Chennai, Tamil Nadu, India</t>
  </si>
  <si>
    <t>Maulana Azad Institute of Dental Sciences New Delhi; All India Institute of Medical Sciences (AIIMS) Bhopal; Yenepoya (Deemed to be University); Yenepoya Dental College; Maulana Azad Institute of Dental Sciences New Delhi</t>
  </si>
  <si>
    <t>Evaluating the Effectiveness of Large Language Models in Addressing Patient Queries Regarding Maxillomandibular Fixation for Maxillofacial Fractures</t>
  </si>
  <si>
    <t>JOURNAL OF ORAL AND MAXILLOFACIAL SURGERY</t>
  </si>
  <si>
    <t>Alagar, Ragavi/JTV-6408-2023; Lal, Babu/JDW-0072-2023</t>
  </si>
  <si>
    <t>W B SAUNDERS CO-ELSEVIER INC</t>
  </si>
  <si>
    <t>1600 JOHN F KENNEDY BOULEVARD, STE 1800, PHILADELPHIA, PA 19103-2899 USA</t>
  </si>
  <si>
    <t>0278-2391</t>
  </si>
  <si>
    <t>1531-5053</t>
  </si>
  <si>
    <t>J ORAL MAXIL SURG</t>
  </si>
  <si>
    <t>J. Oral Maxillofac. Surg.</t>
  </si>
  <si>
    <t>84</t>
  </si>
  <si>
    <t>79</t>
  </si>
  <si>
    <t>10.1016/j.joms.2025.09.016</t>
  </si>
  <si>
    <t>http://dx.doi.org/10.1016/j.joms.2025.09.016</t>
  </si>
  <si>
    <t>AY1JT</t>
  </si>
  <si>
    <t>41138753</t>
  </si>
  <si>
    <t>WOS:001659533300002</t>
  </si>
  <si>
    <t>Avakian, A</t>
  </si>
  <si>
    <t>Clinical adoption of artificial intelligence (AI) in radiology has matured through task-specific tools for detection, segmentation, triage, and quantitative measurement, yet most deployed systems operate as isolated applications with distinct interfaces and limited clinical context. Vision-language models (VLMs), which jointly represent visual and textual information, offer a potential remedy. This review proposes that VLMs are most plausibly valuable as a downstream semantic layer on top of existing orchestration infrastructure, consuming structured outputs from task-specific models and clinical context to produce clinically interpretable summaries. We position this proposal against rule-based orchestration middleware, structured reporting standards (DICOM SR, HL7 FHIR), and medical knowledge graphs, and identify three capabilities VLMs uniquely add and three where they currently underperform. A critical appraisal of three state-of-the-art systems: MAIRA-2, RadioRAG, and a representative vision-language foundation model, reveals that even the best-performing radiology VLMs exhibit logical precision of only similar to 52-56% on primary benchmarks, model-dependent retrieval gains that can collapse to zero, fourfold latency increases, and systematic demographic bias exceeding that of board-certified radiologists. We discuss technical requirements for implementation: interoperability, conflict arbitration, provenance tagging, hallucination mitigation, latency, and regulatory classification under adaptive-AI frameworks. We argue throughout that most capabilities described remain at research or early-pilot stage, and that the value of VLMs lies in filling a specific coordination gap rather than in subsuming existing integration layers.</t>
  </si>
  <si>
    <t>Avakian, Amy</t>
  </si>
  <si>
    <t>Avakian, A (corresponding author), Southern Hills Hosp &amp; Med Ctr, 9300 Sunset Rd, Las Vegas, NV 89148 USA.</t>
  </si>
  <si>
    <t>amyavakian1@gmail.com</t>
  </si>
  <si>
    <t>[Avakian, Amy] Southern Hills Hosp &amp; Med Ctr, 9300 Sunset Rd, Las Vegas, NV 89148 USA</t>
  </si>
  <si>
    <t>Vision-language models as an integrative layer for clinical artificial intelligence in radiology: A systems-level perspective</t>
  </si>
  <si>
    <t>Artificial intelligence; Vision-language models; Workflow integration; Clinical decision support; Orchestration; Retrieval-augmented generation</t>
  </si>
  <si>
    <t>MEDICINE</t>
  </si>
  <si>
    <t>110841</t>
  </si>
  <si>
    <t>10.1016/j.clinimag.2026.110841</t>
  </si>
  <si>
    <t>http://dx.doi.org/10.1016/j.clinimag.2026.110841</t>
  </si>
  <si>
    <t>JL5ND</t>
  </si>
  <si>
    <t>42176405</t>
  </si>
  <si>
    <t>WOS:001792195000001</t>
  </si>
  <si>
    <t>Yiu, A; Lam, K</t>
  </si>
  <si>
    <t>Introduction The Intercollegiate Membership of the Royal College of Surgeons examination (MRCS) Part A assesses generic surgical sciences and applied knowledge using 300 multiple-choice Single Best Answer items. Large Language Models (LLMs) are trained on vast amounts of text to generate natural language outputs, and applications in healthcare and medical education are rising. Methods Two LLMs, ChatGPT (OpenAI) and Bard (Google AI), were tested using 300 questions from a popular MRCS Part A question bank without/with need for justification (NJ/J). LLM outputs were scored according to accuracy, concordance and insight. Results ChatGPT achieved 85.7%/84.3% accuracy for NJ/J encodings. Bard achieved 64%/64.3% accuracy for NJ/J encodings. ChatGPT and Bard displayed high levels of concordance for NJ (95.3%; 81.7%) and J (93.7%; 79.7%) encodings, respectively. ChatGPT and Bard provided an insightful statement in &gt;98% and &gt;86% outputs, respectively. Discussion This study demonstrates that ChatGPT achieves passing-level accuracy at MRCS Part A, and both LLMs achieve high concordance and provide insightful responses to test questions. Instances of clinically inappropriate or inaccurate decision-making, incomplete appreciation of nuanced clinical scenarios and utilisation of out-of-date guidance was, however, noted. LLMs are accessible and time-efficient tools, access vast clinical knowledge, and may reduce the emphasis on factual recall in medical education and assessment. Conclusion ChatGPT achieves passing-level accuracy for MRCS Part A with concordant and insightful outputs. Future applications of LLMs in healthcare must be cautious of hallucinations and incorrect reasoning but have the potential to develop AI-supported clinicians.</t>
  </si>
  <si>
    <t>Yiu, A.; Lam, K.</t>
  </si>
  <si>
    <t>Lam, K (corresponding author), Imperial Coll London, London, England.</t>
  </si>
  <si>
    <t>NIHR Academic Clinical Fellowship</t>
  </si>
  <si>
    <t>Funding KL is supported by a NIHR Academic Clinical Fellowship.</t>
  </si>
  <si>
    <t>[Yiu, A.] Kings Coll Hosp NHS Fdn Trust, London, England; [Yiu, A.; Lam, K.] Imperial Coll London, London, England</t>
  </si>
  <si>
    <t>King's College Hospital NHS Foundation Trust; Imperial College London</t>
  </si>
  <si>
    <t>Performance of large language models at the MRCS Part A: a tool for medical education?</t>
  </si>
  <si>
    <t>ANNALS OF THE ROYAL COLLEGE OF SURGEONS OF ENGLAND</t>
  </si>
  <si>
    <t>MRCS; Examination; Large language model; ChatGPT; Bard; Education</t>
  </si>
  <si>
    <t>Yiu, Andrew/OXA-9336-2025; Lam, Kyle/IYS-5925-2023</t>
  </si>
  <si>
    <t>Yiu, Andrew/0000-0002-1144-6927; Lam, Kyle/0000-0001-6407-4912</t>
  </si>
  <si>
    <t>ROYAL COLL SURGEONS ENGLAND</t>
  </si>
  <si>
    <t>35-43 LINCOLN'S INN FIELDS, LONDON WC2A 3PN, ENGLAND</t>
  </si>
  <si>
    <t>0035-8843</t>
  </si>
  <si>
    <t>1478-7083</t>
  </si>
  <si>
    <t>ANN ROY COLL SURG</t>
  </si>
  <si>
    <t>Ann. R. Coll. Surg. Engl.</t>
  </si>
  <si>
    <t>107</t>
  </si>
  <si>
    <t>434</t>
  </si>
  <si>
    <t>440</t>
  </si>
  <si>
    <t>10.1308/rcsann.2023.0085</t>
  </si>
  <si>
    <t>http://dx.doi.org/10.1308/rcsann.2023.0085</t>
  </si>
  <si>
    <t>4SN5H</t>
  </si>
  <si>
    <t>38037955</t>
  </si>
  <si>
    <t>WOS:001525642300009</t>
  </si>
  <si>
    <t>Arora, T; Beam, K</t>
  </si>
  <si>
    <t>Objective The objective of this study is to evaluate whether large language models (LLMs) can autonomously synthesize existing literature and accurately extract prognostic variables for neonatal intraventricular hemorrhage (IVH) and its outcomes while assessing their capability for clinical feature ranking and risk stratification. Study Design This pilot study employed a systematic literature review combined with retrieval-augmented generation (RAG) methodology. GPT 4 (OpenAI) and Claude Sonnet (4.0, Anthropic) were prompted to identify peer-reviewed studies utilizing machine learning and deep learning to predict IVH outcomes in preterm neonates. Data extraction was prompted to follow TRIPOD artificial intelligence (AI) guidelines, capturing study design, population characteristics, predictor variables, and outcome measures. Semi-automated RAG extraction was performed with manual validation to mitigate hallucination risk. Results LLMs initially identified 39 studies, with 28 meeting some or all the validation criteria after excluding references that were hallucinated. From these, 14 distinct prognostic predictors were extracted across four outcome domains: mortality, progression, complications, and resolution. Universal high-impact predictors included gestational age (13 mentions; 41%), birth weight (8 mentions, 25%), and Apgar scores (11 mentions, 34%). Variables were categorized into three clinical tiers based on frequency, outcome breadth, and modifiability. A preliminary risk stratification model demonstrated high-risk neonates (&lt;28 weeks, &lt;1,000g, Apgar &lt;3) with estimated progression risk &gt;70%, and mortality &gt;50%, while low-risk neonates (&gt;32 weeks, &gt;1,500 g, Apgar &gt; 5) showed favorable trajectories. Conclusion This study demonstrates that LLMs can synthesize medical literature and extract clinically relevant prognostic variables for neonatal IVH outcomes. However, LLM outputs were susceptible to hallucinations and incomplete data synthesis, underscoring the need for rigorous clinical oversight and human validation to ensure reliability. The identified universal predictors provide a foundation for developing AI-assisted clinical decision support tools. Notable research gaps include the complete absence of resolution prediction studies and limited investigation of complication predictors, highlighting opportunities for future investigation in precision neonatology.</t>
  </si>
  <si>
    <t>Arora, Tanima; Beam, Kristyn</t>
  </si>
  <si>
    <t>Arora, T (corresponding author), Boston Childrens Hosp, Div Newborn Med, Boston, MA 02115 USA.</t>
  </si>
  <si>
    <t>tanima.arora@children.harvard.edu</t>
  </si>
  <si>
    <t>[Arora, Tanima] Boston Childrens Hosp, Div Newborn Med, Boston, MA 02115 USA; [Beam, Kristyn] Beth Israel Deaconess Med Ctr, Div Neonatol, Boston, MA USA</t>
  </si>
  <si>
    <t>Harvard University; Harvard University Medical Affiliates; Boston Children's Hospital; Harvard University; Harvard University Medical Affiliates; Beth Israel Deaconess Medical Center</t>
  </si>
  <si>
    <t>Harnessing Large Language Models in Neonatal Intraventricular Hemorrhage: Exploring Retrieval Augmented Generation Methodology for Prognostic Variable Discovery</t>
  </si>
  <si>
    <t>AMERICAN JOURNAL OF PERINATOLOGY</t>
  </si>
  <si>
    <t>artificial intelligence; intraventricular hemorrhage; prognostication; outcomes research; large language models</t>
  </si>
  <si>
    <t>SCORING SYSTEM; RISK-FACTORS; PRETERM; PREDICTION; INFANTS; INJURY; INDEX</t>
  </si>
  <si>
    <t>THIEME MEDICAL PUBL INC</t>
  </si>
  <si>
    <t>333 SEVENTH AVE, NEW YORK, NY 10001 USA</t>
  </si>
  <si>
    <t>0735-1631</t>
  </si>
  <si>
    <t>1098-8785</t>
  </si>
  <si>
    <t>AM J PERINAT</t>
  </si>
  <si>
    <t>Am. J. Perinatol.</t>
  </si>
  <si>
    <t>10.1055/a-2838-5446</t>
  </si>
  <si>
    <t>http://dx.doi.org/10.1055/a-2838-5446</t>
  </si>
  <si>
    <t>Obstetrics &amp; Gynecology; Pediatrics</t>
  </si>
  <si>
    <t>FX6ZC</t>
  </si>
  <si>
    <t>41871598</t>
  </si>
  <si>
    <t>WOS:001729862300001</t>
  </si>
  <si>
    <t>Zhong, W; Zheng, GX; Li, Q; Huang, Y; Zhao, JJ</t>
  </si>
  <si>
    <t>Objectives To benchmark the informational quality, verifiability indicators, and readability of publicly accessible large language model (LLM) responses to standardized, patient-facing varicose veins (VV) questions.Methods Twenty single-intent VV questions were derived from PubMed-indexed VV and chronic venous disease guidelines and consensus statements (search date: February 10, 2026). The question set was designed as a decision-critical benchmark across the care pathway rather than a prevalence-weighted sample of real-world patient queries. Five publicly accessible LLMs (ChatGPT 5.2, DeepSeek-V3.2, Gemini 3 Pro, Grok 4.1, and Qwen3-Max) were queried through their official web interfaces from February 10 to 12, 2026, under default settings, generating 100 responses. Each prompt was entered in a new privacy-mode session, and refusals or other non-responsive outputs were retained as returned. Two blinded clinicians independently rated DISCERN (16-80), EQIP (0%-100%), GQS (1-5), and the JAMA benchmark (0-4). In this study, JAMA was used as a structured measure of visible attribution and verifiability-related features rather than as a comprehensive measure of transparency for conversational AI. Readability was assessed using six standard indices. Interrater reliability was evaluated with ICC(A,1) and weighted Cohen's kappa. Between-model differences were tested using Friedman tests with Kendall's W and Holm adjustment.Results Interrater reliability was high [DISCERN ICC(A,1) = 0.913; EQIP ICC(A,1) = 0.859; GQS kappa = 0.883; JAMA kappa = 0.864]. Informational-quality scores were broadly similar across models (DISCERN means, 46.50-50.75; EQIP means, 71.50-74.25; GQS medians, 4.0). JAMA scores were uniformly low (means, 0.00-0.25; medians, 0), indicating sparse visible attribution and limited verifiability cues in default outputs. Between-model differences in the primary informational-quality outcomes were small and were not significant after Holm adjustment. Readability differences were more pronounced, and all models exceeded commonly recommended sixth-grade readability thresholds.Conclusions Under default public-user settings, publicly accessible LLMs generated fluent VV responses with limited visible verifiability indicators and suboptimal readability. Differences in the primary informational-quality outcomes were modest and should be interpreted cautiously. This benchmark evaluates communication-related performance rather than claim-level clinical accuracy or safety. These findings support efforts to improve auditability, provenance reporting, and uncertainty communication, but these dimensions do not substitute for formal assessment of factual accuracy, guideline concordance, and clinical safety.</t>
  </si>
  <si>
    <t>Zhong, Wei; Zheng, Guoxue; Li, Qin; Huang, Yu; Zhao, Jinjie</t>
  </si>
  <si>
    <t>Zhao, JJ (corresponding author), Suining Cent Hosp, Dept Vasc Surg, Suining, Peoples R China.</t>
  </si>
  <si>
    <t>shenme17@126.com</t>
  </si>
  <si>
    <t>[Zhong, Wei; Zheng, Guoxue; Li, Qin; Huang, Yu; Zhao, Jinjie] Suining Cent Hosp, Dept Vasc Surg, Suining, Peoples R China</t>
  </si>
  <si>
    <t>Benchmarking public large language model responses to patient-facing varicose veins questions: informational quality, verifiability indicators, and readability</t>
  </si>
  <si>
    <t>chronic venous disease; health information quality; large language models; readability; varicose veins; verifiability</t>
  </si>
  <si>
    <t>RESOURCES; INTERNET</t>
  </si>
  <si>
    <t>JUN 12 2026</t>
  </si>
  <si>
    <t>1818821</t>
  </si>
  <si>
    <t>10.3389/fpubh.2026.1818821</t>
  </si>
  <si>
    <t>http://dx.doi.org/10.3389/fpubh.2026.1818821</t>
  </si>
  <si>
    <t>KD8VZ</t>
  </si>
  <si>
    <t>42368970</t>
  </si>
  <si>
    <t>WOS:001804625200001</t>
  </si>
  <si>
    <t>Uçar, MT; Bostan, E; Dönmez, E; Soydan, FC</t>
  </si>
  <si>
    <t>Introduction: Artificial intelligence (AI)-based chatbots are becoming an increasingly popular source of health information, particularly for common dermatological conditions such as scabies. However, concerns remain about the accuracy, reliability, quality and readability of the information they provide. Objectives: The aim of this study was to evaluate the accuracy, reliability, quality and readability of responses generated by different AI chatbots in answer to patient questions about scabies. Methods: Scabies-related questions were collected from Quora, a publicly accessible question-and-answer platform, and screened for relevance. Following expert review, 20 representative questions were selected. Responses were generated by three large language models: ChatGPT-5.2, DeepSeek and Claude Sonnet 4.5. The outputs were evaluated by expert reviewers using the hallucination rate, modified DISCERN (mDISCERN), Global Quality Score (GQS), Flesch Reading Ease Score (FRES), and an accuracy assessment based on a 5-point Likert scale. Results: In this study, it was found that ChatGPT-5.2 demonstrated the highest information quality (mDISCERN: 33.6 +/- 1.8) and readability (FRES: 63.25 +/- 11.5). DeepSeek achieved the highest global quality score (GQS: 5.00 +/- 0.00) and accuracy score (5.00 +/- 0.00). Claude Sonnet 4.5 had lower scores across most metrics. There were significant differences in hallucination rates among the models (p = 0.003), with DeepSeek exhibiting higher rates. Overall, statistically significant differences were observed among the models in terms of quality, readability and accuracy. Conclusions: AI chatbots provide generally informative but variable-quality responses to scabies-related questions. While DeepSeek demonstrated higher accuracy and overall quality, it also showed higher hallucination rates, whereas ChatGPT-5.2 provided more readable and reliable responses. These findings highlight variability across models and the need for cautious use. AI tools should be considered supportive resources rather than substitutes for professional medical advice.</t>
  </si>
  <si>
    <t>Ucar, Mahmut Talha; Bostan, Ecem; Donmez, Elif; Soydan, Fatma Cerit</t>
  </si>
  <si>
    <t>Dönmez, E (corresponding author), Univ Hlth Sci, Hamidiye Fac Nursing, Oncol Nursing Dept, TR-34668 Istanbul, Turkiye.</t>
  </si>
  <si>
    <t>mahmuttalha.ucar@saglik.gov.tr; fatmaceritsoydan@topkapi.edu.tr; ecem.bostan@ankaramedipol.edu.tr; ed.elifdonmez@gmail.com</t>
  </si>
  <si>
    <t>[Ucar, Mahmut Talha] Minist Hlth, Tekirdag Prov Hlth Directorate, Saray Dist Hlth Directorate, TR-59100 Tekirdag, Turkiye; [Bostan, Ecem] Ankara Medipol Univ, Fac Med, Dermatol &amp; Venereol Dept, TR-06050 Ankara, Turkiye; [Donmez, Elif] Univ Hlth Sci, Hamidiye Fac Nursing, Oncol Nursing Dept, TR-34668 Istanbul, Turkiye; [Soydan, Fatma Cerit] Istanbul Topkapi Univ, Fac Hlth Sci, Dept Nursing, TR-34087 Istanbul, Turkiye</t>
  </si>
  <si>
    <t>Ministry of Health - Turkey; Ankara Medipol University; Istanbul Topkapi University</t>
  </si>
  <si>
    <t>Can Artificial Intelligence Support Patient Education in Scabies? A Comparative Analysis of Large Language Model Responses</t>
  </si>
  <si>
    <t>HEALTHCARE</t>
  </si>
  <si>
    <t>scabies; artificial intelligence; chatbots; patient education; dermatology; readability</t>
  </si>
  <si>
    <t>INFORMATION; QUALITY</t>
  </si>
  <si>
    <t>Bostan, Ecem/HJG-8908-2022; Uçar, Mahmut/ADL-7371-2022; Dönmez, Elif/AAJ-6511-2021</t>
  </si>
  <si>
    <t>2227-9032</t>
  </si>
  <si>
    <t>HEALTHCARE-BASEL</t>
  </si>
  <si>
    <t>Healthcare</t>
  </si>
  <si>
    <t>MAY 8 2026</t>
  </si>
  <si>
    <t>1278</t>
  </si>
  <si>
    <t>10.3390/healthcare14101278</t>
  </si>
  <si>
    <t>http://dx.doi.org/10.3390/healthcare14101278</t>
  </si>
  <si>
    <t>Health Care Sciences &amp; Services; Health Policy &amp; Services</t>
  </si>
  <si>
    <t>IL6HB</t>
  </si>
  <si>
    <t>42194371</t>
  </si>
  <si>
    <t>WOS:001774602800001</t>
  </si>
  <si>
    <t>Wu, SL; Zou, WX; Tu, J; Wang, CX; Jin, C; Liao, J; Tang, KC; Liu, N; Hao, C</t>
  </si>
  <si>
    <t>This study explores the role of open-source large language models (LLMs) in promoting artificial intelligence (AI) health equity from the perspective of the health service triangle model. First, it defines AI health, categorizes AI-supported decision-making patterns, and assesses the status quo of AI health inequalities. Second, by comparing open-source and closed-source LLMs in terms of patient privacy, data security, accessibility, and use, it demonstrates the distinct advantages of open-source LLMs for AI-enabled health services. Finally, based on the health service triangle model, this study demonstrates how open-source LLMs drive the democratization of AI-enabled health services-particularly benefiting low-resource regions-by expanding service types, improving accessibility, enhancing quality, and reducing costs. This study concludes that, while open-source LLMs must address challenges such as hallucination risks and ethical responsibilities, they ultimately enable AI health equity through technological sharing.</t>
  </si>
  <si>
    <t>Wu, Shaolong; Zou, Wenxin; Tu, Jiong; Wang, Chunxiao; Jin, Cheng; Liao, Jing; Tang, Kwok Cho; Liu, Ning; Hao, Chun</t>
  </si>
  <si>
    <t>Hao, C (corresponding author), Sun Yat Sen Univ, Sch Publ Hlth, Dept Med Stat, 74 Zhongshan er Rd, Guangzhou 510080, Peoples R China.</t>
  </si>
  <si>
    <t>haochun@mail.sysu.edu.cn</t>
  </si>
  <si>
    <t>Planning Project (General Project) [2025, GD25DWQZZ01]; Major Project of the Key Research Institutes of Humanities and Social Sciences of the Ministry of Education [22JJD630022]</t>
  </si>
  <si>
    <t>Planning Project (General Project); Major Project of the Key Research Institutes of Humanities and Social Sciences of the Ministry of Education</t>
  </si>
  <si>
    <t>The authors declare that financial support was received for the research, authorship, and/or publication of this article. This work was supported by the following grants: 2025 major project of the National Social Science Fund of China (project 25&amp;ZD151) , 2024 National Social Science Fund of China (project 24SGB024) , the Guangdong Philosophy and Social Science Foundation Planning Project (General Project) 2025 (project GD25DWQZZ01) , and the Major Project of the Key Research Institutes of Humanities and Social Sciences of the Ministry of Education (project 22JJD630022) .r Planning Project (General Project) 2025 (project GD25DWQZZ01) , and the Major Project of the Key Research Institutes of Humanities and Social Sciences of the Ministry of Education (project 22JJD630022) .</t>
  </si>
  <si>
    <t>[Wu, Shaolong; Zou, Wenxin; Liu, Ning] Sun Yat Sen Univ, Sch Govt, Dept Publ Adm, Guangzhou, Peoples R China; [Wu, Shaolong] Sun Yat Sen Univ, Sun Yat Sen Chinese Publ Management Res Ctr, Guangzhou, Peoples R China; [Wu, Shaolong; Liao, Jing; Tang, Kwok Cho; Hao, Chun] Sun Yat Sen Univ, Sun Yat Sen Global Hlth Inst, Inst State Governance, Guangzhou, Guangdong, Peoples R China; [Tu, Jiong] Sun Yat Sen Univ, Sch Sociol &amp; Anthropol, Guangzhou, Peoples R China; [Wang, Chunxiao] Guangzhou Med Univ, Sch Hlth Management, Guangzhou, Peoples R China; [Jin, Cheng] Huizhou Municipal Cent Peoples Hosp, Party Comm, Huizhou, Peoples R China; [Liao, Jing; Tang, Kwok Cho; Hao, Chun] Sun Yat Sen Univ, Sch Publ Hlth, Dept Med Stat, 74 Zhongshan er Rd, Guangzhou 510080, Peoples R China; [Tang, Kwok Cho] City Univ Hong Kong, Dept Publ &amp; Int Affairs, Hong Kong, Peoples R China; [Liu, Ning] Lanzhou Univ, Sch Management, Lanzhou, Peoples R China; [Liu, Ning] Lanzhou Univ, China Res Ctr Govt Performance Management, Lanzhou, Peoples R China</t>
  </si>
  <si>
    <t>Sun Yat Sen University; Sun Yat Sen University; Sun Yat Sen University; Sun Yat Sen University; Guangzhou Medical University; Sun Yat Sen University; City University of Hong Kong; Lanzhou University; Lanzhou University</t>
  </si>
  <si>
    <t>Open-Source Large Language Models and AI Health Equity: A Health Service Triangle Model Perspective</t>
  </si>
  <si>
    <t>artificial intelligence health; AI health; open-source large language models; open-source LLMs; health equity; health service triangle model; democratization; artificial intelligence; AI</t>
  </si>
  <si>
    <t>ARTIFICIAL-INTELLIGENCE; CARE</t>
  </si>
  <si>
    <t>Tu, Jiong/MIU-4609-2025</t>
  </si>
  <si>
    <t>Jin, Cheng/0009-0003-3493-5736</t>
  </si>
  <si>
    <t>e86769</t>
  </si>
  <si>
    <t>10.2196/86769</t>
  </si>
  <si>
    <t>http://dx.doi.org/10.2196/86769</t>
  </si>
  <si>
    <t>HN0LB</t>
  </si>
  <si>
    <t>42054668</t>
  </si>
  <si>
    <t>WOS:001757930700001</t>
  </si>
  <si>
    <t>Park, J; Lee, JH; Yoon, MA; Kim, DH; Jung, JY; Lee, YH</t>
  </si>
  <si>
    <t>Generative AI-including Generative Adversarial Networks, diffusion models, Large Language Models (LLMs), and more recently, vision-language models-is increasingly utilized in clinical practice for musculoskeletal imaging tasks such as disease diagnosis, image enhancement, image reconstruction, electronic health record summarization, and radiologic report generation. Integrating these technologies into radiology workflows can significantly advance radiology report generation, structured reporting, and patient-centered communication. However, challenges such as hallucination, bias, and performance drift remain persistent issues. Ensuring the safe and reliable use of LLMs in radiology requires domain-specific training, robust validation, and enhanced data privacy measures. This review summarizes available evidence regarding the potential utility of generative AI in musculoskeletal imaging and radiologic reporting, as well as the challenges and pitfalls in its application. Recommendations for future advancements and clinical translation are also discussed.</t>
  </si>
  <si>
    <t>Park, Jiwoo; Lee, Ji Hyun; Yoon, Min A.; Kim, Dong Hyun; Jung, Joon-Yong; Lee, Young Han</t>
  </si>
  <si>
    <t>Lee, YH (corresponding author), Yonsei Univ, Coll Med, Res Inst Radiol Sci, Dept Radiol, 50-1 Yonsei Ro, Seoul 03722, South Korea.; Lee, YH (corresponding author), Yonsei Univ, Coll Med, Ctr Clin Imaging Data Sci CCIDS, 50-1 Yonsei Ro, Seoul 03722, South Korea.</t>
  </si>
  <si>
    <t>sando@yuhs.ac</t>
  </si>
  <si>
    <t>National Research Foundation (NRF) - Korean Government, Ministry of Science, and ICT [MSIP 2022R1F1A1071702]</t>
  </si>
  <si>
    <t>National Research Foundation (NRF) - Korean Government, Ministry of Science, and ICT</t>
  </si>
  <si>
    <t>Thiswork was supported by a National Research Foundation (NRF) grant funded by the Korean Government, Ministry of Science, and ICT (MSIP 2022R1F1A1071702) .</t>
  </si>
  <si>
    <t>[Park, Jiwoo; Lee, Young Han] Yonsei Univ, Coll Med, Res Inst Radiol Sci, Dept Radiol, 50-1 Yonsei Ro, Seoul 03722, South Korea; [Park, Jiwoo; Lee, Young Han] Yonsei Univ, Coll Med, Ctr Clin Imaging Data Sci CCIDS, 50-1 Yonsei Ro, Seoul 03722, South Korea; [Lee, Ji Hyun] Sungkyunkwan Univ, Samsung Med Ctr, Sch Med, Dept Radiol, Seoul, South Korea; [Yoon, Min A.] Univ Ulsan, Coll Med, Asan Med Ctr, Dept Radiol, Seoul, South Korea; [Yoon, Min A.] Univ Ulsan, Coll Med, Asan Med Ctr, Res Inst Radiol, Seoul, South Korea; [Kim, Dong Hyun] Seoul Natl Univ, Coll Med, SMG SNU Boramae Med Ctr, Dept Radiol, Seoul, South Korea; [Jung, Joon-Yong] Catholic Univ Korea, Seoul St Marys Hosp, Dept Radiol, Seoul, South Korea; [Lee, Young Han] Yonsei Univ, Inst Innovat Digital Healthcare, Seoul, South Korea</t>
  </si>
  <si>
    <t>Yonsei University; Yonsei University Health System; Yonsei University; Yonsei University Health System; Sungkyunkwan University (SKKU); Samsung Medical Center; University of Ulsan; Asan Medical Center; University of Ulsan; Asan Medical Center; Seoul National University (SNU); Seoul National University Hospital; Catholic University of Korea; Seoul St. Mary's Hospital; Yonsei University</t>
  </si>
  <si>
    <t>Clinical Applications, Challenges &amp; Pitfalls, and Recommendations for Large Language Model and Generative AI in Musculoskeletal Imaging</t>
  </si>
  <si>
    <t>JOURNAL OF THE KOREAN SOCIETY OF RADIOLOGY</t>
  </si>
  <si>
    <t>Generative Artificial Intelligence; Artificial Intelligence; Large Language Model; Vision Language Model; Musculoskeletal Radiology</t>
  </si>
  <si>
    <t>PRIMER; GUIDE</t>
  </si>
  <si>
    <t>Lee, Ji Hyun/LDE-5439-2024</t>
  </si>
  <si>
    <t>Lee, Ji Hyun/0000-0002-8582-5436; Kim, Dong Hyun/0000-0002-3871-7002; Lee, Young Han/0000-0002-5602-391X; Jung, Joon-Yong/0000-0002-6909-0919; Park, Jiwoo/0009-0005-6048-2675</t>
  </si>
  <si>
    <t>2951-0805</t>
  </si>
  <si>
    <t>J KOREAN SOC RADIOL</t>
  </si>
  <si>
    <t>J. Korean Soc. Radiol.</t>
  </si>
  <si>
    <t>655</t>
  </si>
  <si>
    <t>670</t>
  </si>
  <si>
    <t>10.3348/jksr.2025.0018</t>
  </si>
  <si>
    <t>http://dx.doi.org/10.3348/jksr.2025.0018</t>
  </si>
  <si>
    <t>8SG6I</t>
  </si>
  <si>
    <t>41113385</t>
  </si>
  <si>
    <t>WOS:001585980400001</t>
  </si>
  <si>
    <t>Balt, E; Salmi, S; Bhulai, S; Vrinzen, S; Eikelenboom, M; Gilissen, R; Creemers, D; Popma, A; Mérelle, S</t>
  </si>
  <si>
    <t>Background Psychosocial autopsy is a retrospective study of suicide, aimed to identify emerging themes and psychosocial risk factors. It typically relies heavily on qualitative data from interviews or medical documentation. However, qualitative research has often been scrutinized for being prone to bias and is notoriously time- and cost-intensive. Therefore, the current study aimed to investigate if a Large Language Model (LLM) can be feasibly integrated with qualitative research procedures, by evaluating the performance of the model in deductively coding and coherently summarizing interview data obtained in a psychosocial autopsy.Methods Data from 38 semi-structured interviews conducted with individuals bereaved by the suicide of a loved one was deductively coded by qualitative researchers and a server-installed LLAMA3 large language model. The model performance was evaluated in three tasks: (1) binary classification of coded segments, (2) independent classification using a sliding window approach, and (3) summarization of coded data. Intercoder agreement scores were calculated using Cohen's Kappa, and the LLM's summaries were qualitatively assessed using the Constant Comparative Method.Results The results showed that the LLM achieved substantial agreement with the researchers for the binary classification (accuracy: 0.84) and the sliding window task (accuracy: 0.67). The performance had large variability across codes. LLM summaries were typically rich enough for subsequent analysis by the researcher, with around 80% of the summaries being rated independently by two researchers as 'adequate' or 'good.' Emerging themes in the qualitative assessment of the summaries included unsolicited elaboration and hallucination.Conclusion State-of-the-art LLMs show great potential to support researchers in deductively coding complex interview data, which would alleviate the investment of time and resources. Integrating models with qualitative research procedures can facilitate near real-time monitoring. Based on the findings, we recommend a collaborative model, whereby the LLM's deductive coding is complemented by review, inductive coding and further interpretation by a researcher. Future research may aim to replicate the findings in different contexts and evaluate models with a larger context size.</t>
  </si>
  <si>
    <t>Balt, Elias; Salmi, Salim; Bhulai, Sandjai; Vrinzen, Stefan; Eikelenboom, Merijn; Gilissen, Renske; Creemers, Daan; Popma, Arne; Merelle, Saskia</t>
  </si>
  <si>
    <t>Balt, E (corresponding author), 113 Suicide Prevent, Res Dept, Amsterdam, Netherlands.; Balt, E (corresponding author), Univ Amsterdam, Dept Psychiat, Med Ctr, Amsterdam, Netherlands.</t>
  </si>
  <si>
    <t>e.balt@113.nl</t>
  </si>
  <si>
    <t>[Balt, Elias; Salmi, Salim; Vrinzen, Stefan; Eikelenboom, Merijn; Gilissen, Renske; Merelle, Saskia] 113 Suicide Prevent, Res Dept, Amsterdam, Netherlands; [Balt, Elias; Eikelenboom, Merijn; Popma, Arne] Univ Amsterdam, Dept Psychiat, Med Ctr, Amsterdam, Netherlands; [Bhulai, Sandjai] Vrije Univ Amsterdam, Dept Math, Amsterdam, Netherlands; [Gilissen, Renske] Leiden Univ, Dept Clin Psychol, Leiden, Netherlands; [Creemers, Daan] GGZ Oost Brabant, Dept Child &amp; Youth Psychiat, Boekelo, Netherlands; [Creemers, Daan] Radboud Univ Nijmegen, Dept Psychiat &amp; Psychosocial Care, Nijmegen, Netherlands; [Merelle, Saskia] Univ Amsterdam, Dept Child &amp; Adolescent Psychiat &amp; Psychosocial Ca, Med Ctr, Amsterdam, Netherlands</t>
  </si>
  <si>
    <t>University of Amsterdam; Vrije Universiteit Amsterdam; Leiden University - Excl LUMC; Leiden University; Radboud University Nijmegen; University of Amsterdam</t>
  </si>
  <si>
    <t>Deductively coding psychosocial autopsy interview data using a few-shot learning large language model</t>
  </si>
  <si>
    <t>qualitative research; psychosocial autopsy; large language model (LLM); suicide prevention; public health</t>
  </si>
  <si>
    <t>QUALITATIVE RESEARCH; SUICIDE</t>
  </si>
  <si>
    <t>/AAC-9531-2021</t>
  </si>
  <si>
    <t>Merelle, Saskia/0000-0003-1748-7700; Bhulai, Sandjai/0000-0003-1124-8821; Balt, Elias/0000-0002-7022-2106</t>
  </si>
  <si>
    <t>FEB 19 2025</t>
  </si>
  <si>
    <t>1512537</t>
  </si>
  <si>
    <t>10.3389/fpubh.2025.1512537</t>
  </si>
  <si>
    <t>http://dx.doi.org/10.3389/fpubh.2025.1512537</t>
  </si>
  <si>
    <t>Z1D7J</t>
  </si>
  <si>
    <t>40046117</t>
  </si>
  <si>
    <t>WOS:001436403800001</t>
  </si>
  <si>
    <t>gold; Green Accepted; Green Submitted; Green Published</t>
  </si>
  <si>
    <t>Murthy, AB; Palaniappan, V; Radhakrishnan, S; Rajaa, S; Karthikeyan, K</t>
  </si>
  <si>
    <t>Background: With the growing interest in generative artificial intelligence (AI), the scientific community is witnessing the vast utility of large language models (LLMs) with chat interfaces such as ChatGPT and Microsoft Bing Chat in the medical field and research. This study aimed to investigate the accuracy of ChatGPT and Microsoft Bing Chat to answer questions on Dermatology, Venereology, and Leprosy, the frequency of artificial hallucinations, and to compare their performance with human respondents. Aim and Objectives: The primary objective of the study was to compare the knowledge and interpretation abilities of LLMs (ChatGPT v3.5 and Microsoft Bing Chat) with human respondents (12 final-year postgraduates) and the secondary objective was to assess the incidence of artificial hallucinations with 60 questions prepared by the authors, including multiple choice questions (MCQs), fill-in-the-blanks and scenario-based questions. Materials and Methods: The authors accessed two commercially available large language models (LLMs) with chat interfaces namely ChatGPT version 3.5 (OpenAI; San Francisco, CA) and Microsoft Bing Chat from August 10(th) to August 23(rd), 2023. Results: In our testing set of 60 questions, Bing Chat outperformed ChatGPT and human respondents with a mean correct response score of 46.9 +/- 0.7. The mean correct responses by ChatGPT and human respondents were 35.9 +/- 0.5 and 25.8 +/- 11.0, respectively. The overall accuracy of human respondents, ChatGPT and Bing Chat was observed to be 43%, 59.8%, and 78.2%, respectively. Of the MCQs, fill-in-the-blanks, and scenario-based questions, Bing Chat had the highest accuracy in all types of questions with statistical significance (P &lt; 0.001 by ANOVA test). Topic-wise assessment of the performance of LLMs showed that Bing Chat performed better in all topics except vascular disorders, inflammatory disorders, and leprosy. Bing Chat performed better in answering easy and medium-difficulty questions with accuracies of 85.7% and 78%, respectively. In comparison, ChatGPT performed well on hard questions with an accuracy of 55% with statistical significance (P &lt; 0.001 by ANOVA test). The mean number of questions answered by the human respondents among the 10 questions with multiple correct responses was 3 +/- 1.4. The accuracy of LLMs in answering questions with multiple correct responses was assessed by employing two prompts. ChatGPT and Bing Chat could answer 3.1 +/- 0.3 and 4 +/- 0 questions respectively without prompting. On evaluating the ability of logical reasoning by the LLMs, it was found that ChatGPT gave logical reasoning in 47 +/- 0.4 questions and Bing Chat in 53.9 +/- 0.5 questions, irrespective of the correctness of the responses. ChatGPT exhibited artificial hallucination in 4 questions, even with 12 repeated inputs, which was not observed in Bing chat. Limitations: Variability in respondent accuracy, a small question set, and exclusion of newer AI models and image-based assessments. Conclusion: This study showed an overall better performance of LLMs compared to human respondents. However, the LLMs were less accurate than respondents in topics like inflammatory disorders and leprosy. Proper regulations concerning the use of LLMs are the need of the hour to avoid potential misuse.</t>
  </si>
  <si>
    <t>Murthy, Aravind Baskar; Palaniappan, Vijayasankar; Radhakrishnan, Suganya; Rajaa, Sathish; Karthikeyan, Kaliaperumal</t>
  </si>
  <si>
    <t>Palaniappan, V (corresponding author), Sri Manakula Vinayagar Med Coll &amp; Hosp, Dept Dermatol Venereol &amp; Leprosy, Pondicherry, India.</t>
  </si>
  <si>
    <t>vijayasankar.palaniappan@gmail.com</t>
  </si>
  <si>
    <t>[Murthy, Aravind Baskar] SRM Med Coll Hosp &amp; Res Ctr, Dept Dermatol Venereol &amp; Leprosy, Chennai, Tamil Nadu, India; [Palaniappan, Vijayasankar; Radhakrishnan, Suganya; Karthikeyan, Kaliaperumal] Sri Manakula Vinayagar Med Coll &amp; Hosp, Dept Dermatol Venereol &amp; Leprosy, Pondicherry, India; [Rajaa, Sathish] ESIC Med Coll &amp; Hosp, Dept Community Med, Chennai, Tamil Nadu, India</t>
  </si>
  <si>
    <t>SRM Institute of Science &amp; Technology Chennai</t>
  </si>
  <si>
    <t>A Comparative Analysis of the Performance of Large Language Models and Human Respondents in Dermatology</t>
  </si>
  <si>
    <t>INDIAN DERMATOLOGY ONLINE JOURNAL</t>
  </si>
  <si>
    <t>Artificial Intelligence; ChatGPT; Bing Chat; Large Language Models; LLM</t>
  </si>
  <si>
    <t>Palaniraja, Sathishrajaa/MDT-0280-2025; Murthy, Aravind Baskar/JEF-8217-2023; Radhakrishnan, Suganya/OXC-5522-2025; palaniappan, vijayasankar/NPJ-0490-2025</t>
  </si>
  <si>
    <t>Palaniraja, Sathishrajaa/0000-0002-6103-420X; Şanal Çamur, İstem/0000-0002-3895-506X</t>
  </si>
  <si>
    <t>WOLTERS KLUWER MEDKNOW PUBLICATIONS</t>
  </si>
  <si>
    <t>MUMBAI</t>
  </si>
  <si>
    <t>WOLTERS KLUWER INDIA PVT LTD , A-202, 2ND FLR, QUBE, C T S NO 1498A-2 VILLAGE MAROL, ANDHERI EAST, MUMBAI, Maharashtra, INDIA</t>
  </si>
  <si>
    <t>2229-5178</t>
  </si>
  <si>
    <t>2249-5673</t>
  </si>
  <si>
    <t>INDIAN DERMATOL ONL</t>
  </si>
  <si>
    <t>Indian Dermatol. Online J.</t>
  </si>
  <si>
    <t>MAR-APR 2025</t>
  </si>
  <si>
    <t>247</t>
  </si>
  <si>
    <t>10.4103/idoj.idoj_221_24</t>
  </si>
  <si>
    <t>http://dx.doi.org/10.4103/idoj.idoj_221_24</t>
  </si>
  <si>
    <t>Dermatology</t>
  </si>
  <si>
    <t>Y6W8P</t>
  </si>
  <si>
    <t>40125046</t>
  </si>
  <si>
    <t>WOS:001433509600014</t>
  </si>
  <si>
    <t>Chen, RJ; Wu, MS; Tsai, LW; Chang, SS; Hsiao, STS; Lo, YS</t>
  </si>
  <si>
    <t>Background: The global nursing shortage, exacerbated by heavy workloads and high turnover rates associated with the COVID-19 pandemic, continues to undermine care quality and nurse well-being. Although digital health technologies have enhanced coordination, improved communication, and reduced clinical errors in nursing practice, they have also increased nurses' documentation burden. Advances in large language models (LLMs) and other generative artificial intelligence (GenAI) tools facilitate the generation of accurate reports from electronic medical records (EMRs), thereby streamlining documentation workflows, saving time, and reducing nurses' workloads. Accordingly, integrating LLMs into electronic nursing documentation systems warrants further exploration. Objective: This study examines the integration of an LLM into an in-house nursing information system (NIS) implemented across 3 hospitals in Taiwan to reduce the time and effort required for nursing handover documentation and to preliminarily assess the operational and economic implications of GenAI-assisted workflows. Methods: A multidisciplinary team of nursing specialists and information technology experts at Taipei Medical University (TMU) restructured the organization's existing nursing handover documentation process to facilitate interaction with the LLM. The team also developed prompt-based interfaces to automatically generate section-specific content for the nursing handover document. The LLM-integrated NIS was subsequently deployed across 3 hospitals in Taiwan: Taipei Medical University Hospital (TMUH), Wan Fang Hospital (WFH), and Shuang Ho Hospital (SHH). Wethen extracted and analyzed NIS log data to compare documentation times before and after LLM implementation, thereby quantifying time savings. Results: Integration of the LLM into nursing handover documentation was associated with shorter per-patient documentation time in routine clinical use across TMUH, WFH, and SHH. Based on preintegration NIS logs (September 2024), the average handover document completion time per patient ranged from 3.45 (SD 3.82) to 4.32 (SD 4.48) minutes across hospitals and shifts, providing a preliminary baseline for subsequent comparisons. In postintegration NIS logs (October-December 2024), the overall handover document completion time per patient (mean) was substantially lower, ranging from 1.17 (SD 1.86) to 2.54 (SD 2.82) minutes across hospitalsand shifts. Using monthly patient volumeto estimatetime savings, 113-273, 160-314, and 198-391 hours were saved per month at TMUH, WFH, and SHH, respectively, corresponding to aggregate savings of 474-981 hours per month across hospitals during the study period. Conclusions:We integrated an LLM into an NIS to generate nursing handover documents without altering existing workflows. Across 3hospitals within TMU's healthsystem, GenAI assistance wasassociated with shorter documentation time and a positive net labor value from October to December 2024. Prompts were constrained, and nurse verification was required to mitigate hallucinations. Future work will enhance logging to capture reliability and editing metrics, compare LLM-generated drafts with nurse-finalized notes to inform prompt refinement, and assess generalizability to other documentation workflows.</t>
  </si>
  <si>
    <t>Chen, Ray-Jade; Wu, Mai-Szu; Tsai, Lung-Wen; Chang, Shy-Shin; Hsiao, Shu-Tai Shen; Lo, Yu-Sheng</t>
  </si>
  <si>
    <t>Lo, YS (corresponding author), Taipei Med Univ, Coll Med Sci &amp; Technol, Grad Inst Biomed Informat, 301 Yuantong Rd, New Taipei City 235, Taiwan.</t>
  </si>
  <si>
    <t>Loyusen@tmu.edu.tw</t>
  </si>
  <si>
    <t>TMU in Taiwan [TMU 109-5400-025-400]</t>
  </si>
  <si>
    <t>TMU in Taiwan</t>
  </si>
  <si>
    <t>We thank all the nursing staff of TMU Health for their support. This research was supported by TMU in Taiwan (grant TMU 109-5400-025-400) . OpenAI's ChatGPT (GPT-5.2) was used solely for grammar and spelling checks. All edits were reviewed by the authors, and no patient-identifiable data were entered into the tool.</t>
  </si>
  <si>
    <t>[Chen, Ray-Jade] Taipei Med Univ, Coll Med, Sch Med, Dept Surg, Taipei, Taiwan; [Chen, Ray-Jade] Taipei Med Univ, Coll Med, Profess Master Program Artificial Intelligence Med, Taipei, Taiwan; [Chen, Ray-Jade] Taipei Med Univ Hosp, Dept Surg, Div Pediat Surg, Taipei, Taiwan; [Wu, Mai-Szu] Taipei Med Univ, Coll Med, Sch Med, Dept Internal Med, Taipei, Taiwan; [Wu, Mai-Szu] Shuang Ho Hosp, Dept Internal Med, Div Nephrol, New Taipei City, Taiwan; [Wu, Mai-Szu] Taipei Med Univ, Res Ctr Urol &amp; Kidney TMU RCUK, Taipei, Taiwan; [Tsai, Lung-Wen] Taipei Med Univ, Grad Inst Data Sci, Coll Management, New Taipei City, Taiwan; [Tsai, Lung-Wen] Taipei Med Univ Hosp, Dept Informat Technol Off, Taipei, Taiwan; [Tsai, Lung-Wen] Taipei Med Univ Hosp, Dept Med Res, Taipei, Taiwan; [Chang, Shy-Shin] Taipei Med Univ, Coll Med, Sch Med, Dept Family Med, Taipei, Taiwan; [Chang, Shy-Shin] Taipei Med Univ Hosp, Dept Family Med, Taipei, Taiwan; [Hsiao, Shu-Tai Shen] Taipei Med Univ Hosp, Off Superintendent, Taipei, Taiwan; [Hsiao, Shu-Tai Shen] Taipei Med Univ, Sch Nursing, Taipei, Taiwan; [Lo, Yu-Sheng] Taipei Med Univ, Coll Med Sci &amp; Technol, Grad Inst Biomed Informat, 301 Yuantong Rd, New Taipei City 235, Taiwan; [Lo, Yu-Sheng] Taipei Med Univ, Ctr Digital Innovat &amp; Dev, New Taipei City, Taiwan</t>
  </si>
  <si>
    <t>Taipei Medical University; Taipei Medical University; Taipei Medical University; Taipei Medical University Hospital; Taipei Medical University; Shuang Ho Hospital; Taipei Medical University; Shuang Ho Hospital; Taipei Medical University; Taipei Medical University; Taipei Medical University; Taipei Medical University Hospital; Taipei Medical University; Taipei Medical University Hospital; Taipei Medical University; Taipei Medical University Hospital; Taipei Medical University; Taipei Medical University Hospital; Taipei Medical University Hospital; Taipei Medical University; Taipei Medical University; Taipei Medical University; Taipei Medical University</t>
  </si>
  <si>
    <t>Integrating a Large Language Model to Streamline Nursing Handover Documentation Across Multiple Hospitals in Taiwan: Development and Implementation Study</t>
  </si>
  <si>
    <t>nursing shortage; large language model; generative artificial intelligence; artificial intelligence; nursing information system; electronic medical records</t>
  </si>
  <si>
    <t>CARE; IMPACT; TIME</t>
  </si>
  <si>
    <t>Wu, Mai-Szu/0000-0002-5110-0568</t>
  </si>
  <si>
    <t>MAR 12 2026</t>
  </si>
  <si>
    <t>e81604</t>
  </si>
  <si>
    <t>10.2196/81604</t>
  </si>
  <si>
    <t>http://dx.doi.org/10.2196/81604</t>
  </si>
  <si>
    <t>FI7YT</t>
  </si>
  <si>
    <t>41819121</t>
  </si>
  <si>
    <t>WOS:001719749000001</t>
  </si>
  <si>
    <t>Zhang, LH; Huai, PP; Xu, R; Sun, JJ; Jin, RH; Lv, HM</t>
  </si>
  <si>
    <t>Background: Chronic diseases account for nearly three-quarters of global deaths and demand continuous, personalized long-term management; yet traditional care models often fall short in delivering such sustained support. Large language models, with advanced conversational and analytical capabilities, present promising opportunities to address the problem by offering scalable, interactive support. However, a comprehensive synthesis of evidence across diverse study designs, which moves beyond isolated technical metrics to evaluate large language models through a structured, theory-driven lens, remains limited. Objective: This study aimed to synthesize quantitative, qualitative, and mixed methods evidence on technical performance, application scenarios, and documented challenges of large language models in chronic disease care, and to critically evaluate these findings through a theory-driven, 3D framework informed by Orem's Self-Care Theory. Methods: The mixed methods systematic review adhered to the PRISMA (Preferred Reporting Items for Systematic Reviews and Meta-Analyses) 2020 and SWiM (Synthesis Without Meta-Analysis) guidelines. A comprehensive computer-based search was conducted across PubMed, Web of Science, Embase, Cochrane Library, CINAHL, Wiley Online Library, SpringerLink, ScienceDirect, China National Knowledge Infrastructure, Wanfang Data, VIP Database, and the China Biology Medicine Disc from inception to April 2026. Two independent researchers performed study screening, data extraction, and quality appraisal using the Mixed Methods Appraisal Tool 2018. Given significant clinical and methodological heterogeneity across the included studies, a quantitative meta-analysis was not appropriate; instead, thematic synthesis was used following Thomas and Harden's 3-step approach, with NVivo 14 (Lumivero) used for line-by-line coding and theme development, all informed by Orem's 3D framework. Results: A total of 20 studies were included, all rated as moderate or high quality. The thematic synthesis revealed three core themes aligned with the proposed framework: (1) foundational safety, privacy, and fairness (hallucination risks and data concerns); (2) self-care enablement through perceived usefulness (patient education, decision support, and self-management); and (3) design and system integration challenges (readability mismatches and workflow gaps). Patient education and clinical decision support were the most common application scenarios. Key technical enhancements (retrieval-augmented generation [RAG] and fine-tuning) primarily strengthened the second theme, while barriers such as content readability, hallucination risks, and ethical ambiguities limited real-world readiness. Conclusions: This review is the first to integrate Orem's Self-Care Theory into a 3D evaluative framework for large language models in chronic care, thereby moving beyond fragmented, technology-centric assessments toward a structured, nursing-informed, and theory-driven synthesis. Unlike prior reviews that primarily focused on isolated technical metrics or broad feasibility, this synthesis provides a layered, discipline-grounded evaluation distinguishing foundational safety, self-care enablement, and system integration. These findings show evidence mainly supports the intermediate layer, while safeguards and operational integration remain deficient, guiding nursing research toward safety assurances, health-literacy-adaptive design, and implementation science for equitable, patient-centered care.</t>
  </si>
  <si>
    <t>Zhang, Linghui; Huai, Panpan; Xu, Rui; Sun, Jingjing; Jin, Ruihua; Lv, Huimei</t>
  </si>
  <si>
    <t>Lv, HM (corresponding author), Shanxi Med Univ, Clin Coll 5, 29 Shuangta Temple St, Taiyuan 030012, Shanxi, Peoples R China.</t>
  </si>
  <si>
    <t>2823704581@qq.com</t>
  </si>
  <si>
    <t>[Zhang, Linghui; Huai, Panpan; Xu, Rui; Sun, Jingjing; Jin, Ruihua] Shanxi Med Univ, Taiyuan, Shanxi, Peoples R China; [Lv, Huimei] Shanxi Med Univ, Clin Coll 5, 29 Shuangta Temple St, Taiyuan 030012, Shanxi, Peoples R China</t>
  </si>
  <si>
    <t>Shanxi Medical University</t>
  </si>
  <si>
    <t>Application of Large Language Models in Chronic Disease Care: Mixed Methods Systematic Review and Thematic Synthesis</t>
  </si>
  <si>
    <t>large language models; chronic disease care; mixed methods systematic review; thematic synthesis; Orem's Self-Care Theory</t>
  </si>
  <si>
    <t>ARTIFICIAL-INTELLIGENCE; HEALTH-CARE; SELF-CARE</t>
  </si>
  <si>
    <t>Xu, Rui/0009-0000-0549-6613</t>
  </si>
  <si>
    <t>AUG 11 2026</t>
  </si>
  <si>
    <t>e90744</t>
  </si>
  <si>
    <t>10.2196/90744</t>
  </si>
  <si>
    <t>http://dx.doi.org/10.2196/90744</t>
  </si>
  <si>
    <t>MS1GG</t>
  </si>
  <si>
    <t>42579870</t>
  </si>
  <si>
    <t>WOS:001849562900004</t>
  </si>
  <si>
    <t>Butler, JJ; Puleo, J; Harrington, MC; Dahmen, J; Rosenbaum, AJ; Kerkhoffs, GMMJ; Kennedy, JG</t>
  </si>
  <si>
    <t>Purpose: The purpose of this study was to evaluate the effectiveness of an Artificial Intelligence-Large Language Model (AI-LLM) at improving the readability of knee radiology reports. Methods: Reports of 100 knee X-rays, 100 knee computed tomography (CT) scans and 100 knee magnetic resonance imaging (MRI) scans were retrieved. The following prompt command was inserted into the AI-LLM: 'Explain this radiology report to a patient in layman's terms in the second person:[Report Text]'. The Flesch-Kincaid reading level (FKRL) score, Flesch reading ease (FRE) score and report length were calculated for the original radiology report and the AI-LLM generated report. Any 'hallucination' or inaccurate text produced by the AI-LLM-generated report was documented. Results: Statistically significant improvements in mean FKRL scores in the AI-LLM generated X-ray report (12.7 +/- 1.0-7.2 +/- 0.6), CT report (13.4 +/- 1.0-7.5 +/- 0.5) and MRI report (13.5 +/-; 0.9-7.5 +/- 0.6) were observed. Statistically significant improvements in mean FRE scores in the AI-LLM generated X-ray report (39.5 +/- 7.5-76.8 +/- 5.1), CT report (27.3 +/- 5.9-73.1 +/- 5.6) and MRI report (26.8 +/- 6.4-73.4 +/- 5.0) were observed. Superior FKRL scores and FRE scores were observed in the AI-LLM-generated X-ray report compared to the AI-LLM-generated CT report and MRI report, p &lt; 0.001. The hallucination rates in the AI-LLM generated X-ray report, CT report and MRI report were 2%, 5% and 5%, respectively. Conclusions: This study highlights the promising use of AI-LLMs as an innovative, patient-centred strategy to improve the readability of knee radiology reports. The clinical relevance of this study is that an AI-LLM-generated knee radiology report may enhance patients' understanding of their imaging reports, potentially reducing the responder burden placed on the ordering physicians. However, due to the 'hallucinations' produced by the AI-LLM-generated report, the ordering physician must always engage in a collaborative discussion with the patient regarding both reports and the corresponding images. Level of Evidence: Level IV.</t>
  </si>
  <si>
    <t>Butler, James J.; Puleo, James; Harrington, Michael C.; Dahmen, Jari; Rosenbaum, Andrew J.; Kerkhoffs, Gino M. M. J.; Kennedy, John G.</t>
  </si>
  <si>
    <t>Kennedy, JG (corresponding author), NYU Langone Hlth, Dept Orthopaed Surg, Foot &amp; Ankle Div, New York, NY 10016 USA.</t>
  </si>
  <si>
    <t>john.kennedy@nyulangone.org</t>
  </si>
  <si>
    <t>The authors have no funding to report.</t>
  </si>
  <si>
    <t>[Butler, James J.; Kennedy, John G.] NYU Langone Hlth, Dept Orthopaed Surg, Foot &amp; Ankle Div, New York, NY 10016 USA; [Puleo, James; Harrington, Michael C.; Rosenbaum, Andrew J.] Albany Med Ctr, Albany, NY USA; [Dahmen, Jari; Kerkhoffs, Gino M. M. J.] Univ Amsterdam, Dept Orthopaed Surg &amp; Sports Med, Amsterdam Movement Sci, Locat AMC,Amsterdam UMC, Amsterdam, Netherlands; [Dahmen, Jari; Kerkhoffs, Gino M. M. J.] Amsterdam UMC, Acad Ctr Evidence Based Sports Med, Amsterdam, Netherlands; [Dahmen, Jari; Kerkhoffs, Gino M. M. J.] Amsterdam UMC, Int Olymp Comm Res Ctr, Amsterdam Collaborat Hlth &amp; Safety Sports, Amsterdam, Netherlands</t>
  </si>
  <si>
    <t>NYU Langone Medical Center; Albany Medical College; University of Amsterdam; Vrije Universiteit Amsterdam; University of Amsterdam; University of Amsterdam</t>
  </si>
  <si>
    <t>From technical to understandable: Artificial Intelligence Large Language Models improve the readability of knee radiology reports</t>
  </si>
  <si>
    <t>KNEE SURGERY SPORTS TRAUMATOLOGY ARTHROSCOPY</t>
  </si>
  <si>
    <t>artificial intelligence; large language models; radiology reports</t>
  </si>
  <si>
    <t>Dahmen, Jari/AAE-7443-2020; Butler, James/LBG-9361-2024</t>
  </si>
  <si>
    <t>0942-2056</t>
  </si>
  <si>
    <t>1433-7347</t>
  </si>
  <si>
    <t>KNEE SURG SPORT TR A</t>
  </si>
  <si>
    <t>Knee Surg. Sports Traumatol. Arthrosc.</t>
  </si>
  <si>
    <t>MAY 2024</t>
  </si>
  <si>
    <t>1077</t>
  </si>
  <si>
    <t>1086</t>
  </si>
  <si>
    <t>10.1002/ksa.12133</t>
  </si>
  <si>
    <t>http://dx.doi.org/10.1002/ksa.12133</t>
  </si>
  <si>
    <t>Orthopedics; Sport Sciences; Surgery</t>
  </si>
  <si>
    <t>OJ6B4</t>
  </si>
  <si>
    <t>38488217</t>
  </si>
  <si>
    <t>WOS:001185448900001</t>
  </si>
  <si>
    <t>Imran, M; Lee, YG</t>
  </si>
  <si>
    <t>Medical diagnosis requires synthesizing radiological images, laboratory results, clinical notes, and patient history-capabilities increasingly supported by multimodal vision-language models (VLMs). Yet despite rapid advances, no general-purpose medical VLM has achieved routine clinical deployment. Existing surveys typically examine retrieval-augmented generation (RAG), interpretability, and trustworthiness in isolation, leaving unclear how these components jointly determine real-world clinical readiness. This survey analyzes 183 studies and evaluates three pillars essential for deployment: 1) factual accuracy enabled by RAG, which grounds model outputs in clinically verified evidence; 2) interpretability aligned with clinician reasoning, ensuring explanations that support diagnostic decision-making; and 3) trustworthy operation encompassing safety, fairness, uncertainty handling, workflow integration, and regulatory alignment. We show that benchmark gains alone are insufficient, as current VLMs still face persistent challenges in multimodal alignment, temporal reasoning, retrieval latency and scalability, explanation fidelity, and regulatory and cost-effectiveness constraints. Our contributions include a deployment-oriented taxonomy of medical VLM architectures; a comparative analysis of RAG designs and their clinical implications; an evaluation of interpretability methods grounded in clinical workflows; and an integrated framework for trust, uncertainty reporting, and regulatory pathways. We also curate models, datasets, and benchmarks that support reproducible evaluation and outline a roadmap toward causal, temporally aware, and computationally efficient VLMs suitable for real-world clinical use. To the best of available literature, no prior survey has jointly analyzed retrieval, interpretability, and trust within a unified framework for evaluating the clinical viability of medical VLMs.</t>
  </si>
  <si>
    <t>Imran, Muhammad; Lee, Yugyung</t>
  </si>
  <si>
    <t>Lee, YG (corresponding author), Univ Missouri Kansas City UMKC, Dept Comp Sci, Kansas City, MO 64110 USA.</t>
  </si>
  <si>
    <t>leeyu@umkc.edu</t>
  </si>
  <si>
    <t>[Imran, Muhammad; Lee, Yugyung] Univ Missouri Kansas City UMKC, Dept Comp Sci, Kansas City, MO 64110 USA</t>
  </si>
  <si>
    <t>University of Missouri System; University of Missouri Kansas City</t>
  </si>
  <si>
    <t>Multimodal Vision-Language Models in Medical Imaging: A Survey of Retrieval, Interpretability, and Trust</t>
  </si>
  <si>
    <t>Retrieval augmented generation; Surveys; Medical diagnostic imaging; Cognition; Computational modeling; Accuracy; Visualization; Uncertainty; Taxonomy; Solid modeling; Medical imaging; vision-language models (VLMs); retrieval-augmented generation (RAG); interpretability; uncertainty quantification; trustworthiness; clinical decision support; regulatory</t>
  </si>
  <si>
    <t>ARTIFICIAL-INTELLIGENCE; HEALTH-CARE; SYSTEMS</t>
  </si>
  <si>
    <t>Imran, Muhammad/AAS-9984-2021</t>
  </si>
  <si>
    <t>183</t>
  </si>
  <si>
    <t>19511</t>
  </si>
  <si>
    <t>19535</t>
  </si>
  <si>
    <t>10.1109/ACCESS.2026.3656368</t>
  </si>
  <si>
    <t>http://dx.doi.org/10.1109/ACCESS.2026.3656368</t>
  </si>
  <si>
    <t>DN1VX</t>
  </si>
  <si>
    <t>WOS:001687406600031</t>
  </si>
  <si>
    <t>Liu, LS; Ma, K; Wang, YS</t>
  </si>
  <si>
    <t>Background Large language models (LLMs) have shown promise in medical education and assessment, but their performance on highly specialized, context-specific exams remains under-explored. This study aimed to evaluate the accuracy of five advanced LLMs - Qwen3, DeepSeek-R1-0528, ChatGPT o3-pro, Gemini 2.5 pro, and Claude 4.0 - in answering oral and maxillofacial surgery multiple-choice questions, and compare their performance. Methods A total of 110 oral and maxillofacial surgery questions were collected from the 2013-2024 Chinese National Medical Licensing Examination (CNMLE), including 80 specialized knowledge questions and 30 case analysis questions. All questions were presented in Chinese to each LLM, and the correctness of each model's first answer was recorded. We also attempted to verify the authenticity of any references provided in the models' answers. Performance differences among models were analyzed with a significance level of P &lt; 0.05. Results All models achieved higher accuracy on knowledge-based questions than on case analysis questions. Qwen3 and DeepSeek showed no significant within-model accuracy difference between question types, whereas ChatGPT, Gemini, and Claude had significantly lower accuracy on case-based questions (P &lt; 0.05). Across questions on tooth extraction, maxillofacial trauma/infection, and maxillofacial tumors, the models performed well (overall accuracy 87.3%-95.5%) with no significant inter-model differences. Qwen3 achieved the highest overall accuracy (95.5%), followed by DeepSeek (94.5%), ChatGPT (89.1%), and Gemini and Claude (87.3% each). However, 37.7%-43.9% of the references provided by the models were not verifiable, with no significant difference among the models. Conclusion LLMs demonstrated high accuracy on oral and maxillofacial surgery exam questions, indicating great potential as assistive tools in medical education and examinations. Nevertheless, their performance in complex case reasoning is notably lower and a substantial portion of their cited references are spurious. These findings highlight the need for further improvements in LLMs' clinical reasoning capabilities and for reducing reference hallucinations before they can be reliably used in unsupervised clinical decision-making.</t>
  </si>
  <si>
    <t>Liu, Lisi; Ma, Ke; Wang, Yansong</t>
  </si>
  <si>
    <t>Wang, YS (corresponding author), Guangzhou Univ Chinese Med, Shenzhen Hosp Futian, Dept Stomatol, Shenzhen, Guangdong, Peoples R China.</t>
  </si>
  <si>
    <t>luxinpeng@gmail.com</t>
  </si>
  <si>
    <t>[Liu, Lisi; Ma, Ke; Wang, Yansong] Guangzhou Univ Chinese Med, Shenzhen Hosp Futian, Dept Stomatol, Shenzhen, Guangdong, Peoples R China</t>
  </si>
  <si>
    <t>Guangzhou University of Chinese Medicine</t>
  </si>
  <si>
    <t>Performance of five large language models in oral and maxillofacial surgery exam questions: a comparative study</t>
  </si>
  <si>
    <t>Large language models; Artificial intelligence; Medical licensing examination</t>
  </si>
  <si>
    <t>MAR 6 2026</t>
  </si>
  <si>
    <t>660</t>
  </si>
  <si>
    <t>10.1186/s12903-026-08041-y</t>
  </si>
  <si>
    <t>http://dx.doi.org/10.1186/s12903-026-08041-y</t>
  </si>
  <si>
    <t>GN2BB</t>
  </si>
  <si>
    <t>41792703</t>
  </si>
  <si>
    <t>WOS:001740391400004</t>
  </si>
  <si>
    <t>Sridharan, K; Sivaramakrishnan, G</t>
  </si>
  <si>
    <t>Background: Medication review and reconciliation is essential for optimizing drug therapy and minimizing medication errors. Large language models (LLMs) have been recently shown to possess a lot of potential applications in healthcare field due to their abilities of deductive, abductive, and logical reasoning. The present study assessed the abilities of LLMs in medication review and medication reconciliation processes. Methods: Four LLMs were prompted with appropriate queries related to dosing regimen errors, drug-drug interactions, therapeutic drug monitoring, and genomics-based decision-making process. The veracity of the LLM outputs were verified from validated sources using pre-validated criteria (accuracy, relevancy, risk management, hallucination mitigation, and citations and guidelines). The impacts of the erroneous responses on the patients' safety were categorized either as major or minor. Results: In the assessment of four LLMs regarding dosing regimen errors, drug-drug interactions, and suggestions for dosing regimen adjustments based on therapeutic drug monitoring and genomics-based individualization of drug therapy, responses were generally consistent across prompts with no clear pattern in response quality among the LLMs. For identification of dosage regimen errors, ChatGPT performed well overall, except for the query related to simvastatin. In terms of potential drug-drug interactions, all LLMs recognized interactions with warfarin but missed the interaction between metoprolol and verapamil. Regarding dosage modifications based on therapeutic drug monitoring, Claude-Instant provided appropriate suggestions for two scenarios and nearly appropriate suggestions for the other two. Similarly, for genomics-based decision-making, Claude-Instant offered satisfactory responses for four scenarios, followed by Gemini for three. Notably, Gemini stood out by providing references to guidelines or citations even without prompting, demonstrating a commitment to accuracy and reliability in its responses. Minor impacts were noted in identifying appropriate dosing regimens and therapeutic drug monitoring, while major impacts were found in identifying drug interactions and making pharmacogenomic-based therapeutic decisions. Conclusion: Advanced LLMs hold significant promise in revolutionizing the medication review and reconciliation process in healthcare. Diverse impacts on patient safety were observed. Integrating and validating LLMs within electronic health records and prescription systems is essential to harness their full potential and enhance patient safety and care quality.</t>
  </si>
  <si>
    <t>Sridharan, Kannan; Sivaramakrishnan, Gowri</t>
  </si>
  <si>
    <t>Sridharan, K (corresponding author), Arabian Gulf Univ, Coll Med &amp; Med Sci, Dept Pharmacol &amp; Therapeut, Manama, Bahrain.</t>
  </si>
  <si>
    <t>skannandr@gmail.com</t>
  </si>
  <si>
    <t>[Sridharan, Kannan] Arabian Gulf Univ, Coll Med &amp; Med Sci, Dept Pharmacol &amp; Therapeut, Manama, Bahrain; [Sivaramakrishnan, Gowri] Primary Hlth Care Ctr, Special Dent Residency Program, Manama, Bahrain</t>
  </si>
  <si>
    <t>Arabian Gulf University</t>
  </si>
  <si>
    <t>Unlocking the potential of advanced large language models in medication review and reconciliation: A proof-of-concept investigation</t>
  </si>
  <si>
    <t>EXPLORATORY RESEARCH IN CLINICAL AND SOCIAL PHARMACY</t>
  </si>
  <si>
    <t>Artificial intelligence; ChatGPT; Gemini; Claude-instant; Llama; Pharmacy</t>
  </si>
  <si>
    <t>SERVICE; CARE</t>
  </si>
  <si>
    <t>Sridharan, Kannan/S-9300-2019; Sivaramakrishnan, Gowri/LHA-4016-2024</t>
  </si>
  <si>
    <t>Sivaramakrishnan, Gowri/0000-0002-5877-205X</t>
  </si>
  <si>
    <t>2667-2766</t>
  </si>
  <si>
    <t>EXPLOR RES CLIN SOC</t>
  </si>
  <si>
    <t>Explor. Res. Clin. Soc. Pharm.</t>
  </si>
  <si>
    <t>100492</t>
  </si>
  <si>
    <t>10.1016/j.rcsop.2024.100492</t>
  </si>
  <si>
    <t>http://dx.doi.org/10.1016/j.rcsop.2024.100492</t>
  </si>
  <si>
    <t>AUG 2024</t>
  </si>
  <si>
    <t>Pharmacology &amp; Pharmacy</t>
  </si>
  <si>
    <t>E2Z7X</t>
  </si>
  <si>
    <t>39257533</t>
  </si>
  <si>
    <t>WOS:001301740600001</t>
  </si>
  <si>
    <t>Pu, FL; Hong, JS; Wei, XY; Chen, YL</t>
  </si>
  <si>
    <t>Background: Although large language models (LLMs) show potential for patient education, their accuracy, usability, and comprehensibility lack validation in high-risk pediatric anesthesia. Rigorous evaluation is therefore essential prior to widespread clinical use in perioperative parental anesthesia education. Objective: This study aims to evaluate the accuracy, reliability, and readability of responses generated by 5 LLMs to parental inquiries regarding pediatric anesthesia, and to assess their suitability for clinical use in perioperative caregiver education. Methods: Two expert anesthesiologists identified 33 parental questions on pediatric anesthesia by screening authoritative resources and Google Trends. On December 14, 2025, these questions were submitted to 5 LLMs (DeepSeek-V3.2, ChatGPT-5, Gemini 2.5 Flash, Copilot, and Perplexity) via official web interfaces with default settings and zero-shot prompting, with each query in a separate conversation. Responses were standardized for blinded assessment. Two pediatric anesthesiologists with &gt;= 10 years of clinical experience independently evaluated accuracy and reliability using the 4-point Likert accuracy scale, DISCERN, Ensuring Quality Information for Patients (EQIP), Journal of the American Medical Association (JAMA) benchmark, and Global Quality Score (GQS). After text preprocessing, readability was evaluated using 6 algorithms (Automated Readability Index [ARI], Flesch Reading Ease Score [FRES], Gunning Fog Index [GFI], Flesch-Kincaid Grade Level [FKGL], Coleman-Liau Index [CL], and the Simple Measure of Gobbledygook [SMOG]) via an online calculator. Interrater reliability was analyzed using the intraclass correlation coefficient (ICC); differences across models were assessed with the Kruskal-Wallis H test; and deviations from the sixth-grade benchmark were evaluated using 1-sample Wilcoxon signed-rank tests (P&lt;.05 considered significant). Results: All 5 LLMs demonstrated high clinical accuracy (&gt;90%; P=.12), with Gemini reaching 100%. Nevertheless, safety risks and content hallucinations were still observed. Excluding Gemini and Copilot, the remaining 3 models (ChatGPT, DeepSeek, and Perplexity) each produced unsafe content in 3.03% (n=1) of the 33 queries. Hallucinations were detected in all models except Gemini, with DeepSeek and Perplexity showing the highest hallucination rate (3/33, 9.09%). Furthermore, Perplexity showed superior reliability on DISCERN (median 41; P&lt;.05), yet no model achieved a "good" rating. Gemini achieved the highest EQIP (median 66.67%; P&lt;.05) despite lower GQS (median 3). Transparency was universally poor (JAMA median &lt;= 1), with DeepSeek and ChatGPT showing a "floor effect." ChatGPT had superior readability, but all models exceeded the recommended 6-grade complexity level. Conclusions: In this study, 5 LLMs generally provided clinically accurate information when responding to parental questions about pediatric anesthesia. However, limitations were also identified, including hallucinated content, safety-related deficiencies, limited source transparency, and readability levels exceeding recommended standards. Therefore, LLM-generated information should be interpreted with caution and should not replace clinician guidance.</t>
  </si>
  <si>
    <t>Pu, Fulin; Hong, Jishuang; Wei, Xiaoying; Chen, Yanling</t>
  </si>
  <si>
    <t>Chen, YL (corresponding author), Sun Yat Sen Univ, Hosp Stomatol, Guanghua Sch Stomatol, Dept Anesthesiol, 56 Lingyuan West Rd, Guangzhou 510055, Guangdong, Peoples R China.</t>
  </si>
  <si>
    <t>chenyling33@mail.sysu.edu.cn</t>
  </si>
  <si>
    <t>[Pu, Fulin; Hong, Jishuang; Chen, Yanling] Sun Yat Sen Univ, Hosp Stomatol, Guanghua Sch Stomatol, Dept Anesthesiol, 56 Lingyuan West Rd, Guangzhou 510055, Guangdong, Peoples R China; [Wei, Xiaoying] Sun Yat Sen Univ, Affiliated Hosp 3, Nursing Dept, Guangzhou, Guangdong, Peoples R China</t>
  </si>
  <si>
    <t>Sun Yat Sen University; Sun Yat Sen University</t>
  </si>
  <si>
    <t>Evaluation of Five Large Language Models for Parental Education in Pediatric Anesthesia: Reliability and Readability Study</t>
  </si>
  <si>
    <t>pediatric anesthesia; large language model; patient education; reliability; readability; accuracy</t>
  </si>
  <si>
    <t>INFORMATION; QUALITY; INSTRUMENT; GUIDELINE; INTERNET</t>
  </si>
  <si>
    <t>e93054</t>
  </si>
  <si>
    <t>10.2196/93054</t>
  </si>
  <si>
    <t>http://dx.doi.org/10.2196/93054</t>
  </si>
  <si>
    <t>KJ6KQ</t>
  </si>
  <si>
    <t>42314147</t>
  </si>
  <si>
    <t>WOS:001808527100002</t>
  </si>
  <si>
    <t>Xu, J; Lu, L; Peng, XW; Pang, JL; Ding, JR; Yang, LR; Song, H; Li, K; Sun, X; Zhang, ST</t>
  </si>
  <si>
    <t>Background: Large language models (LLMs) have achieved great progress in natural language processing tasks and demonstrated the potential for use in clinical applications. Despite their capabilities, LLMs in the medical domain are prone to generating hallucinations (not fully reliable responses). Hallucinations in LLMs' responses create substantial risks, potentially threatening patients' physical safety. Thus, to perceive and prevent this safety risk, it is essential to evaluate LLMs in the medical domain and build a systematic evaluation. Objective: We developed a comprehensive evaluation system, MedGPTEval, composed of criteria, medical data sets in Chinese, and publicly available benchmarks. Methods: First, a set of evaluation criteria was designed based on a comprehensive literature review. Second, existing candidate criteria were optimized by using a Delphi method with 5 experts in medicine and engineering. Third, 3 clinical experts designed medical data sets to interact with LLMs. Finally, benchmarking experiments were conducted on the data sets. The responses generated by chatbots based on LLMs were recorded for blind evaluations by 5 licensed medical experts. The evaluation criteria that were obtained covered medical professional capabilities, social comprehensive capabilities, contextual capabilities, and computational robustness, with 16 detailed indicators. The medical data sets include 27 medical dialogues and 7 case reports in Chinese. Three chatbots were evaluated: ChatGPT by OpenAI; ERNIE Bot by Baidu, Inc; and Doctor PuJiang (Dr PJ) by Shanghai Artificial Intelligence Laboratory. Results: Dr PJ outperformed ChatGPT and ERNIE Bot in the multiple-turn medical dialogues and case report scenarios. Dr PJ also outperformed ChatGPT in the semantic consistency rate and complete error rate category, indicating better robustness. However, Dr PJ had slightly lower scores in medical professional capabilities compared with ChatGPT in the multiple-turn dialogue scenario. Conclusions: MedGPTEval provides comprehensive criteria to evaluate chatbots by LLMs in the medical domain, opensource data sets, and benchmarks assessing 3 LLMs. Experimental results demonstrate that Dr PJ outperforms ChatGPT and ERNIE Bot in social and professional contexts. Therefore, such an assessment system can be easily adopted by researchers in this community to augment an open-source data set.</t>
  </si>
  <si>
    <t>Xu, Jie; Lu, Lu; Peng, Xinwei; Pang, Jiali; Ding, Jinru; Yang, Lingrui; Song, Huan; Li, Kang; Sun, Xin; Zhang, Shaoting</t>
  </si>
  <si>
    <t>Zhang, ST (corresponding author), West Bank Int Artificial Intelligence Ctr, Shanghai Artificial Intelligence Lab, OpenMedLab, 701 Yunjin Rd, Shanghai 200032, Peoples R China.</t>
  </si>
  <si>
    <t>zhangshaoting@pjlab.org.cn</t>
  </si>
  <si>
    <t>Shanghai Artificial Intelligence Laboratory</t>
  </si>
  <si>
    <t>Acknowledgments This research was supported by the Shanghai Artificial Intelligence Laboratory.</t>
  </si>
  <si>
    <t>[Xu, Jie; Lu, Lu; Peng, Xinwei; Pang, Jiali; Ding, Jinru; Zhang, Shaoting] Shanghai Artificial Intelligence Lab, OpenMedLab, Shanghai, Peoples R China; [Yang, Lingrui; Sun, Xin] Shanghai Jiao Tong Univ, Xinhua Hosp, Clin Res &amp; Innovat Unit, Sch Med, Shanghai, Peoples R China; [Song, Huan; Li, Kang] Sichuan Univ, West China Hosp, West China Biomed Big Data Ctr, Chengdu, Peoples R China; [Song, Huan; Li, Kang] Sichuan Univ, Medx Ctr Informat, Chengdu, Peoples R China</t>
  </si>
  <si>
    <t>Shanghai Artificial Intelligence Laboratory; Shanghai Jiao Tong University; Sichuan University; Sichuan University</t>
  </si>
  <si>
    <t>Data Set and Benchmark (MedGPTEval) to Evaluate Responses From Large Language Models in Medicine: Evaluation Development and Validation</t>
  </si>
  <si>
    <t>ChatGPT; LLM; assessment; data set; benchmark; medicine</t>
  </si>
  <si>
    <t>DELPHI METHOD</t>
  </si>
  <si>
    <t>XU, JIE/GSD-9149-2022; ding, jinru/IZE-4068-2023</t>
  </si>
  <si>
    <t>Peng, Xinwei/0000-0001-9868-0136; Yang, Lingrui/0009-0005-4902-1034; Li, Kang/0000-0002-8136-9816; LU, LU/0000-0002-8834-1947; XU, JIE/0000-0001-9233-4363; ding, jinru/0009-0005-0399-7656; Song, Huan/0000-0003-3845-8079; Pang, Jiali/0000-0001-5757-4804</t>
  </si>
  <si>
    <t>e57674</t>
  </si>
  <si>
    <t>10.2196/57674</t>
  </si>
  <si>
    <t>http://dx.doi.org/10.2196/57674</t>
  </si>
  <si>
    <t>YD3O3</t>
  </si>
  <si>
    <t>38952020</t>
  </si>
  <si>
    <t>WOS:001266511600001</t>
  </si>
  <si>
    <t>Freyer, O; Wiest, IC; Kather, JN; Gilbert, S</t>
  </si>
  <si>
    <t>Among the rapid integration of artificial intelligence in clinical settings, large language models (LLMs), such as Generative Pre-trained Transformer-4, have emerged as multifaceted tools that have potential for health-care delivery, diagnosis, and patient care. However, deployment of LLMs raises substantial regulatory and safety concerns. Due to their high output variability, poor inherent explainability, and the risk of so-called AI hallucinations, LLM-based health-care applications that serve a medical purpose face regulatory challenges for approval as medical devices under US and EU laws, including the recently passed EU Artificial Intelligence Act. Despite unaddressed risks for patients, including misdiagnosis and unverified medical advice, such applications are available on the market. The regulatory ambiguity surrounding these tools creates an urgent need for frameworks that accommodate their unique capabilities and limitations. Alongside the development of these frameworks, existing regulations should be enforced. If regulators fear enforcing the regulations in a market dominated by supply or development by large technology companies, the consequences of layperson harm will force belated action, damaging the potentiality of LLM-based applications for layperson medical advice.</t>
  </si>
  <si>
    <t>Freyer, Oscar; Wiest, Isabella Catharina; Kather, Jakob Nikolas; Gilbert, Stephen</t>
  </si>
  <si>
    <t>Gilbert, S (corresponding author), TUD Dresden Univ Technol, Else Kroner Fresenius Ctr Digital Hlth, D-01307 Dresden, Germany.</t>
  </si>
  <si>
    <t>German Federal Ministry of Education and Research (Bundesministerium fur Bildung und Forschung, BMBF) through the European Union [16KISA100K]</t>
  </si>
  <si>
    <t>German Federal Ministry of Education and Research (Bundesministerium fur Bildung und Forschung, BMBF) through the European Union (Federal Ministry of Education &amp; Research (BMBF))</t>
  </si>
  <si>
    <t>This Viewpoint was supported by the German Federal Ministry of Education and Research (Bundesministerium fur Bildung und Forschung, BMBF) through the European Union-financed NextGenerationEU programme under grant number 16KISA100K, project PATH-Personal Mastery of Health and Wellness Data. During the preparation of this work the authors used DeepL, Grammarly, and ChatGPT to improve grammar, spelling, and readability of the manuscript. After using these tools and services, the authors reviewed and edited the content as needed and take full responsibility for the content of the publication.</t>
  </si>
  <si>
    <t>[Freyer, Oscar; Wiest, Isabella Catharina; Kather, Jakob Nikolas; Gilbert, Stephen] TUD Dresden Univ Technol, Else Kroner Fresenius Ctr Digital Hlth, D-01307 Dresden, Germany; [Kather, Jakob Nikolas] Heidelberg Univ, Med Fac Mannheim, Dept Med, Mannheim, Germany; [Kather, Jakob Nikolas] Univ Hosp Dresden, Dept Med, Dresden, Germany; [Kather, Jakob Nikolas] Univ Hosp Heidelberg, Natl Ctr Tumor Dis, Med Oncol, Heidelberg, Germany</t>
  </si>
  <si>
    <t>Ruprecht Karls University Heidelberg; Technische Universitat Dresden; Carl Gustav Carus University Hospital; National Center for Tumor Diseases; Ruprecht Karls University Heidelberg; National Center for Tumor Diseases; Helmholtz Association; German Cancer Research Center (DKFZ); National Center for Tumor Diseases</t>
  </si>
  <si>
    <t>A future role for health applications of large language models depends on regulators enforcing safety standards</t>
  </si>
  <si>
    <t>LANCET DIGITAL HEALTH</t>
  </si>
  <si>
    <t>Freyer, Oscar/0000-0003-3323-2492; Gilbert, Stephen/0000-0002-1997-1689; Kather, Jakob Nikolas/0000-0002-3730-5348</t>
  </si>
  <si>
    <t>111</t>
  </si>
  <si>
    <t>2589-7500</t>
  </si>
  <si>
    <t>LANCET DIGIT HEALTH</t>
  </si>
  <si>
    <t>Lancet Digit. Health</t>
  </si>
  <si>
    <t>e662</t>
  </si>
  <si>
    <t>e672</t>
  </si>
  <si>
    <t>10.1016/S2589-7500(24)00124-9</t>
  </si>
  <si>
    <t>http://dx.doi.org/10.1016/S2589-7500(24)00124-9</t>
  </si>
  <si>
    <t>Medical Informatics; Medicine, General &amp; Internal</t>
  </si>
  <si>
    <t>Medical Informatics; General &amp; Internal Medicine</t>
  </si>
  <si>
    <t>E1X8Q</t>
  </si>
  <si>
    <t>39179311</t>
  </si>
  <si>
    <t>WOS:001301013500001</t>
  </si>
  <si>
    <t>Aydin, C; Karakas, AB; Ozturk, AM; Govsa, F; Ozer, MA</t>
  </si>
  <si>
    <t>Aim/backgroundLarge language models (LLMs) are increasingly used by patients to obtain medical information. Adolescent idiopathic scoliosis (AIS), a chronic condition requiring long-term monitoring and treatment decisions, generates substantial demand for reliable and understandable patient education. Although LLMs may function as accessible explanatory tools, their suitability for patient-oriented use remains uncertain. This study aimed to perform an expert-led, patient-centered evaluation of two widely accessible LLMs, Claude Sonnet 4.5 and GPT 5.2, focusing on their ability to deliver accurate, clear, and conceptually adequate responses to common AIS-related patient questions.MethodsA cross-sectional comparative design was used with 100 high-frequency patient questions covering ten clinical domains. Responses generated by both models using standardized zero-shot prompts were independently assessed by expert clinicians: factual accuracy by three raters (two orthopedic spine surgeons and one senior pediatric physiotherapist), and clarity and conceptual coverage by two raters (one surgeon and the physiotherapist). A structured evaluation framework examined three dichotomous dimensions relevant to patient education: factual accuracy, clarity and understandability, and conceptual coverage. Model performances were compared using McNemar's test, and inter-model agreement was assessed with Krippendorff's alpha.ResultsBoth models demonstrated equally high factual accuracy (91%). However, clarity was limited, with only one-third of responses rated as sufficiently understandable. A significant difference was observed in conceptual coverage, with Claude Sonnet 4.5 outperforming GPT 5.2 (46% vs. 29%, p = 0.012), particularly in domains requiring integrative explanations.ConclusionDespite strong factual accuracy, current LLMs show deficiencies in clarity and conceptual depth, limiting their reliability as standalone patient education tools for AIS. These findings highlight the necessity of clinician mediation and the importance of patient-centered evaluation criteria before clinical adoption.Clinical trial registrationAs this study is not a clinical trial, clinical trial registration is not applicable.</t>
  </si>
  <si>
    <t>Aydin, Cemre; Karakas, Asli Beril; Ozturk, Anil Murat; Govsa, Figen; Ozer, Mehmet Asim</t>
  </si>
  <si>
    <t>Karakas, AB (corresponding author), Kastamonu Univ, Fac Med, Dept Anat, TR-37150 Kastamonu, Turkiye.; Ozturk, AM (corresponding author), Ege Univ, Fac Med, Dept Orthoped &amp; Traumatol, TR-35040 Izmir, Turkiye.</t>
  </si>
  <si>
    <t>amuratozturk@yahoo.com; mehmet.asim.ozer@gmail.com; caydin9119@gmail.com; asliberilkarakas@gmail.com; fgovsa@yahoo.com</t>
  </si>
  <si>
    <t>Kastamonu University</t>
  </si>
  <si>
    <t>Kastamonu University (Kastamonu University)</t>
  </si>
  <si>
    <t>Open access funding provided by the Scientific and Technological Research Council of Turkiye (TUB &amp; Idot;TAK).</t>
  </si>
  <si>
    <t>[Aydin, Cemre] Istanbul Bagcilar Educ Res Hosp, Dept Orthoped &amp; Traumatol, TR-34200 Istanbul, Turkiye; [Karakas, Asli Beril] Kastamonu Univ, Fac Med, Dept Anat, TR-37150 Kastamonu, Turkiye; [Ozturk, Anil Murat] Ege Univ, Fac Med, Dept Orthoped &amp; Traumatol, TR-35040 Izmir, Turkiye; [Govsa, Figen; Ozer, Mehmet Asim] Ege Univ, Fac Med, Dept Anat, Digital Imaging &amp; 3D Modelling Lab, TR-35040 Izmir, Turkiye</t>
  </si>
  <si>
    <t>Istanbul Bagcilar Training &amp; Research Hospital; Kastamonu University; Ege University; Ege University</t>
  </si>
  <si>
    <t>An expert-led benchmark using common patient questions: evaluating large language models for adolescent idiopathic scoliosis education</t>
  </si>
  <si>
    <t>EUROPEAN SPINE JOURNAL</t>
  </si>
  <si>
    <t>Large language models; Patient education; Adolescent idiopathic scoliosis; Health literacy; Artificial intelligence; Clinical communication</t>
  </si>
  <si>
    <t>CARE</t>
  </si>
  <si>
    <t>Ozturk, Anil Murat/AAG-9834-2019; /K-2259-2019; GOVSA, Figen/AEE-3442-2022; özer, mehmet/ABG-6960-2020</t>
  </si>
  <si>
    <t>0940-6719</t>
  </si>
  <si>
    <t>1432-0932</t>
  </si>
  <si>
    <t>EUR SPINE J</t>
  </si>
  <si>
    <t>Eur. Spine J.</t>
  </si>
  <si>
    <t>10.1007/s00586-026-10046-8</t>
  </si>
  <si>
    <t>http://dx.doi.org/10.1007/s00586-026-10046-8</t>
  </si>
  <si>
    <t>Clinical Neurology; Orthopedics</t>
  </si>
  <si>
    <t>Neurosciences &amp; Neurology; Orthopedics</t>
  </si>
  <si>
    <t>JF2JX</t>
  </si>
  <si>
    <t>42265453</t>
  </si>
  <si>
    <t>WOS:001787912100001</t>
  </si>
  <si>
    <t>Garcia-Carmona, AM; Prieto, ML; Puertas, E; Beunza, JJ</t>
  </si>
  <si>
    <t>Background: The digital transformation of health care has introduced both opportunities and challenges, particularly in managing and analyzing the vast amounts of unstructured medical data generated daily. There is a need to explore the feasibility of generative solutions in extracting data from medical reports, categorized by specific criteria. Objective: This study aimed to investigate the application of large language models (LLMs) for the automated extraction of structured information from unstructured medical reports, using the LangChain framework in Python. Methods: Through a systematic evaluation of leading LLMs-GPT-4o, Llama 3, Llama 3.1, Gemma 2, Qwen 2, and Qwen 2.5-using zero-shot prompting techniques and embedding results into a vector database, this study assessed the performance of LLMs in extracting patient demographics, diagnostic details, and pharmacological data. Results: Evaluation metrics, including accuracy, precision, recall, and F1-score, revealed high efficacy across most categories, with GPT-4o achieving the highest overall performance (91.4% accuracy). Conclusions:Thefindings highlight notable differences in precision and recall between models, particularly in extracting names and age-related information. There were challenges in processing unstructured medical text, including variability in model performance across data types. Our findings demonstrate the feasibility of integrating LLMs into health care workflows; LLMs offer substantial improvements in data accessibility and support clinical decision-making processes. In addition, the paper describes the role of retrieval-augmented generation techniques in enhancing information retrieval accuracy, addressing issues such as hallucinations and outdated data in LLM outputs. Future work should explore the need for optimization through larger and more diverse training datasets, advanced prompting strategies, and the integration of domain-specific knowledge to improve model generalizability and precision.</t>
  </si>
  <si>
    <t>Garcia-Carmona, Angel Manuel; Prieto, Maria-Lorena; Puertas, Enrique; Beunza, Juan-Jose</t>
  </si>
  <si>
    <t>Beunza, JJ (corresponding author), Univ Europea Madrid, Res &amp; Doctorate Sch, Calle Tajo S-N, Madrid 28670, Spain.</t>
  </si>
  <si>
    <t>juanjo@juanjobeunza.com</t>
  </si>
  <si>
    <t>[Garcia-Carmona, Angel Manuel; Prieto, Maria-Lorena; Puertas, Enrique; Beunza, Juan-Jose] Univ Europea Madrid, Res &amp; Doctorate Sch, Calle Tajo S-N, Madrid 28670, Spain; [Puertas, Enrique] Univ Europea Madrid, Dept Comp &amp; Technol, Madrid, Spain; [Puertas, Enrique; Beunza, Juan-Jose] Univ Europea Madrid, IASalud, Madrid, Spain; [Beunza, Juan-Jose] Univ Europea Madrid, Hosp La Paz Inst Hlth Res IdiPAZ, Madrid, Spain; [Beunza, Juan-Jose] Univ Europea Madrid, Dept Med, Madrid, Spain</t>
  </si>
  <si>
    <t>European University of Madrid; European University of Madrid; European University of Madrid; European University of Madrid; European University of Madrid</t>
  </si>
  <si>
    <t>Leveraging Large Language Models for Accurate Retrieval of Patient Information From Medical Reports: Systematic Evaluation Study</t>
  </si>
  <si>
    <t>large language models; LangChain framework; electronic health records; data mining; model evaluation; health care; digitalization</t>
  </si>
  <si>
    <t>Puertas, Enrique/L-5656-2014; Beunza, Juan-Jose/ABF-4650-2020</t>
  </si>
  <si>
    <t>Puertas, Enrique/0000-0002-5115-1226; Beunza, Juan-Jose/0000-0001-8192-2952; Prieto, María Lorena/0000-0001-9519-2428; Garcia-Carmona, Angel Manuel/0009-0000-5959-4868</t>
  </si>
  <si>
    <t>e68776</t>
  </si>
  <si>
    <t>10.2196/68776</t>
  </si>
  <si>
    <t>http://dx.doi.org/10.2196/68776</t>
  </si>
  <si>
    <t>4XU9T</t>
  </si>
  <si>
    <t>40608403</t>
  </si>
  <si>
    <t>WOS:001529229200001</t>
  </si>
  <si>
    <t>Dhaimade, PA; Henderson, R</t>
  </si>
  <si>
    <t>Large language models (LLMs) have demonstrated rapid advancements in natural language understanding and generation, prompting their integration into biomedical research, clinical practice, and professional education. However, systematic evaluation of LLMs in specialty-specific domains such as dentistry and periodontology remains limited, particularly regarding multidimensional performance metrics. This study conducted a comprehensive assessment of commercially available LLMs - GPT-4.0, GPT-5.0, and Claude Sonnet 4.0 - on the American Academy of Periodontology In-Service Examination, focusing on response accuracy, self-assessed confidence calibration, citation validity, and hallucination prevalence. Models were evaluated on the 2024 AAP In-Service Examination (331 questions) using two formats: Full Test (all questions at once) and Individual Question (one at a time). Prompts were standardized; models selected answers, and GPT-5.0 and Claude Sonnet 4.0 also provided confidence ratings and citations. Citation validity was assessed using a human-in-the-loop protocol with expert review. Statistical analyses included chi-square, McNemar's, and logistic regression to assess accuracy, question fatigue, confidence calibration, and citation reliability. LLMs achieved high overall accuracy (78-87%), with the Individual Question format consistently yielding higher scores than Full Test, though differences were not statistically significant. Accuracy was highest in fact-dense domains (biochemistry, physiology, microbiology) and lowest in integrative domains (diagnosis, therapy). Significant question fatigue was observed in GPT-5.0 Full Test mode (OR = 0.997, p = 0.035) but not in Individual Question mode. Confidence scores predicted accuracy, with the strongest calibration in Individual Question mode. Citation analysis revealed frequent hallucinations, mostly critically erroneous, and citation validity was independent of answer accuracy. LLMs show promise as adjunctive tools for periodontal education, but their outputs, especially for complex reasoning and citations require rigorous human review to ensure accuracy and safety.</t>
  </si>
  <si>
    <t>Dhaimade, Prita Abhay; Henderson, Robin</t>
  </si>
  <si>
    <t>Dhaimade, PA (corresponding author), East Carolina Univ, Sch Dent Med, Dept Surg Sci, Div Periodontol, Greenville, NC 27858 USA.</t>
  </si>
  <si>
    <t>dhaimadep25@ecu.edu</t>
  </si>
  <si>
    <t>[Dhaimade, Prita Abhay] East Carolina Univ, Sch Dent Med, Dept Surg Sci, Div Periodontol, Greenville, NC 27858 USA; [Henderson, Robin] Univ Oklahoma, Hlth Sci Ctr, Coll Dent, Div Periodont, Oklahoma City, OK USA</t>
  </si>
  <si>
    <t>University of North Carolina; East Carolina University; University of Oklahoma System; University of Oklahoma Health Sciences Center</t>
  </si>
  <si>
    <t>Multidimensional evaluation of large language models on the AAP in-service examination: Assessing accuracy, calibration, and citation reliability</t>
  </si>
  <si>
    <t>e0001072</t>
  </si>
  <si>
    <t>10.1371/journal.pdig.0001072</t>
  </si>
  <si>
    <t>http://dx.doi.org/10.1371/journal.pdig.0001072</t>
  </si>
  <si>
    <t>IS0PI</t>
  </si>
  <si>
    <t>42213673</t>
  </si>
  <si>
    <t>WOS:001778969600002</t>
  </si>
  <si>
    <t>gold; Green Accepted; Green Submitted</t>
  </si>
  <si>
    <t>McLaughlin, ND; Srinivas, AN; Lowe, ZF; Botterbush, KS; Patel, MS; Avila, MJ</t>
  </si>
  <si>
    <t>BACKGROUND AND OBJECTIVES:Large Language Models (LLMs) are increasingly used by healthcare professionals and patients for medical information synthesis. Unfortunately, their tendency to generate fabricated information ("hallucinations") poses a significant risk. This study quantifies and compares citation accuracy of 5 prominent LLMs for common neurosurgical spine topics.METHODS:Five LLMs (ChatGPT, Gemini, Claude, Microsoft Copilot, and OpenEvidence) were evaluated. Ten clinician-level questions derived from North American Spine Society guidelines were posed using a prompt instructing the LLM to act as an "experienced spine surgeon." Ten corresponding patient-level questions were posed using a "patient" persona prompt. Both prompts requested a concise answer and 3 to 5 peer-reviewed references. Each citation was manually verified and scored as 2 (accurate), 1 (real but misrepresented), or 0 (fabricated).RESULTS:Performance varied significantly across models and question types. OpenEvidence, which directly indexes PubMed and requires user verification as a healthcare professional, achieved perfect accuracy. Among general purpose LLMs, Claude demonstrated the highest accuracy (average score 1.67, 78.0% accurate citations). Gemini had the lowest accuracy (average score 0.97) and the highest rate of fabrications (26.2%). All general purpose LLMs performed worse on patient-level queries. ChatGPT's accuracy score dropped from 1.83 to 1.08 for patient questions while its fabrication rate increased from 2.1% to 20.0%. Error profiles differed by model. Copilot frequently misrepresented article metadata (55.1% score-1 citations) and cited non-peer-reviewed websites (31.6%), particularly for patient questions.CONCLUSION:General purpose LLMs exhibit substantial and variable citation errors when queried on spine surgery topics. Accuracy is substantially lower for patient-facing prompts, which often yield fabricated references or nonscientific sources. While specialized, access-restricted platforms such as OpenEvidence provide high accuracy, the performance of widely accessible models highlights the need for careful verification of all LLM-generated medical information to ensure patient safety.</t>
  </si>
  <si>
    <t>McLaughlin, Nathan D.; Srinivas, Advika N.; Lowe, Zachary F.; Botterbush, Kathleen S.; Patel, Mayur S.; Avila, Mauricio J.</t>
  </si>
  <si>
    <t>Avila, MJ (corresponding author), St Louis Univ, Sch Med, Dept Surg, Div Neurol Surg, SLUCare Acad Pavil,1008 S Spring Ave, St Louis, MO 63110 USA.</t>
  </si>
  <si>
    <t>mauricio.avila@ssmhealth.com; nathan.mclaughlin@health.slu.edu; Mayur.Patel@ssmhealth.com; advika.srinivas@health.slu.edu; zachary.lowe@health.slu.edu; kathleen.botterbush@health.slu.edu</t>
  </si>
  <si>
    <t>[McLaughlin, Nathan D.; Srinivas, Advika N.; Lowe, Zachary F.; Botterbush, Kathleen S.; Patel, Mayur S.; Avila, Mauricio J.] St Louis Univ, Sch Med, Dept Surg, Div Neurol Surg, SLUCare Acad Pavil,1008 S Spring Ave, St Louis, MO 63110 USA</t>
  </si>
  <si>
    <t>Saint Louis University</t>
  </si>
  <si>
    <t>Large Language Model Hallucinations in Spine Surgery: A Comparative Analysis of Clinician vs Patient-Level Prompts</t>
  </si>
  <si>
    <t>NEUROSURGERY PRACTICE</t>
  </si>
  <si>
    <t>Large language models; Artificial intelligence; Spine surgery; Generative AI; Hallucinations; Neurosurgery; Patient education</t>
  </si>
  <si>
    <t>2834-4383</t>
  </si>
  <si>
    <t>NEUROSURG PRACT</t>
  </si>
  <si>
    <t>Neurosurg. Pract.</t>
  </si>
  <si>
    <t>e000244</t>
  </si>
  <si>
    <t>10.1227/neuprac.0000000000000244</t>
  </si>
  <si>
    <t>http://dx.doi.org/10.1227/neuprac.0000000000000244</t>
  </si>
  <si>
    <t>IR1TQ</t>
  </si>
  <si>
    <t>42232526</t>
  </si>
  <si>
    <t>WOS:001778372400001</t>
  </si>
  <si>
    <t>gold; Green Accepted</t>
  </si>
  <si>
    <t>Ahmed, SM</t>
  </si>
  <si>
    <t>Background: Ever since Large Language Models (LLMs) have become increasingly accessible, patients with mental disorders are frequently utilizing these tools as de facto therapeutic agents. Certain LLM features (e.g., linguistic mirroring, hallucination) pose serious risks to vulnerable populations, as current clinical frameworks and regulatory guidelines have yet to address this new technological threat. Objective: This paper aims to identify and categorize the clinical, ethical, and legal risks associated with unsupervised LLM use by patients with mental health disorders. The analysis moves beyond general AI bias concerns to provide a granular Vulnerability Mapping of model behaviors against specific mental health conditions. The work will also examine gaps in the US regulatory system. Analysis: Our framework looks at the issue from three lenses namely: (1) Vulnerability Mapping - a cross-disciplinary analysis pairing specific LLM technical behaviors with clinical psychiatric traits; (2) Ethics of Automation - a case-study review of documented failures to illustrate the empathy trap and dangers of unsupervised bot-patient parasocial bonds; and (3) Legal Risk Assessment - an evaluation of potential US law violations focusing on unauthorized practice of medicine, FTC consumer protection triggers, and FDA Software as a Medical Device (SaMD) classifications. Conclusions: The analysis reveals a regulatory minefield, as current HIPAA and state-level malpractice laws fail to account for lapses in clinical judgment caused by algorithmic governance. Furthermore, unsupervised LLM use for mental health creates a dangerous convergence of clinical instability and legal liability. This paper proposes a preliminary framework for Clinical-Legal Safety Standards mandating human oversight for any AI system interacting with high-risk psychiatric cohorts.</t>
  </si>
  <si>
    <t>Ahmed, Samara M.</t>
  </si>
  <si>
    <t>Ahmed, SM (corresponding author), King Abdulaziz Univ, Coll Med, Psychiat Div, Jeddah, Saudi Arabia.</t>
  </si>
  <si>
    <t>[Ahmed, Samara M.] King Abdulaziz Univ, Coll Med, Psychiat Div, Jeddah, Saudi Arabia</t>
  </si>
  <si>
    <t>King Abdulaziz University</t>
  </si>
  <si>
    <t>THE "UNSUPERVISED COUCH": MAPPING CLINICAL, ETHICAL, AND LEGAL RISKS OF LARGE LANGUAGE MODEL (LLM) INTEGRATION IN MENTAL HEALTHCARE</t>
  </si>
  <si>
    <t>GENETICS AND MOLECULAR RESEARCH</t>
  </si>
  <si>
    <t>Large Language Models; Algorithmic Governance; Mental Health Risk; Software as a Medical Device; Clinical Ethics; Product Liability; AI Psychiatry</t>
  </si>
  <si>
    <t>FUNPEC-EDITORA</t>
  </si>
  <si>
    <t>RIBEIRAO PRETO</t>
  </si>
  <si>
    <t>RUA FLORIANO PEIXOTO 2444, ALTO DA BOA VISTA, RIBEIRAO PRETO, SP 00000, BRAZIL</t>
  </si>
  <si>
    <t>1676-5680</t>
  </si>
  <si>
    <t>GENET MOL RES</t>
  </si>
  <si>
    <t>Genet. Mol. Res.</t>
  </si>
  <si>
    <t>MAR 20 2026</t>
  </si>
  <si>
    <t>538</t>
  </si>
  <si>
    <t>Biochemistry &amp; Molecular Biology; Genetics &amp; Heredity</t>
  </si>
  <si>
    <t>HH8FS</t>
  </si>
  <si>
    <t>WOS:001754387300001</t>
  </si>
  <si>
    <t>Kim, SI; Park, J; Kim, T; Seo, W; Kim, T; Cha, WC; Hong, H</t>
  </si>
  <si>
    <t>Patient-centered care (PCC) emphasizes providing patients with clear information to support active participation in medical decision-making. However, the fast-paced nature of emergency departments (ED), coupled with communication barriers and varying health literacy, limits effective patient engagement. While large language models (LLMs) have shown potential in generating patient-friendly documents, their use in ED settings remains underexplored. This study aimed to develop LLM-generated patient-friendly clinical notes (PFCNs) that transform clinical notes into plain language, and to evaluate whether PFCNs could enhance patient participation in ED consultations. In this study, a total of 120 PFCNs were generated and evaluated, receiving high understandability ratings from both 10 clinicians and 20 patients (PEMAT score: 87.2%). Patients who used PFCNs during simulated ED consultations reported significantly higher participation levels compared to prior ED experiences (PPQ, P &lt; 0.05). Qualitative data showed that PFCNs supported understanding, question preparation, emotional reassurance and improved relationships with clinicians, though concerns about hallucinations and integration into clinical workflows remained. These findings suggested that PFCNs generated by LLMs show promise for enhancing patient participation in ED consultations. Future work should address accuracy and explore real-world integration to support safe and effective deployment.</t>
  </si>
  <si>
    <t>Kim, Sung-In; Park, Joonyoung; Kim, Taewan; Seo, Woosuk; Kim, Taerim; Cha, Won Chul; Hong, Hwajung</t>
  </si>
  <si>
    <t>Hong, H (corresponding author), Korea Adv Inst Sci &amp; Technol, Dept Ind Design, Daejeon, South Korea.; Hong, H (corresponding author), Korea Adv Inst Sci &amp; Technol KAIST, 291 Daehak Ro, Daejeon 34141, South Korea.</t>
  </si>
  <si>
    <t>hwajung@kaist.ac.kr</t>
  </si>
  <si>
    <t>National Research Foundation of Korea (NRF) - Korea government (MSIT) [RS-2023-00262527]</t>
  </si>
  <si>
    <t>National Research Foundation of Korea (NRF) - Korea government (MSIT)</t>
  </si>
  <si>
    <t>This research was supported by National Research Foundation of Korea (NRF) funded by the Korea government (MSIT) (No. RS-2023-00262527).</t>
  </si>
  <si>
    <t>[Kim, Sung-In] Seoul Natl Univ, Coll Med, Dept Psychiat, Seoul, South Korea; [Park, Joonyoung; Hong, Hwajung] Korea Adv Inst Sci &amp; Technol, Dept Ind Design, Daejeon, South Korea; [Kim, Taewan] TwelveLabs, Seoul, South Korea; [Seo, Woosuk] Yale Sch Med, Dept Emergency Med, New Haven, CT USA; [Kim, Taerim; Cha, Won Chul] Samsung Med Ctr, Dept Emergency Med, Seoul, South Korea; [Hong, Hwajung] Korea Adv Inst Sci &amp; Technol KAIST, 291 Daehak Ro, Daejeon 34141, South Korea</t>
  </si>
  <si>
    <t>Seoul National University (SNU); Korea Advanced Institute of Science &amp; Technology (KAIST); Yale University; Sungkyunkwan University (SKKU); Samsung Medical Center; Korea Advanced Institute of Science &amp; Technology (KAIST)</t>
  </si>
  <si>
    <t>Enhancing patient participation in emergency department through patient-friendly clinical notes generated by large language models</t>
  </si>
  <si>
    <t>Patient-centered care; Patient participation; Large language model; Emergency medicine; Communication</t>
  </si>
  <si>
    <t>SAFETY; COMMUNICATION; ACTIVATION; CARE</t>
  </si>
  <si>
    <t>Kim, Taewan/0000-0001-8578-5342; Park, Joonyoung/0009-0008-5003-6673</t>
  </si>
  <si>
    <t>1409</t>
  </si>
  <si>
    <t>10.1038/s41598-025-31113-y</t>
  </si>
  <si>
    <t>http://dx.doi.org/10.1038/s41598-025-31113-y</t>
  </si>
  <si>
    <t>CA1IG</t>
  </si>
  <si>
    <t>41350380</t>
  </si>
  <si>
    <t>WOS:001660890300005</t>
  </si>
  <si>
    <t>Chen, XL; Zhao, ZW; Zhang, WY; Xu, PS; Wu, Y; Xu, MP; Gao, L; Li, YW; Shang, XW; Shi, DL; He, MG</t>
  </si>
  <si>
    <t>Background: Large language models (LLMs) have the potentialto enhance clinical flow and improve medical education, but they encounter challenges related to specialized knowledge in ophthalmology. Objective: This study aims to enhance ophthalmic knowledge by refining a general LLM into an ophthalmology-specialized assistant for patient inquiries and medical education. Methods: Wetransformed Llama2 into an ophthalmology-specialized LLM, termed EyeGPT, through the following 3 strategies: prompt engineering for role-playing, fine-tuning with publicly available data sets filtered for eye-specific terminology (83,919 samples), and retrieval-augmented generation leveraging a medical database and 14 ophthalmology textbooks. The efficacy of various EyeGPT variants was evaluated by 4 board-certified ophthalmologists through comprehensive use of 120 diversecategory questions in both simple and complex question-answering scenarios. The performance of the best EyeGPT model was then compared with that of the unassisted human physician group and the EyeGPT+human group. We proposed 4 metrics for assessment: accuracy, understandability, trustworthiness, and empathy. The proportion of hallucinations was also reported. Results: The best fine-tuned model significantly outperformed the original Llama2 model at providing informed advice (mean 9.30, SD 4.42 vs mean 13.79, SD 5.70; P &lt;.001) and mitigating hallucinations (97/120, 80.8% vs 53/120, 44.2%, P &lt;.001). Incorporating information retrieval from reliable sources, particularly ophthalmology textbooks, further improved the model's response compared with solely the best fine-tuned model (mean 13.08, SD 5.43 vs mean 15.14, SD 4.64; P =.001) and reduced hallucinations (71/120, 59.2% vs 57/120, 47.4%, P =.02). Subgroup analysis revealed that EyeGPT showed robustness across common diseases, with consistent performance across different users and domains. Among the variants, the model integrating fine-tuning and book retrieval ranked highest, closely followed by the combination of fine-tuning and the manual database, standalone fine-tuning, and pure role-playing methods. EyeGPT demonstrated competitive capabilities in understandability and empathy when compared with human ophthalmologists. With the assistance of EyeGPT, the performance of the ophthalmologist was notably enhanced. Conclusions: We pioneered and introduced EyeGPT by refining a general domain LLM and conducted a comprehensive comparison and evaluation of different strategies to develop an ophthalmology-specific assistant. Our results highlight EyeGPT's potentialto assist ophthalmologists and patients in medical settings.</t>
  </si>
  <si>
    <t>Chen, Xiaolan; Zhao, Ziwei; Zhang, Weiyi; Xu, Pusheng; Wu, Yue; Xu, Mingpu; Gao, Le; Li, Yinwen; Shang, Xianwen; Shi, Danli; He, Mingguang</t>
  </si>
  <si>
    <t>Shi, DL (corresponding author), Hong Kong Polytech Univ, Sch Optometry, Hung Hom, 11 Yuk Choi Rd, Hong Kong 999077, Peoples R China.</t>
  </si>
  <si>
    <t>danli.shi@polyu.edu.hk</t>
  </si>
  <si>
    <t>Hong Kong Special Administrative Region (HKSAR) [P0048623]; Global STEM Professorship Scheme [P0046113]; Henry G Leong Endowed Professorship in Elderly Vision Health</t>
  </si>
  <si>
    <t>Hong Kong Special Administrative Region (HKSAR); Global STEM Professorship Scheme; Henry G Leong Endowed Professorship in Elderly Vision Health</t>
  </si>
  <si>
    <t>The study was supported by the Start-up Fund for RAPs under the Strategic Hiring Scheme (P0048623) from Hong Kong Special Administrative Region (HKSAR) , the Global STEM Professorship Scheme (P0046113) , and Henry G Leong Endowed Professorship in Elderly Vision Health. The sponsors or funding organizations had no role in the design or conduct of this research.</t>
  </si>
  <si>
    <t>[Chen, Xiaolan; Zhao, Ziwei; Zhang, Weiyi; Xu, Pusheng; Wu, Yue; Xu, Mingpu; Shang, Xianwen; Shi, Danli; He, Mingguang] Hong Kong Polytech Univ, Sch Optometry, Hong Kong, Peoples R China; [Gao, Le] Sun Yat Sen Univ, Zhongshan Ophthalm Ctr, Guangdong Prov Clin Res Ctr Ocular Dis, State Key Lab Ophthalmol, Guangzhou, Peoples R China; [Li, Yinwen] Shangh ai Jiao Tong Univ, Shanghai Gen Hosp, Shanghai Peoples Hosp 1, Sch Med,Dept Ophthamol, Shanghai, Peoples R China; [Li, Yinwen] Natl Clin Res Ctr Eye Dis, Shanghai, Peoples R China; [Shi, Danli; He, Mingguang] Hong Kong Polytech Univ, Res Ctr SHARP Vis RCSV, Hong Kong, Peoples R China; [He, Mingguang] Ctr Eye &amp; Vis Res CEVR, 17W Hong Kong Sci Pk, Hong Kong, Peoples R China</t>
  </si>
  <si>
    <t>Hong Kong Polytechnic University; Sun Yat Sen University; Shanghai Jiao Tong University; Hong Kong Polytechnic University</t>
  </si>
  <si>
    <t>EyeGPT for Patient Inquiries and Medical Education: Development and Validation of an Ophthalmology Large Language Model</t>
  </si>
  <si>
    <t>large language model; generative pretrained transformer; generative artificial intelligence; ophthalmology; retrieval-augmented generation; medical assistant; EyeGPT; generative AI</t>
  </si>
  <si>
    <t>Chen, Xiaolan/PWH-1442-2026; Shi, Danli/KLD-8383-2024; Xu, Pusheng/MVU-1700-2025; He, Mingguang/AAY-5239-2020</t>
  </si>
  <si>
    <t>ZHANG, Weiyi/0009-0008-2780-9121; Chen, Xiaolan/0000-0003-1581-5045; Shang, Xianwen/0000-0002-2362-3222; Shi, Danli/0000-0001-6094-137X; Xu, Pusheng/0000-0002-3195-4822; Li, Yinwen/0000-0003-4254-0972</t>
  </si>
  <si>
    <t>DEC 11 2024</t>
  </si>
  <si>
    <t>e60063</t>
  </si>
  <si>
    <t>10.2196/60063</t>
  </si>
  <si>
    <t>http://dx.doi.org/10.2196/60063</t>
  </si>
  <si>
    <t>Q1X1X</t>
  </si>
  <si>
    <t>39661433</t>
  </si>
  <si>
    <t>WOS:001382690300010</t>
  </si>
  <si>
    <t>Ansari, MY; Yaqoob, M; Ishaq, M; Flushing, EF; Mangalote, IAC; Dakua, SP; Aboumarzouk, O; Righetti, R; Qaraqe, M</t>
  </si>
  <si>
    <t>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</si>
  <si>
    <t>Ansari, Mohammed Yusuf; Yaqoob, Mohammed; Ishaq, Mohammed; Flushing, Eduardo Feo; Mangalote, Iffa Afsa changaai; Dakua, Sarada Prasad; Aboumarzouk, Omar; Righetti, Raffaella; Qaraqe, Marwa</t>
  </si>
  <si>
    <t>Ansari, MY (corresponding author), Texas A&amp;M Univ, Dept Elect &amp; Comp Engn, College Stn, TX 77847 USA.; Ansari, MY (corresponding author), Carnegie Mellon Univ Qatar, Doha, Qatar.</t>
  </si>
  <si>
    <t>ma1@tamu.edu</t>
  </si>
  <si>
    <t>Qatar National Library</t>
  </si>
  <si>
    <t>Open Access funding provided by the Qatar National Library.</t>
  </si>
  <si>
    <t>[Ansari, Mohammed Yusuf; Yaqoob, Mohammed; Ishaq, Mohammed; Righetti, Raffaella] Texas A&amp;M Univ, Dept Elect &amp; Comp Engn, College Stn, TX 77847 USA; [Ansari, Mohammed Yusuf; Flushing, Eduardo Feo] Carnegie Mellon Univ Qatar, Doha, Qatar; [Mangalote, Iffa Afsa changaai; Dakua, Sarada Prasad; Aboumarzouk, Omar] Hamad Gen Hosp, Dept Surg, Clin Adv Dept, Hamad Med Corp, Doha, Qatar; [Qaraqe, Marwa] Hamad Bin Khalifa Univ, Coll Sci &amp; Engn, Doha, Qatar</t>
  </si>
  <si>
    <t>Texas A&amp;M University System; Texas A&amp;M University College Station; Qatar Foundation (QF); Carnegie Mellon University in Qatar; Hamad Medical Corporation; Hamad General Hospital; Qatar Foundation (QF); Hamad Bin Khalifa University-Qatar</t>
  </si>
  <si>
    <t>A survey of transformers and large language models for ECG diagnosis: advances, challenges, and future directions</t>
  </si>
  <si>
    <t>ARTIFICIAL INTELLIGENCE REVIEW</t>
  </si>
  <si>
    <t>Arrhythmia; ECG representation; Hallucination; Large language models; Myocardial infarction; Positional encoding; Self-attention architecture; Single-beat and multi-beat analysis; Sleep apnea; Zero-shot diagnosis</t>
  </si>
  <si>
    <t>ARRHYTHMIA; ELECTROCARDIOGRAM; CHILDHOOD</t>
  </si>
  <si>
    <t>Feo Flushing, Eduardo/GNW-5743-2022; Aboumarzouk, Omar/AAR-8441-2020; Ansari, Mohammed Yusuf/HNI-0129-2023</t>
  </si>
  <si>
    <t>Ansari, Mohammed Yusuf/0000-0001-6123-3893</t>
  </si>
  <si>
    <t>164</t>
  </si>
  <si>
    <t>0269-2821</t>
  </si>
  <si>
    <t>1573-7462</t>
  </si>
  <si>
    <t>ARTIF INTELL REV</t>
  </si>
  <si>
    <t>Artif. Intell. Rev.</t>
  </si>
  <si>
    <t>JUN 4 2025</t>
  </si>
  <si>
    <t>261</t>
  </si>
  <si>
    <t>10.1007/s10462-025-11259-x</t>
  </si>
  <si>
    <t>http://dx.doi.org/10.1007/s10462-025-11259-x</t>
  </si>
  <si>
    <t>3KG4O</t>
  </si>
  <si>
    <t>WOS:001502355300003</t>
  </si>
  <si>
    <t>Zada, T; Tam, N; Barnard, F; Van Sittert, M; Bhat, V; Rambhatla, S</t>
  </si>
  <si>
    <t>Background: Rapid integration of large language models (LLMs) in health care is sparking global discussion about their potential to revolutionize health care quality and accessibility. At a time when improving health care quality and access remains a critical concern for countries worldwide, the ability of these models to pass medical examinations is often cited as a reason to use them for medical training and diagnosis. However, the impact of their inevitable use as a self-diagnostic tool and their role in spreading health care misinformation has not been evaluated. Objective: This study aims to assess the effectiveness of LLMs, particularly ChatGPT, from the perspective of an individual self-diagnosing to better understand the clarity, correctness, and robustness of the models. Methods: We propose the comprehensive testing methodology evaluation of LLM prompts (EvalPrompt). This evaluation methodology uses multiple-choice medical licensing examination questions to evaluate LLM responses. Experiment 1 prompts ChatGPT with open-ended questions to mimic real-world self-diagnosis use cases, and experiment 2 performs sentence dropout on the correct responses from experiment 1 to mimic self-diagnosis with missing information. Humans then assess the responses returned by ChatGPT for both experiments to evaluate the clarity, correctness, and robustness of ChatGPT. Results: In experiment 1, we found that ChatGPT-4.0 was deemed correct for 31% (29/94) of the questions by both nonexperts and experts, with only 34% (32/94) agreement between the 2 groups. Similarly, in experiment 2, which assessed robustness, 61% (92/152) of the responses continued to be categorized as correct by all assessors. As a result, in comparison to a passing threshold of 60%, ChatGPT-4.0 is considered incorrect and unclear, though robust. This indicates that sole reliance on ChatGPT-4.0 for self-diagnosis could increase the risk of individuals being misinformed. Conclusions: The results highlight the modest capabilities of LLMs, as their responses are often unclear and inaccurate. Any medical advice provided by LLMs should be cautiously approached due to the significant risk of misinformation. However, evidence suggests that LLMs are steadily improving and could potentially play a role in health care systems in the future. To address the issue of medical misinformation, there is a pressing need for the development of a comprehensive self-diagnosis dataset. This dataset could enhance the reliability of LLMs in medical applications by featuring more realistic prompt styles with minimal information across a broader range of medical fields.</t>
  </si>
  <si>
    <t>Zada, Troy; Tam, Natalie; Barnard, Francois; Van Sittert, Marlize; Bhat, Venkat; Rambhatla, Sirisha</t>
  </si>
  <si>
    <t>Rambhatla, S (corresponding author), Univ Waterloo, Dept Management Sci &amp; Engn, 200 Univ Ave West, Waterloo, ON N2L 3G1, Canada.</t>
  </si>
  <si>
    <t>sirisha.rambhatla@uwaterloo.ca</t>
  </si>
  <si>
    <t>Natural Sciences and Engineering Research Council of Canada (NSERC) [RGPIN-2022-03512]</t>
  </si>
  <si>
    <t>Natural Sciences and Engineering Research Council of Canada (NSERC) (Natural Sciences and Engineering Research Council of Canada (NSERC))</t>
  </si>
  <si>
    <t>Sirisha Rambhatla, Ph.D., would like to acknowledge the support of the Natural Sciences and Engineering Research Council of Canada (NSERC) Discovery Grant (RGPIN-2022-03512) .</t>
  </si>
  <si>
    <t>[Zada, Troy; Tam, Natalie; Barnard, Francois; Rambhatla, Sirisha] Univ Waterloo, Dept Management Sci &amp; Engn, 200 Univ Ave West, Waterloo, ON N2L 3G1, Canada; [Van Sittert, Marlize] Univ Toronto, Fac Law, Toronto, ON, Canada; [Bhat, Venkat] Univ Toronto, Dept Psychiat, Toronto, ON, Canada; [Bhat, Venkat] St Michaels Hosp, Intervent Psychiat Program, Unity Hlth Toronto, Toronto, ON, Canada</t>
  </si>
  <si>
    <t>University of Waterloo; University of Toronto; University of Toronto; University of Toronto; Saint Michaels Hospital Toronto</t>
  </si>
  <si>
    <t>Medical Misinformation in AI-Assisted Self-Diagnosis: Development of a Method (EvalPrompt) for Analyzing Large Language Models</t>
  </si>
  <si>
    <t>ChatGPT; health care; LLM; misinformation; self-diagnosis; large language model</t>
  </si>
  <si>
    <t>HEALTH; CHATGPT</t>
  </si>
  <si>
    <t>Bhat, Venkat/OIT-4647-2025</t>
  </si>
  <si>
    <t>Barnard, Francois/0000-0002-7626-2854; Zada, Troy/0009-0003-2418-609X</t>
  </si>
  <si>
    <t>e66207</t>
  </si>
  <si>
    <t>10.2196/66207</t>
  </si>
  <si>
    <t>http://dx.doi.org/10.2196/66207</t>
  </si>
  <si>
    <t>5EJ1U</t>
  </si>
  <si>
    <t>40063849</t>
  </si>
  <si>
    <t>WOS:001533679600014</t>
  </si>
  <si>
    <t>Xu, CG; Zhou, M; Wang, DN; Zhang, QS; Liu, JQ; Fung, G; Wong, M; Xue, Y; Schmölzer, GM; Cheung, PY</t>
  </si>
  <si>
    <t>Background Simulation-based training (SBT) in neonatal resuscitation has positive impact on educational and neonatal outcomes. However, the implementation of well-designed SBT imposes multifaceted demands on instructors. Large language models (LLMs) might have potential in dynamically generating contextual resuscitation scenarios. But gaps exist regarding the feasibility and challenges of LLM-generated simulation scenarios in neonatal resuscitation.Methods This is a prospective, multicenter pilot study evaluating the feasibility and challenges of LLM-generated simulation scenarios. Four scenarios including extremely premature infant, placental abruption, born before arrival in hospital and meconium-stained amniotic fluid were generated by ChatGPT-4o and DeepSeek-R1. Four equivalent scenarios were extracted from Neonatal Resuscitation Program (R) (NRP (R)) and RETAIN (a serious game platform). Totally these 16 scenarios were written on standardized templates, coded and randomized. Nine independent instructors from 5 centers, who were blinded to the source of the scenarios (ChatGPT, DeepSeek, NRP (R) and RETAIN), evaluated the performance of scenarios using modified Jeffries Simulation Design Scale (JSDS). AI hallucination and qualitative evaluation were also compared among four groups.Results When compared with NRP (R) scenarios, ChatGPT-generated scenarios demonstrated comparable median scores without statistically significant difference in overall evaluation, whereas DeepSeek and RETAIN had lower scores in overall evaluation, problem-solving efficacy and scenario fidelity. DeepSeek exhibited inferior performance in providing appropriate information. In debriefing design, ChatGPT achieved higher scores than NRP (R) (effect size r = 0.25, P = 0.02). There was no statistical difference in AI hallucination between the two LLMs. ChatGPT demonstrated strengths in establishing clear objectives and providing structured debriefing frameworks but exhibited deficiencies in the consistent provision of dynamic vital signs. DeepSeek manifested violations in NRP (R) algorithm.Conclusions ChatGPT-generated simulation scenarios might be feasible in facilitating SBT when supervised by NRP (R) instructors. NRP (R) deviations and gaps remain in LLM-generated scenarios, which necessitate objective evaluation prior to implementation. Further research assessing educational outcomes and feedback from target learners are essential for the appropriate integration of LLM-generated simulation into SBT.Clinical trial number Not applicable.</t>
  </si>
  <si>
    <t>Xu, Chenguang; Zhou, Ming; Wang, Dianna; Zhang, Qianshen; Liu, Jiang-Qin; Fung, Genevieve; Wong, Mabel; Xue, Yin; Schmolzer, Georg M.; Cheung, Po-Yin</t>
  </si>
  <si>
    <t>Cheung, PY (corresponding author), Univ Hong Kong, Shenzhen Hosp, NICU, Shenzhen, Peoples R China.; Cheung, PY (corresponding author), Univ Alberta, NICU, Edmonton, AB, Canada.; Cheung, PY (corresponding author), Royal Alexandra Hosp, Ctr Studies Asphyxia &amp; Resuscitat, Neonatal Res Unit, Edmonton, AB, Canada.; Cheung, PY (corresponding author), NICU Royal Alexandra Hosp, 10240 Kingsway Ave, Edmonton, AB T5H 3V9, Canada.</t>
  </si>
  <si>
    <t>poyin@ualberta.ca</t>
  </si>
  <si>
    <t>Shenzhen University [YJXT20250507]</t>
  </si>
  <si>
    <t>Shenzhen University</t>
  </si>
  <si>
    <t>This study was supported by Medical Education Collaborative High-Quality Innovation and Development Research Project (YJXT20250507), Hospital Management Committee of Shenzhen University, 2025.</t>
  </si>
  <si>
    <t>[Xu, Chenguang; Zhang, Qianshen; Xue, Yin; Cheung, Po-Yin] Univ Hong Kong, Shenzhen Hosp, NICU, Shenzhen, Peoples R China; [Xu, Chenguang] Shenzhen Univ, Med Sch, Shenzhen, Peoples R China; [Zhou, Ming; Liu, Jiang-Qin] Shanghai First Matern &amp; Infant Hosp, NICU, Shanghai, Peoples R China; [Wang, Dianna; Schmolzer, Georg M.; Cheung, Po-Yin] Univ Alberta, NICU, Edmonton, AB, Canada; [Fung, Genevieve] Chinese Univ Hong Kong, Prince Wales Hosp, NICU, Hong Kong, Peoples R China; [Wong, Mabel] Univ Hong Kong, Queen Mary Hosp, NICU, Hong Kong, Peoples R China; [Schmolzer, Georg M.; Cheung, Po-Yin] Royal Alexandra Hosp, Ctr Studies Asphyxia &amp; Resuscitat, Neonatal Res Unit, Edmonton, AB, Canada; [Cheung, Po-Yin] NICU Royal Alexandra Hosp, 10240 Kingsway Ave, Edmonton, AB T5H 3V9, Canada</t>
  </si>
  <si>
    <t>University of Hong Kong; Shenzhen University; University of Alberta; Royal Alexandra Hospital; Chinese University of Hong Kong; Prince of Wales Hospital Hong Kong; University of Hong Kong; University of Alberta; Royal Alexandra Hospital; University of Alberta; Royal Alexandra Hospital</t>
  </si>
  <si>
    <t>Feasibility and challenges of large language model (LLM)-generated neonatal resuscitation simulations: a multicenter exploratory study</t>
  </si>
  <si>
    <t>SCANDINAVIAN JOURNAL OF TRAUMA RESUSCITATION &amp; EMERGENCY MEDICINE</t>
  </si>
  <si>
    <t>Neonatal resuscitation; Simulation; Scenario; Artificial intelligence; Large language models</t>
  </si>
  <si>
    <t>Liu, Jiang-Qin/JSL-0255-2023; SCHMÖLZER, Georg/E-7883-2010</t>
  </si>
  <si>
    <t>Liu, Jiang-Qin/0000-0002-6116-643X; ZHOU, MING/0000-0002-9305-8505</t>
  </si>
  <si>
    <t>1757-7241</t>
  </si>
  <si>
    <t>SCAND J TRAUMA RESUS</t>
  </si>
  <si>
    <t>Scand. J. Trauma Resusc. Emerg. Med.</t>
  </si>
  <si>
    <t>10.1186/s13049-026-01632-2</t>
  </si>
  <si>
    <t>http://dx.doi.org/10.1186/s13049-026-01632-2</t>
  </si>
  <si>
    <t>Emergency Medicine</t>
  </si>
  <si>
    <t>LI0ZZ</t>
  </si>
  <si>
    <t>42186080</t>
  </si>
  <si>
    <t>WOS:001825117900001</t>
  </si>
  <si>
    <t>Özbek, IC</t>
  </si>
  <si>
    <t>Objective Large language models (LLMs) are increasingly used as clinical information tools; however, their ability to accurately interpret evidence-based spine guidelines remains unclear. This study compared the performance of ChatGPT-5.1, Gemini, and Perplexity in interpreting the North American Spine Society (NASS) guideline for lumbar disc herniation with radiculopathy. Methods Nineteen open-ended clinical questions derived from the NASS guideline were submitted to each LLM under standardized conditions. Responses were evaluated by two blinded clinicians using validated Likert scales for clinical accuracy (1-5), reliability, and usability (1-7). Semantic similarity to guideline-based answers was assessed using the Universal Sentence Encoder, surface-level textual similarity using ROUGE-L F1 scores, and readability using multiple established readability indices. Reference reliability was analyzed using the Reference Hallucination Score. Results Perplexity demonstrated significantly higher clinical accuracy (3.95 +/- 0.70) compared with ChatGPT-5.1 (3.45 +/- 0.68) and Gemini (3.50 +/- 0.65) (p = 0.018). Reliability and usability scores were also highest for Perplexity (4.85 +/- 1.05 and 4.75 +/- 0.95, respectively; both p &lt; 0.01). Semantic similarity scores were greater for Perplexity (0.71 +/- 0.06) than for ChatGPT-5.1 (0.64 +/- 0.07) (p &lt; 0.001), whereas Gemini achieved the highest ROUGE-L F1 scores (0.14 +/- 0.04; p &lt; 0.001). Readability indices were comparable across models, indicating similar levels of textual complexity. ChatGPT-5.1 exhibited the highest reference hallucination (8.10 +/- 2.85), while Perplexity showed the lowest (4.15 +/- 2.70) (p &lt; 0.001). Conclusions LLMs show significant variability in guideline-based clinical reasoning. Although none should be used as independent decision-making tools, reference-oriented models may provide more reliable adjunctive support for evidence-based spine practice.</t>
  </si>
  <si>
    <t>Ozbek, Ilhan Celil</t>
  </si>
  <si>
    <t>Özbek, IC (corresponding author), Univ Hlth Sci, Derince Training &amp; Res Hosp, Dept Phys Med &amp; Rehabil, Kocaeli, Turkiye.</t>
  </si>
  <si>
    <t>ilhanozbek7@gmail.com</t>
  </si>
  <si>
    <t>[Ozbek, Ilhan Celil] Univ Hlth Sci, Derince Training &amp; Res Hosp, Dept Phys Med &amp; Rehabil, Kocaeli, Turkiye</t>
  </si>
  <si>
    <t>Kocaeli Derince Training &amp; Research Hospital; University of Health Sciences Turkey</t>
  </si>
  <si>
    <t>Performance of large language models in interpreting evidence-based clinical guidelines for lumbar disc herniation with radiculopathy</t>
  </si>
  <si>
    <t>Artificial intelligence; Large language models; Lumbar disc herniation; Radiculopathy; Clinical guidelines</t>
  </si>
  <si>
    <t>Ozbek, ilhancelil/NGS-6313-2025</t>
  </si>
  <si>
    <t>10.1007/s00586-026-10069-1</t>
  </si>
  <si>
    <t>http://dx.doi.org/10.1007/s00586-026-10069-1</t>
  </si>
  <si>
    <t>JL9QD</t>
  </si>
  <si>
    <t>42283816</t>
  </si>
  <si>
    <t>WOS:001792474400001</t>
  </si>
  <si>
    <t>Delaunay, J; Girbes, D; Cusido, J</t>
  </si>
  <si>
    <t>The conversion of unstructured clinical data into structured formats, such as Fast Healthcare Interoperability Resources (FHIR), is a critical challenge in healthcare informatics. This study explores the potential of large language models (LLMs) to automate this conversion process, aiming to enhance data interoperability and improve healthcare outcomes. The effectiveness of various LLMs in converting clinical reports into FHIR bundles was evaluated using different prompting techniques, including iterative correction and example-based prompting. The findings demonstrate the critical role of prompt engineering, with the two-step approach shown to significantly improve accuracy and completeness. While few-shot learning enhanced performance, it also introduced a risk of overreliance on examples. The performance of the LLMs is assessed based on the precision, hallucination rate, and resource mapping accuracy across mammography and dermatological reports from two clinics, providing insights into effective strategies for reliable FHIR data conversion and highlighting the importance of tailored prompting strategies.</t>
  </si>
  <si>
    <t>Delaunay, Julien; Girbes, Daniel; Cusido, Jordi</t>
  </si>
  <si>
    <t>Delaunay, J; Cusido, J (corresponding author), Top Hlth Tech, Barcelona 08035, Spain.; Cusido, J (corresponding author), Univ Politecn Cataluna, Dept Projectes &amp; Construccio, Barcelona 08034, Spain.</t>
  </si>
  <si>
    <t>dgirbes@tophealthtech.ai; jdelaunay@tophealthtech.ai; jordi.cusido@upc.edu</t>
  </si>
  <si>
    <t>Torres Quevedo [PTQ2021-012147]; Torres Quevedo grant "Asistente Virtual para la mejora del sistema de salud-Virtual Assistant for Better HealthCare-VA4BHC"</t>
  </si>
  <si>
    <t>Torres Quevedo; Torres Quevedo grant "Asistente Virtual para la mejora del sistema de salud-Virtual Assistant for Better HealthCare-VA4BHC"</t>
  </si>
  <si>
    <t>J.C. work was supported by the Torres Quevedo grant "Asistente Virtual para la mejora del sistema de salud-Virtual Assistant for Better HealthCare-VA4BHC" (ref. PTQ2021-012147).</t>
  </si>
  <si>
    <t>[Delaunay, Julien; Girbes, Daniel; Cusido, Jordi] Top Hlth Tech, Barcelona 08035, Spain; [Cusido, Jordi] Univ Politecn Cataluna, Dept Projectes &amp; Construccio, Barcelona 08034, Spain</t>
  </si>
  <si>
    <t>Universitat Politecnica de Catalunya</t>
  </si>
  <si>
    <t>Evaluating the Effectiveness of Large Language Models in Converting Clinical Data to FHIR Format</t>
  </si>
  <si>
    <t>APPLIED SCIENCES-BASEL</t>
  </si>
  <si>
    <t>large language models; Fast Healthcare Interoperability Resources; unstructured clinical data; healthcare informatics; natural language processing; prompt engineering</t>
  </si>
  <si>
    <t>Cusido, Jordi/AAY-5556-2020; Delaunay, Julien/OXB-9283-2025</t>
  </si>
  <si>
    <t>Cusido, Jordi/0000-0002-1951-1498; Delaunay, Julien/0000-0001-6824-5010</t>
  </si>
  <si>
    <t>2076-3417</t>
  </si>
  <si>
    <t>APPL SCI-BASEL</t>
  </si>
  <si>
    <t>Appl. Sci.-Basel</t>
  </si>
  <si>
    <t>MAR 19 2025</t>
  </si>
  <si>
    <t>3379</t>
  </si>
  <si>
    <t>10.3390/app15063379</t>
  </si>
  <si>
    <t>http://dx.doi.org/10.3390/app15063379</t>
  </si>
  <si>
    <t>Chemistry, Multidisciplinary; Engineering, Multidisciplinary; Materials Science, Multidisciplinary; Physics, Applied</t>
  </si>
  <si>
    <t>Chemistry; Engineering; Materials Science; Physics</t>
  </si>
  <si>
    <t>0QE1Z</t>
  </si>
  <si>
    <t>WOS:001453382000001</t>
  </si>
  <si>
    <t>Prabha, S; Collaco, BG; Gomez-Cabello, CA; Haider, SA; Genovese, A; Fang, ZH; Wood, N; Bagaria, S; Tao, C; Forte, AJ</t>
  </si>
  <si>
    <t>Background: Large language models (LLMs) show growing potential for decision support. However, integrating domain-specific medical knowledge while maintaining accuracy, safety, and interpretability remains challenging for postoperative discharge instructions and patient education. Fine-tuning, retrieval-augmented generation (RAG), and hybrid fine-tuning+RAG approaches are prominent strategies for knowledge integration, but their comparative performance in postoperative care has not been systematically evaluated. Objective: We aimed to compare the performance, reliability, and safety characteristics of baseline, fine-tuning, RAG, and hybrid fine-tuning+RAG LLM configurations for postoperative decision support. Methods: We conducted a comparative evaluation of 4 LLM configurations using Google Gemini 2.5 Flash. A total of 600 postoperative question and answer pairs were used for model adaptation and validation, while 150 queries were reserved for final evaluation. Queries included routine postoperative questions, emergency escalation scenarios, and deliberately out-of-scope prompts. Outputs were independently assessed by 3 blinded clinical experts for clinical medical accuracy, safety or refusal accuracy, completeness, and relevance. Automated metrics evaluated readability, faithfulness, and hallucination propensity. Results: All knowledge-enhanced models significantly outperformed baseline in overall accuracy (baseline 68% vs finetuning 92.7%, RAG 91.3%, fine-tuning+RAG 97.3%; P&lt;.001). For in-scope clinical queries, fine-tuning+RAG achieved the highest clinical medical accuracy (96.7%) and was the only configuration to significantly outperform baseline in pairwise comparisons. Enhanced models also demonstrated higher safety or refusal accuracy than baseline; however, the baseline configuration did not receive equivalent safety or deferral instructions, which likely influenced these findings. Fine-tuning+RAG achieved the strongest composite classification performance, including 100% precision, 96.7% recall, and 98.3% F-1-score. Fine-tuning and RAG showed broadly comparable performance across most secondary outcomes. Although knowledge-enhanced models demonstrated lower readability than baseline, restricted analysis of 100 routine in-scope postoperative queries suggested that part of this difference was attributable to standardized safety boilerplate. Conclusions: Incorporating domain-specific knowledge through fine-tuning, RAG, or both improved postoperative decision-support performance compared with the baseline LLM. All knowledge-enhanced approaches demonstrated strong performance, with the hybrid fine-tuning+RAG configuration achieving the most favorable overall point estimates across several outcomes. However, differences among the enhanced configurations were generally modest and less evident in sensitivity analyses restricted to unanimously rated queries. These findings support knowledge-enhanced LLMs as promising tools for postoperative education and decision support, while highlighting the need for further validation, readability optimization, transparent governance, and sustained human oversight before patient-facing deployment.</t>
  </si>
  <si>
    <t>Prabha, Srinivasagam; Collaco, Bernardo Gabriele; Gomez-Cabello, Cesar Abraham; Haider, Syed Ali; Genovese, Ariana; Fang, Zhihui; Wood, Nadia; Bagaria, Sanjay; Tao, Cui; Forte, Antonio Jorge</t>
  </si>
  <si>
    <t>Forte, AJ (corresponding author), Mayo Clin Florida, Div Plast Surg, 4500 San Pablo Road South, Jacksonville, FL 32224 USA.</t>
  </si>
  <si>
    <t>Mayo Clinic; Generosity of Schmidt Sciences, Richard M. Schulze Family Foundation, and Gerstner Philanthropies</t>
  </si>
  <si>
    <t>Mayo Clinic (Mayo Clinic); Generosity of Schmidt Sciences, Richard M. Schulze Family Foundation, and Gerstner Philanthropies</t>
  </si>
  <si>
    <t>This work is supported by Mayo Clinic and the generosity of Schmidt Sciences, Richard M. Schulze Family Foundation, and Gerstner Philanthropies. No grant number is applicable. These entities had no involvement in this study's design; the collection, analysis, and interpretation of data; the writing of the report; or the decision to submit this paper for publication.</t>
  </si>
  <si>
    <t>[Prabha, Srinivasagam; Collaco, Bernardo Gabriele; Gomez-Cabello, Cesar Abraham; Haider, Syed Ali; Genovese, Ariana; Forte, Antonio Jorge] Mayo Clin Florida, Div Plast Surg, 4500 San Pablo Road South, Jacksonville, FL 32224 USA; [Fang, Zhihui] Mayo Clin Florida, Div Clin Trials &amp; Biostat, Jacksonville, FL USA; [Wood, Nadia] Mayo Clin, Dept Radiol AI IT, Rochester, MN USA; [Bagaria, Sanjay] Mayo Clin Florida, Dept Surg, Jacksonville, FL USA; [Tao, Cui; Forte, Antonio Jorge] Mayo Clin Florida, Dept Artificial Intelligence &amp; Informat, Jacksonville, FL USA; [Forte, Antonio Jorge] Mayo Clin, Ctr Digital Hlth, Rochester, MN USA</t>
  </si>
  <si>
    <t>Mayo Clinic; Mayo Clinic; Mayo Clinic; Mayo Clinic; Mayo Clinic; Mayo Clinic</t>
  </si>
  <si>
    <t>Fine-Tuning, Retrieval-Augmented Generation, and Hybrid Large Language Models for Postoperative Decision Support: Comparative Analysis</t>
  </si>
  <si>
    <t>AI; large language models; retrieval-augmented generation; fine-tuning; decision support; postoperative care</t>
  </si>
  <si>
    <t>HEALTH-CARE</t>
  </si>
  <si>
    <t>Forte, Antonio/I-2970-2019; Genovese, Ariana/CAF-1752-2022; Wood, Nadia/PFI-7840-2025</t>
  </si>
  <si>
    <t>JUL 14 2026</t>
  </si>
  <si>
    <t>e90692</t>
  </si>
  <si>
    <t>10.2196/90692</t>
  </si>
  <si>
    <t>http://dx.doi.org/10.2196/90692</t>
  </si>
  <si>
    <t>LN3KK</t>
  </si>
  <si>
    <t>42452955</t>
  </si>
  <si>
    <t>WOS:001828668800004</t>
  </si>
  <si>
    <t>Bessa, RF; de Oliveira, AC; Bessa, RF; Sousa, DL; Alves, R; Barbosa, A; Carneiro, A; Soares, C; Teles, AS</t>
  </si>
  <si>
    <t>Featured Application A potential application of this work is the use of generative LLMs to support medical education by providing automated explanations and practice materials in Brazilian Portuguese. The models could also assist in the development of decision support tools that offer preliminary guidance on diagnoses and treatments.Abstract This study aimed to compare the performance of various Large Language Models (LLMs) in answering multiple-choice questions from the last six editions (2017 to 2024) of Revalida exam. The evaluation focused on models capable of processing content in Brazilian Portuguese (PT-BR), including open-source models, namely LLaMA 3.1 (8B parameters), Qwen 2.5 (7B parameters), and their reasoning-oriented distilled variants based on the DeepSeek-R1 architecture, as well as open-access commercial models such as GPT-3.5, GPT-4o, and Gemini. After evaluating the models' accuracy against the official answer keys, GPT-4o emerged as the top-performing model, achieving an average accuracy of 63.85%. Next, GPT-4o was prompted to justify its answers to the 2024 exam, and its explanations were independently reviewed by three licensed physicians. The evaluators reported full agreement with the clinical reasoning presented, indicating the model's ability to produce coherent and medically relevant justifications. Lastly, justifications generated by GPT-4o for correctly answered questions from previous exams (2017-2023) were compiled into a knowledge base, which was then used to enhance GPT-4o through retrieval-augmented generation and to fine-tune LLaMA 3.1, leading to measurable performance improvements on the 2024 exam. Despite promising performance, these models still demonstrate variability in responses, hallucinations, and limited reliability in high-stakes contexts. As such, their outputs should always be reviewed by qualified professionals, and human expertise remains essential in clinical decision-making and medical education scenarios, considering the PT-BR language. However, the observed gains from integrating prior exam content indicate that domain-specific adaptation strategies may help mitigate some of these limitations and enhance model alignment.</t>
  </si>
  <si>
    <t>Bessa, Renato Freitas; de Oliveira, Adonias Caetano; Bessa, Rafael Freitas; Sousa, Daniel Lima; Alves, Rafaela; Barbosa, Amanda; Carneiro, Alinne; Soares, Carla; Teles, Ariel Soares</t>
  </si>
  <si>
    <t>Teles, AS (corresponding author), Parnaiba Delta Fed Univ, Postgrad Program Biotechnol, BR-64202020 Parnaiba, Brazil.; Teles, AS (corresponding author), Fed Inst Maranhao, Fac Elect Engn, Campus Araioses, BR-65030005 Araioses, Brazil.</t>
  </si>
  <si>
    <t>ariel.teles@ifma.edu.br; adonias.oliveira@ifce.edu.br; danielsousa@ufdpar.edu.br; renatobessaiq@gmail.com</t>
  </si>
  <si>
    <t>Coordination for the Improvement of Higher Education Personnel-CAPES; National Council for Scientific and Technological Development-CNPq [308059/2022-0, 441817/2023-8]</t>
  </si>
  <si>
    <t>Coordination for the Improvement of Higher Education Personnel-CAPES (Coordenacao de Aperfeicoamento de Pessoal de Nivel Superior (CAPES)); National Council for Scientific and Technological Development-CNPq (Conselho Nacional de Desenvolvimento Cientifico e Tecnologico (CNPQ))</t>
  </si>
  <si>
    <t>This work was supported by the Coordination for the Improvement of Higher Education Personnel-CAPES [Finance Code 001]; and National Council for Scientific and Technological Development-CNPq [grants 308059/2022-0 and 441817/2023-8].</t>
  </si>
  <si>
    <t>[Bessa, Renato Freitas; de Oliveira, Adonias Caetano; Bessa, Rafael Freitas; Sousa, Daniel Lima; Teles, Ariel Soares] Parnaiba Delta Fed Univ, Postgrad Program Biotechnol, BR-64202020 Parnaiba, Brazil; [Bessa, Renato Freitas; Barbosa, Amanda] Univ Paulista UNIP, Parnaiba Unit, BR-01311000 Parnaiba, Brazil; [de Oliveira, Adonias Caetano] Fed Inst Ceara, Fac Comp Engn, Campus Tiangua, BR-62930000 Tiangua, Brazil; [Alves, Rafaela; Carneiro, Alinne; Soares, Carla] Parnaiba Valley Higher Educ Inst IESVAP AFYA, Fac Human Exact &amp; Hlth Sci, BR-64212790 Parnaiba, Brazil; [Teles, Ariel Soares] Fed Inst Maranhao, Fac Elect Engn, Campus Araioses, BR-65030005 Araioses, Brazil</t>
  </si>
  <si>
    <t>Universidade Paulista; Instituto Federal do Ceara (IFCE); Instituto Federal do Maranhao</t>
  </si>
  <si>
    <t>Performance Comparison of Large Language Models on Brazil's Medical Revalidation Exam for Foreign-Trained Graduates</t>
  </si>
  <si>
    <t>health informatics; artificial intelligence; large language model, LLMs; performance analysis; medical licensing; medical education; natural language processing, NLP</t>
  </si>
  <si>
    <t>Soares Teles, Ariel/AAA-7305-2022; de Oliveira, Adonias Caetano/HSG-3802-2023; Vieira Soares, Carla/GPS-9132-2022</t>
  </si>
  <si>
    <t>Soares Teles, Ariel/0000-0002-0840-3870; Barbosa Miranda, Amanda/0009-0002-4608-0731; de Oliveira, Adonias Caetano/0000-0002-5643-2916; , Renato Freitas Bessa/0009-0005-8989-768X; Lima Sousa, Daniel/0000-0001-5031-1147; de Brito Alves, Rafaela/0000-0002-5416-1163</t>
  </si>
  <si>
    <t>JUN 25 2025</t>
  </si>
  <si>
    <t>7134</t>
  </si>
  <si>
    <t>10.3390/app15137134</t>
  </si>
  <si>
    <t>http://dx.doi.org/10.3390/app15137134</t>
  </si>
  <si>
    <t>4TJ1Q</t>
  </si>
  <si>
    <t>WOS:001526204800001</t>
  </si>
  <si>
    <t>Long, C; Subburam, D; Lowe, K; dos Santos, A; Zhang, J; Hwang, S; Saduka, N; Horev, Y; Su, T; Côté, DWJ; Wright, ED</t>
  </si>
  <si>
    <t>ObjectiveThe recent surge in popularity of large language models (LLMs), such as ChatGPT, has showcased their proficiency in medical examinations and potential applications in health care. However, LLMs possess inherent limitations, including inconsistent accuracy, specific prompting requirements, and the risk of generating harmful hallucinations. A domain-specific model might address these limitations effectively.Study DesignDevelopmental design.SettingVirtual.MethodsOtolaryngology-head and neck surgery (OHNS) relevant data were systematically gathered from open-access Internet sources and indexed into a knowledge database. We leveraged Retrieval-Augmented Language Modeling to recall this information and utilized it for pretraining, which was then integrated into ChatGPT4.0, creating an OHNS-specific knowledge question &amp; answer platform known as ChatENT. The model is further tested on different types of questions.ResultsChatENT showed enhanced performance in the analysis and interpretation of OHNS information, outperforming ChatGPT4.0 in both the Canadian Royal College OHNS sample examination questions challenge and the US board practice questions challenge, with a 58.4% and 26.0% error reduction, respectively. ChatENT generated fewer hallucinations and demonstrated greater consistency.ConclusionTo the best of our knowledge, ChatENT is the first specialty-specific knowledge retrieval artificial intelligence in the medical field that utilizes the latest LLM. It appears to have considerable promise in areas such as medical education, patient education, and clinical decision support. The model has demonstrated the capacity to overcome the limitations of existing LLMs, thereby signaling a future of more precise, safe, and user-friendly applications in the realm of OHNS and other medical fields.</t>
  </si>
  <si>
    <t>Long, Cai; Subburam, Deepak; Lowe, Kayle; dos Santos, Andre; Zhang, Jessica; Hwang, Sang; Saduka, Neil; Horev, Yoav; Su, Tao; Cote, David W. J.; Wright, Erin D.</t>
  </si>
  <si>
    <t>Long, C (corresponding author), Univ Alberta, Div Otolaryngol Head &amp; Neck Surg, 1E4 8440 112 St Northwest, Edmonton, AB T6G 2B7, Canada.</t>
  </si>
  <si>
    <t>cai.long.med@gmail.com</t>
  </si>
  <si>
    <t>[Long, Cai; Hwang, Sang; Horev, Yoav; Cote, David W. J.; Wright, Erin D.] Univ Alberta, Div Otolaryngol Head &amp; Neck Surg, 1E4 8440 112 St Northwest, Edmonton, AB T6G 2B7, Canada; [Subburam, Deepak; Su, Tao] Copula AI, New York, NY USA; [Lowe, Kayle; Zhang, Jessica] Univ Alberta, Fac Med, Edmonton, AB, Canada; [dos Santos, Andre] Alberta Machine Intelligence Inst, Edmonton, AB, Canada; [Saduka, Neil] Reeder AI, New York, NY USA</t>
  </si>
  <si>
    <t>University of Alberta; University of Alberta</t>
  </si>
  <si>
    <t>ChatENT: Augmented Large Language Model for Expert Knowledge Retrieval in Otolaryngology-Head and Neck Surgery</t>
  </si>
  <si>
    <t>artificial intelligence; augmented language modeling; digital health; ear, nose and throat; language models; large language model; leveraged retrieval; otolaryngology</t>
  </si>
  <si>
    <t>Wright, Erin/ABB-7080-2020; Zhang, Jessica/KHE-4368-2024</t>
  </si>
  <si>
    <t>Subburam, Deepak/0009-0008-5695-2402; Long, Cai/0000-0002-5311-7355; Lowe, Kayle/0009-0006-7940-333X; , Jessica/0000-0002-1578-8529</t>
  </si>
  <si>
    <t>171</t>
  </si>
  <si>
    <t>1042</t>
  </si>
  <si>
    <t>1051</t>
  </si>
  <si>
    <t>10.1002/ohn.864</t>
  </si>
  <si>
    <t>http://dx.doi.org/10.1002/ohn.864</t>
  </si>
  <si>
    <t>I5V6M</t>
  </si>
  <si>
    <t>38895862</t>
  </si>
  <si>
    <t>WOS:001249520500001</t>
  </si>
  <si>
    <t>Canpolat, AG; Aksu, ÖB; Emral, R; Canpolat, U</t>
  </si>
  <si>
    <t>Background/Objectives: Secondary hypertension (SH) requires complex diagnostic reasoning and guideline-based management, posing substantial challenges for artificial intelligence-driven clinical decision-support systems. This study aimed to comparatively evaluate the performance of three large language models (LLMs) in diagnostic reasoning, clinical management, follow-up planning, and patient-oriented communication in SH. Methods: In this cross-sectional blinded study, three LLMs-GPT-5.2 (OpenAI), Claude Sonnet 4.6 (Anthropic), and Gemini 3.0 Pro (Google)-were evaluated using 10 expert-developed clinical case vignettes representing major etiologies of SH. Model outputs were anonymized and independently assessed by three senior clinicians (two endocrinologists and one cardiologist) using a 7-point Likert scale across five domains: (1) diagnostic accuracy and hallucination control, (2) quality and comprehensiveness, (3) reliability and clinical guidance, (4) efficiency of diagnostic workup, and (5) clinical usability. Group differences were analyzed using Kruskal-Wallis tests with Bonferroni-corrected pairwise comparisons. Inter-rater agreement was assessed using two-way mixed-effects intraclass correlation coefficients with absolute agreement. Results: A total of 90 blinded expert evaluations were analyzed. GPT-5.2 (6.0, Q1-Q3 5.40-6.05) and Gemini 3 Pro (5.2, Q1-Q3 4.55-6.20) (H = 40.055, p &lt; 0.001). The results indicated a clear performance hierarchy, with Claude Sonnet 4.6 receiving the highest overall scores, followed by GPT-5.2 and Gemini 3 Pro. Pairwise analyses showed higher scores for Claude Sonnet 4.6 than the other models in most domains, while efficiency of diagnostic workup showed smaller between-model differences. GPT-5.2 generally showed intermediate performance, with higher ratings than Gemini 3 Pro in reliability and clinical usability. Performance differences were most pronounced in domains requiring complex clinical reasoning, whereas efficiency of diagnostic workup scores was relatively comparable among models. Claude Sonnet 4.6 ranked first in nine of the ten clinical vignettes. Inter-rater agreement analyses demonstrated consistent ranking patterns among evaluators. Conclusions: These exploratory findings suggest heterogeneous and model-dependent performance of LLMs in secondary hypertension-related clinical tasks. A clear clinician-rated performance hierarchy was observed, with differences most apparent in domains requiring complex clinical reasoning. However, given the pilot vignette-based design and limited sample size, these results should be interpreted as hypothesis-generating and require confirmation in larger, multicenter validation studies before routine clinical implementation can be considered.</t>
  </si>
  <si>
    <t>Canpolat, Asena Gokcay; Aksu, Ozge Bas; Emral, Rifat; Canpolat, Ugur</t>
  </si>
  <si>
    <t>Canpolat, AG (corresponding author), Ankara Univ, Sch Med, Dept Endocrinol &amp; Metab, TR-06230 Ankara, Turkiye.</t>
  </si>
  <si>
    <t>asena-gokcay@hotmail.com; rifatemral@gmail.com; dru_canpolat@yahoo.com; ozgebasaksu@gmail.com</t>
  </si>
  <si>
    <t>[Canpolat, Asena Gokcay; Aksu, Ozge Bas; Emral, Rifat] Ankara Univ, Sch Med, Dept Endocrinol &amp; Metab, TR-06230 Ankara, Turkiye; [Canpolat, Ugur] Hacettepe Univ, Sch Med, Dept Cardiol, TR-06230 Ankara, Turkiye</t>
  </si>
  <si>
    <t>Ankara University; Hacettepe University</t>
  </si>
  <si>
    <t>Diagnostic Performance and Workup Efficiency of Large Language Models in Secondary Hypertension: A Blinded Comparative Study</t>
  </si>
  <si>
    <t>secondary hypertension; large language models; artificial intelligence; clinical decision support; diagnostic reasoning; chatbot comparison; hallucination; diagnostic workup efficiency</t>
  </si>
  <si>
    <t>MANAGEMENT; LLMS</t>
  </si>
  <si>
    <t>Canpolat, Ugur/S-3482-2018; GÖKÇAY CANPOLAT, ASENA/AAH-1447-2020; emral, rıfat/AAH-1386-2020; BasAksu, Ozge/MGT-0679-2025</t>
  </si>
  <si>
    <t>JUL 10 2026</t>
  </si>
  <si>
    <t>2165</t>
  </si>
  <si>
    <t>10.3390/diagnostics16142165</t>
  </si>
  <si>
    <t>http://dx.doi.org/10.3390/diagnostics16142165</t>
  </si>
  <si>
    <t>LU2JD</t>
  </si>
  <si>
    <t>42510028</t>
  </si>
  <si>
    <t>WOS:001833349400001</t>
  </si>
  <si>
    <t>Huang, JY; Yu, H; Chen, JJ; Wang, XY; Huang, LZ; Wen, JJ; Li, H</t>
  </si>
  <si>
    <t>Objective Large language models (LLMs), a core technology of generative artificial intelligence (AI), are increasingly used in health education and promotion. Although they may expand access to medical information, concerns remain regarding the reliability and readability of AI generated content for the public. This study evaluated the reliability and readability of answers generated by five LLMs to common questions about perinatal depression. The primary aims were to determine (1) the reliability of LLM responses to frequently asked questions about perinatal depression and (2) whether the readability of the generated content aligns with public health literacy levels.Methods Twenty-seven frequently asked questions were derived from Google Trends and patient facing resources from the American College of Obstetricians and Gynecologists (ACOG). Each question was submitted to ChatGPT-5, Gemini-2.5, Microsoft Copilot, Grok4, and DeepSeek. Two obstetricians independently rated responses using five validated instruments (DISCERN, EQIP, JAMA, GQS, and HONCODE) and inter-rater agreement was quantified using the interclass correlation coefficient (ICC). Readability was assessed using six indices: ARI, GFI, CLI, OLWF, LWGLF, and FRF. Differences among models were analyzed using the Friedman test.Results Inter rater agreement was high across 27 perinatal depression questions. ICC values ranged from 0.729 to 0.847. Significant between model differences emerged for DISCERN, EQIP, and HONCODE. All had p less than 0.001. No overall differences were found for JAMA and GQS. Grok4 scored highest on DISCERN at 60.33 +/- 5.48. DeepSeek scored highest on EQIP at 53.04 +/- 4.91. Copilot scored highest on HONCODE at 9.26 +/- 1.85. These results highlight distinct strengths in quality constructs across instruments. Readability posed a common limitation. All models exceeded the NIH recommended sixth grade level on grade-based indices (for example, ARI ranged from 13.49 +/- 2.92 to 15.81 +/- 3.25). Similarly, OLWF scores fell well below the sixth-grade benchmark of 94 (ranging from 61.44 +/- 6.80 to 72.96 +/- 10.39, where higher scores denote easier reading). Most models produced empathetic and informative content. However, they fell short in fully addressing clinical safety standards.Conclusion Most LLMs demonstrated moderate to high reliability when responding to perinatal depression questions, supporting their potential as supplementary sources of health information. However, readability levels above recommended benchmarks suggest that current outputs may remain challenging for individuals with lower health literacy. While LLMs improve information accessibility, further improvements in readability, source attribution, and ethical transparency are needed to maximize public benefit and support equitable health communication. Future work should focus on defining and standardizing safety behaviors in high-risk mental health contexts to enable reliable clinical deployment.</t>
  </si>
  <si>
    <t>Huang, Jingyu; Yu, Hua; Chen, Junjian; Wang, Xinyue; Huang, Lizhi; Wen, Junjie; Li, Hui</t>
  </si>
  <si>
    <t>Li, H (corresponding author), Guangxi Univ Chinese Med, Ruikang Hosp, Dept Nursing, Nanning, Peoples R China.</t>
  </si>
  <si>
    <t>907365337@qq.com</t>
  </si>
  <si>
    <t>[Huang, Jingyu] Univ Macau, Fac Hlth Sci, Taipa, Peoples R China; [Yu, Hua; Li, Hui] Guangxi Univ Chinese Med, Ruikang Hosp, Dept Nursing, Nanning, Peoples R China; [Chen, Junjian] Guangxi Med Univ, Affiliated Hosp 2, Dept Gastroenterol, Nanning, Peoples R China; [Wang, Xinyue] GuangXi Univ Chinese Med, Nanning, Peoples R China; [Huang, Lizhi] Harbin Med Univ, Dept Med Informat, Harbin, Peoples R China; [Wen, Junjie] Southwest Jiaotong Univ, Hope Coll, Chengdu, Peoples R China</t>
  </si>
  <si>
    <t>University of Macau; Guangxi University of Chinese Medicine; Guangxi Medical University; Guangxi University of Chinese Medicine; Harbin Medical University; Southwest Jiaotong University; Southwest Jiaotong University Hope College</t>
  </si>
  <si>
    <t>Can large language models be trusted? Reliability and readability of responses to perinatal depression FAQs</t>
  </si>
  <si>
    <t>generative artificial intelligence; health information quality; large language models; perinatal depression; postpartum depression; readability</t>
  </si>
  <si>
    <t>UNINTENDED PREGNANCY; INFORMATION; HEALTH; QUALITY</t>
  </si>
  <si>
    <t>FEB 23 2026</t>
  </si>
  <si>
    <t>1760872</t>
  </si>
  <si>
    <t>10.3389/fpubh.2026.1760872</t>
  </si>
  <si>
    <t>http://dx.doi.org/10.3389/fpubh.2026.1760872</t>
  </si>
  <si>
    <t>ES5PV</t>
  </si>
  <si>
    <t>41810293</t>
  </si>
  <si>
    <t>WOS:001708717800001</t>
  </si>
  <si>
    <t>Dong, YN; Zhang, ZL; Zhi, Y; Li, XY; Guo, TY; He, LL; Zhao, SR; Yang, XL; Tang, JT; Zhong, W; Niu, QH; Ma, MY; Huang, ZX; Mao, YM</t>
  </si>
  <si>
    <t>Background &amp; Aims: Drug-induced liver injury (DILI) is a complex condition often linked to medication behaviors, with patient education having a crucial role in optimizing outcomes. Large language models (LLMs) could serve as promising tools for scalable patient support, but their utility remains unclear. This study systematically evaluated the capability of six popular open-and closed-source LLMs in addressing common DILI-related queries, focusing on patient-centered education. Methods: Twenty-eight frequently asked DILI questions were collected with input from hepatologists and patients (n = 15), and categorized into six clinical domains. Responses from six LLMs (GPT-4, GPT-3.5, Claude-2, Claude-1.3, Gemini, and LLaMA-3.1-405B) were anonymized, randomized, and independently evaluated by three hepatologists for accuracy, comprehensiveness, and safety. Additional analyses included automated readability assessment, domain-specific analysis, detailed expert-led error analysis, and direct comparison with physician responses. Results: LLaMA-3.1-405B achieved the highest performance across most domains, with mean accuracy, comprehensiveness, and safety scores of 8.18 +/- 1.68, 3.86 +/- 0.70, and 4.02 +/- 0.84, respectively, significantly surpassing other models (Dunn's post hoc test, all p &lt;0.05). O1-preview ranked second (accuracy, 7.29 +/- 1.38; safety, 3.80 +/- 0.92), whereas GPT-3.5-Turbo consistently performed worst (accuracy, 4.61 +/- 1.17; comprehensiveness, 2.13 +/- 0.79). In direct comparison with physicians, both LLaMA-3.1-405B and o1-preview significantly outperformed residents and primary care physicians across all metrics (p &lt;0.05). Error analysis showed that omission of crucial information accounted for 72% of errors, predominantly in GPT-3.5-Turbo, whereas hallucinations were rare (&lt;10%) but notable in LLaMA outputs. Conclusion: This study represents the first systematic evaluation of LLMs for DILI-focused patient education. High-performing, publicly accessible LLMs demonstrate the potential to deliver accurate, comprehensive, and safe health information, even surpassing physician responses. (c) 2025 The Author(s). Published by Elsevier B.V. on behalf of European Association for the Study of the Liver (EASL). This is an open access article under the CC BY-NC-ND license (http://creativecommons.org/licenses/by-nc-nd/4.0/).</t>
  </si>
  <si>
    <t>Dong, Yinuo; Zhang, Zili; Zhi, Yang; Li, Xiaoyun; Guo, Tengyu; He, Lanlan; Zhao, Shuran; Yang, Xueli; Tang, Jieting; Zhong, Wei; Niu, Qinghui; Ma, Mingyang; Huang, Zuxiong; Mao, Yimin</t>
  </si>
  <si>
    <t>Mao, YM (corresponding author), 145 Middle Shandong Rd, Shanghai 200001, Peoples R China.</t>
  </si>
  <si>
    <t>maoym11968@163.com</t>
  </si>
  <si>
    <t>National Key R&amp;D Program of China [2022YFC3502101]; National Natural Science Foundation of China [NSFC 82270619, NSFC 82470621]</t>
  </si>
  <si>
    <t>National Key R&amp;D Program of China (National Key Research &amp; Development Program of China); National Natural Science Foundation of China (National Natural Science Foundation of China (NSFC))</t>
  </si>
  <si>
    <t>This work was supported by the National Key R&amp;D Program of China (2022YFC3502101) and the National Natural Science Foundation of China (NSFC 82270619, NSFC 82470621) .</t>
  </si>
  <si>
    <t>[Dong, Yinuo; Zhi, Yang; Li, Xiaoyun; Guo, Tengyu; Tang, Jieting; Zhong, Wei; Mao, Yimin] Shanghai Jiao Tong Univ, Renji Hosp, Div Gastroenterol &amp; Hepatol, Sch Med, Shanghai 200001, Peoples R China; [Dong, Yinuo; Zhi, Yang; Li, Xiaoyun; Guo, Tengyu; Tang, Jieting; Zhong, Wei; Mao, Yimin] NHC Key Lab Digest Dis, Shanghai 200001, Peoples R China; [Dong, Yinuo; Zhi, Yang; Li, Xiaoyun; Guo, Tengyu; Tang, Jieting; Zhong, Wei; Mao, Yimin] Shanghai Res Ctr Fatty Liver Dis, Shanghai 200001, Peoples R China; [Zhang, Zili] Shanghai Jiao Tong Univ, Sch Med, Peoples Hosp 9, Dept Ophthalmol, Shanghai 200025, Peoples R China; [Li, Xiaoyun] Fujian Med Univ, Affiliated Hosp 1, Fujian Clin Res Ctr Liver &amp; Intestinal Dis, Hepatol Res Inst,Dept Hepatol, Fuzhou 350001, Fujian, Peoples R China; [He, Lanlan; Huang, Zuxiong] Fujian Med Univ, Mengchao Hepatobiliary Hosp, Dept Liver Dis, Fuzhou 350025, Fujian, Peoples R China; [Zhao, Shuran; Yang, Xueli] Tangqiao Community Hlth Serv Ctr, Shanghai, Peoples R China; [Niu, Qinghui] Qingdao Univ Hosp, Dept Liver Dis, Qingdao, Peoples R China; [Ma, Mingyang] Tianjin Med Univ Gen Hosp, Dept Gen Surg, Tianjin 300052, Peoples R China</t>
  </si>
  <si>
    <t>Shanghai Jiao Tong University; Shanghai Jiao Tong University; Fujian Medical University; Fujian Medical University; Tianjin Medical University</t>
  </si>
  <si>
    <t>Evaluating large language models' performance in answering common questions on drug-induced liver injury</t>
  </si>
  <si>
    <t>JHEP REPORTS</t>
  </si>
  <si>
    <t>Natural language processing; Large language model; Artificial intelligence; Drug-induced liver injury; Patient education; Evaluation</t>
  </si>
  <si>
    <t>Huang, Zu-Xiong/AGC-7023-2022; Xiaoyun, Li/IAO-4695-2023; Ma, Mingyang/JDW-6179-2023; Dong, Yinuo/HLG-1291-2023; Mao, Yimin/AAC-9226-2021</t>
  </si>
  <si>
    <t>Zhang, Zili/0009-0001-9259-666X; Zhi, Yang/0009-0008-9755-7230</t>
  </si>
  <si>
    <t>2589-5559</t>
  </si>
  <si>
    <t>JHEP REP</t>
  </si>
  <si>
    <t>JHEP Rep.</t>
  </si>
  <si>
    <t>101579</t>
  </si>
  <si>
    <t>10.1016/j.jhepr.2025.101579</t>
  </si>
  <si>
    <t>http://dx.doi.org/10.1016/j.jhepr.2025.101579</t>
  </si>
  <si>
    <t>D3835</t>
  </si>
  <si>
    <t>41321931</t>
  </si>
  <si>
    <t>WOS:001621477300002</t>
  </si>
  <si>
    <t>Kollayan, BY; Cebeci, T</t>
  </si>
  <si>
    <t>BackgroundAs patients increasingly consult large language models (LLMs) for health-related information, evaluating the clinical safety of AI-generated responses has become essential, particularly in high-risk domains such as oral oncology. Despite growing interest in AI applications in medicine, evidence regarding response consistency and referral safety in patient communication remains limited. This study aimed to assess the clinical safety of two contemporary LLMs in oral cancer-related patient scenarios using a multidimensional evaluation framework.MethodsThis repeated-prompt observational study evaluated Google Gemini (Pro version) and xAI Grok (Grok-1) over a 7-day period. Twenty standardized Turkish-language patient scenarios related to suspected oral cancer were submitted daily to each model, generating 280 responses. Scientific accuracy and completeness were assessed using a 5-point Likert scale by two independent oral and maxillofacial radiologists. Readability was evaluated using validated Turkish indices (Ate &amp; scedil;man and Bezirci-Y &amp; imath;lmaz). Referral safety was assessed as a binary outcome. Internal consistency across repeated prompts was measured using Cronbach's alpha, and inter-model agreement was analyzed using intraclass correlation coefficients (ICC).ResultsBoth models demonstrated comparable levels of scientific accuracy (Gemini: 3.52 +/- 0.57; Grok: 3.39 +/- 0.68; p = 0.072) and completeness (3.40 +/- 0.70 vs. 3.25 +/- 0.78; p = 0.091). Overall referral safety was high (Gemini: 90.0%; Grok: 92.1%), although the Gemini model failed to recommend professional consultation in two high-risk scenarios involving suspected malignancy. In contrast, Grok consistently recommended referral across all scenarios. Readability scores were similar between models; however, Grok generated significantly longer sentences (p = 0.0005; Cohen's d = 2.50), indicating increased linguistic complexity. Internal consistency was high for both models (Gemini alpha = 0.942; Grok alpha = 0.886), whereas inter-model agreement was moderate (ICC: 0.50-0.58).ConclusionsContemporary LLMs demonstrate generally acceptable accuracy and a precautionary approach in oral cancer-related communication. However, variability in referral behavior and linguistic structure, along with occasional under-referral in high-risk scenarios, highlights potential clinical risks. While these systems may support patient education and triage, they should be considered adjunctive tools and not substitutes for professional evaluation. Further research is needed to optimize the balance between clinical caution and appropriate guidance in AI-assisted healthcare communication.</t>
  </si>
  <si>
    <t>Kollayan, Burcu Yeliz; Cebeci, Tugba</t>
  </si>
  <si>
    <t>Kollayan, BY (corresponding author), Mehmet Akif Ersoy Univ, Fac Dent, Dept Oral &amp; Maxillofacial Radiol, Burdur, Turkiye.</t>
  </si>
  <si>
    <t>byevran@hotmail.com</t>
  </si>
  <si>
    <t>Not applicable.</t>
  </si>
  <si>
    <t>[Kollayan, Burcu Yeliz] Mehmet Akif Ersoy Univ, Fac Dent, Dept Oral &amp; Maxillofacial Radiol, Burdur, Turkiye; [Cebeci, Tugba] Istanbul Aydin Univ, Fac Dent, Dept Oral &amp; Maxillofacial Radiol, Istanbul, Turkiye</t>
  </si>
  <si>
    <t>Mehmet Akif Ersoy University; Istanbul Aydin University</t>
  </si>
  <si>
    <t>Evaluating the clinical safety of large language models in oral cancer-related patient communication: a repeated-prompt observational study</t>
  </si>
  <si>
    <t>Oral cancer; Artificial intelligence; Large language models; Patient communication; Readability</t>
  </si>
  <si>
    <t>Cebeci, Tuğba/0009-0009-8068-4652</t>
  </si>
  <si>
    <t>MAY 5 2026</t>
  </si>
  <si>
    <t>1112</t>
  </si>
  <si>
    <t>10.1186/s12903-026-08530-0</t>
  </si>
  <si>
    <t>http://dx.doi.org/10.1186/s12903-026-08530-0</t>
  </si>
  <si>
    <t>JY0NK</t>
  </si>
  <si>
    <t>42087133</t>
  </si>
  <si>
    <t>WOS:001800677000001</t>
  </si>
  <si>
    <t>Omar, M; Sorin, V; Collins, JD; Reich, D; Freeman, R; Gavin, N; Charney, A; Stump, L; Bragazzi, NL; Nadkarni, GN; Klang, E</t>
  </si>
  <si>
    <t>Background 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Methods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Results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Conclusions LLMs are highly susceptible to adversarial hallucination attacks, frequently generating false clinical details that pose risks when used without safeguards. While prompt engineering reduces errors, it does not eliminate them.</t>
  </si>
  <si>
    <t>Omar, Mahmud; Sorin, Vera; Collins, Jeremy D.; Reich, David; Freeman, Robert; Gavin, Nicholas; Charney, Alexander; Stump, Lisa; Bragazzi, Nicola Luigi; Nadkarni, Girish N.; Klang, Eyal</t>
  </si>
  <si>
    <t>Omar, M; Nadkarni, GN; Klang, E (corresponding author), Mt Sinai Med Ctr, Windreich Dept Artificial Intelligence &amp; Human Hlt, New York, NY 10017 USA.; Omar, M; Nadkarni, GN; Klang, E (corresponding author), Icahn Sch Med Mt Sinai, Div Data Driven &amp; Digital Med D3M, New York, NY 10017 USA.; Omar, M; Nadkarni, GN; Klang, E (corresponding author), Icahn Sch Med Mt Sinai, Hasso Plattner Inst Digital Hlth, New York, NY 10017 USA.</t>
  </si>
  <si>
    <t>Eyal.Klang@mountsinai.org; Mahmudomar70@gmail.com; girish.nadkarni@mountsinai.org</t>
  </si>
  <si>
    <t>Clinical and Translational Science Awards (CTSA) [UL1TR004419]; National Center for Advancing Translational Sciences; Office of Research Infrastructure of the National Institutes of Health [S10OD026880, S10OD030463]</t>
  </si>
  <si>
    <t>Clinical and Translational Science Awards (CTSA) (United States Department of Health &amp; Human Services, National Institutes of Health (NIH) - USA, NIH National Center for Advancing Translational Sciences (NCATS)); National Center for Advancing Translational Sciences (United States Department of Health &amp; Human Services, National Institutes of Health (NIH) - USA, NIH National Center for Advancing Translational Sciences (NCATS)); Office of Research Infrastructure of the National Institutes of Health</t>
  </si>
  <si>
    <t>This work was supported in part through the computational and data resources and staff expertise provided by Scientific Computing and Data at the Icahn School of Medicine at Mount Sinai and supported by the Clinical and Translational Science Awards (CTSA) grant UL1TR004419 from the National Center for Advancing Translational Sciences. Research reported in this publication was also supported by the Office of Research Infrastructure of the National Institutes of Health under award numbers S10OD026880 and S10OD030463. The content is solely the responsibility of the authors and does not necessarily represent the official views of the National Institutes of Health. The funders played no role in study design, data collection, analysis, and interpretation of data, or the writing of this manuscript.</t>
  </si>
  <si>
    <t>[Omar, Mahmud; Charney, Alexander; Nadkarni, Girish N.; Klang, Eyal] Mt Sinai Med Ctr, Windreich Dept Artificial Intelligence &amp; Human Hlt, New York, NY 10017 USA; [Omar, Mahmud; Charney, Alexander; Nadkarni, Girish N.; Klang, Eyal] Icahn Sch Med Mt Sinai, Div Data Driven &amp; Digital Med D3M, New York, NY 10017 USA; [Omar, Mahmud; Charney, Alexander; Nadkarni, Girish N.; Klang, Eyal] Icahn Sch Med Mt Sinai, Hasso Plattner Inst Digital Hlth, New York, NY 10017 USA; [Sorin, Vera; Collins, Jeremy D.] Mayo Clin, Diagnost Radiol, Rochester, MN USA; [Reich, David] Icahn Sch Med Mt Sinai, Dept Anesthesiol Perioperat &amp; Pain Med, New York, NY USA; [Freeman, Robert; Stump, Lisa] Icahn Sch Med Mt Sinai, Inst Healthcare Delivery Sci, New York, NY USA; [Gavin, Nicholas] Icahn Sch Med Mt Sinai, Dept Emergency Med, New York, NY USA; [Bragazzi, Nicola Luigi] Ludwig Maximilians Univ LMU Munich, Univ Hosp, Inst Stroke &amp; Dementia Res ISD, Munich, Germany</t>
  </si>
  <si>
    <t>Icahn School of Medicine at Mount Sinai; Icahn School of Medicine at Mount Sinai; Icahn School of Medicine at Mount Sinai; Mayo Clinic; Icahn School of Medicine at Mount Sinai; Icahn School of Medicine at Mount Sinai; Icahn School of Medicine at Mount Sinai; University of Munich</t>
  </si>
  <si>
    <t>Multi-model assurance analysis showing large language models are highly vulnerable to adversarial hallucination attacks during clinical decision support</t>
  </si>
  <si>
    <t>Omar, Mahmud/HZH-7714-2023; mirzaei, hamed/X-2374-2018; Sorin, Vera/IAR-4247-2023; Bragazzi, Nicola Luigi/G-1672-2011</t>
  </si>
  <si>
    <t>Omar, Mahmud/0009-0001-0438-0827; Klang, Eyal/0000-0002-4567-3108; Gavin, Nicholas/0000-0001-6900-3953; Sorin, Vera/0000-0003-0509-4686; Bragazzi, Nicola Luigi/0000-0001-8409-868X; Freeman, Robert/0000-0003-4946-6533</t>
  </si>
  <si>
    <t>78</t>
  </si>
  <si>
    <t>Communications Med.</t>
  </si>
  <si>
    <t>AUG 2 2025</t>
  </si>
  <si>
    <t>330</t>
  </si>
  <si>
    <t>10.1038/s43856-025-01021-3</t>
  </si>
  <si>
    <t>http://dx.doi.org/10.1038/s43856-025-01021-3</t>
  </si>
  <si>
    <t>5SH1C</t>
  </si>
  <si>
    <t>40753316</t>
  </si>
  <si>
    <t>WOS:001543132800001</t>
  </si>
  <si>
    <t>Clackett, W; Zealley, IA; Yang, ZL; Salahia, G; White, RD</t>
  </si>
  <si>
    <t>Objectives This study aimed to evaluate the feasibility of using a large language model (LLM) to generate patient information leaflets (PILs) with improved readability based on PILs in the field of interventional radiology. Methods PILs were acquired from the Cardiovascular and Interventional Radiology Society of Europe website, reformatted, and uploaded to the GPT-4 user interface with a prompt aimed to simplify the language. Automated readability metrics were used to evaluate the readability of original and LLM-modified PILs. Factual accuracy was assessed by human evaluation from three consultant interventional radiologists using an agreed marking scheme. Results LLM-modified PILs had significantly lower mean reading grade (9.5 +/- 0.5) compared with original PILs (11.1 +/- 0.1) (p&lt;0.01). However, the recommended reading grade of 6 (expected to be understood by 11- to 12-year-old children) was not achieved. Human evaluation revealed that most LLM-modified PILs had minor concerns regarding factual accuracy, but no errors that could result in serious patient harm were detected. Discussion LLMs appear to be a powerful tool in improving the readability of PILs within the field of interventional radiology. However, clinical experts are still required in PIL development to ensure the factual accuracy of these augmented documents is not compromised. Conclusion LLMs should be considered as a useful tool to assist with the development and revision of PILs in the field of interventional radiology.</t>
  </si>
  <si>
    <t>Clackett, William; Zealley, Ian A.; Yang, Zelei; Salahia, Ghali; White, Richard D.</t>
  </si>
  <si>
    <t>Clackett, W (corresponding author), NHS Tayside, Dundee, Scotland.</t>
  </si>
  <si>
    <t>Richard.White3@wales.nhs.uk; ian.zealley2@nhs.scot; Zelei.Yang@wales.nhs.uk; M.Salahia@wales.nhs.uk; williamsclackett@gmail.com</t>
  </si>
  <si>
    <t>[Clackett, William; Zealley, Ian A.] NHS Tayside, Dundee, Scotland; [Yang, Zelei] North Bristol NHS Trust, Bristol, England; [Salahia, Ghali; White, Richard D.] Cardiff &amp; Vale Univ Hlth Board, Cardiff, Wales</t>
  </si>
  <si>
    <t>University of Dundee; North Bristol NHS Trust</t>
  </si>
  <si>
    <t>Better understanding: can a large language model safely improve readability of patient information leaflets in interventional radiology?</t>
  </si>
  <si>
    <t>Large Language Models; Health Literacy</t>
  </si>
  <si>
    <t>White, Richard/AAT-9034-2020</t>
  </si>
  <si>
    <t>White, Richard/0000-0002-2370-4575</t>
  </si>
  <si>
    <t>e101512</t>
  </si>
  <si>
    <t>10.1136/bmjhci-2025-101512</t>
  </si>
  <si>
    <t>http://dx.doi.org/10.1136/bmjhci-2025-101512</t>
  </si>
  <si>
    <t>8HE7J</t>
  </si>
  <si>
    <t>41052822</t>
  </si>
  <si>
    <t>WOS:001588586400001</t>
  </si>
  <si>
    <t>Özüdogru, S; Kaplan, TT</t>
  </si>
  <si>
    <t>Purpose This study aims to compare the responses provided by commonly used artificial intelligence-based chatbots such as ChatGPT-3.5, ChatGPT-4o, Gemini 2.0 Flash, and DeepSeek-R1 about dental local anesthesia, sedation, and general anesthesia in terms of accuracy, reliability, and readability. Methods Sixty questions were created from the American Dental Association (ADA) and American Society of Anesthesiologists (ASA) guidelines. Thirty were patient questions, thirty professional questions. Each group contained ten open-ended, ten multiple-choice, and ten true/false questions. The questions were submitted to ChatGPT-3.5, ChatGPT-4o, DeepSeek-R1, and Gemini 2.0 Flash. Four blinded pediatric dentists evaluated the answers with a modified global quality scale. Clinical safety and risk analysis were evaluated using a 3-point Likert scale. Readability was measured by Flesch Reading Ease Score (FRE) and Flesch-Kincaid Grade Level (FKGL). The intraclass correlation coefficient (ICC) tested inter-rater reliability. Significance was set at p &lt; 0.05. Results DeepSeek-R1 demonstrated the highest overall accuracy and inter-rater agreement, providing the most accurate and reliability responses across all question types (p &lt; 0.001). It was followed by Gemini 2.0 Flash, ChatGPT-4o, and ChatGPT-3.5. In terms of readability, Gemini 2.0 Flash consistently produced the most accessible responses, while DeepSeek-R1 was significantly less readable (p = 0.012). GPT-3.5 showed variability by question type, with MCQs being easier to read than open-ended ones (p = 0.027). No significant readability differences were observed across question types for ChatGPT-4o, Gemini 2.0 Flash, or DeepSeek-R1 (p &gt; 0.05). Conclusion Chatbot performance depends on both question type and evaluation criteria. DeepSeek-R1 excelled in accuracy and quality. Gemini 2.0 Flash produced the clearest, patient-friendly responses. AI chatbots can support communication in dental anesthesia. Choosing the right model may improve education, assist clinical training, and guide professional decisions.</t>
  </si>
  <si>
    <t>Ozudogru, Semanur; Tokgoz Kaplan, Taibe</t>
  </si>
  <si>
    <t>Özüdogru, S (corresponding author), Univ Istanbul Medeniyet, Fac Dent, Dept Pedodont, Istanbul, Turkiye.</t>
  </si>
  <si>
    <t>dtsema@hotmail.com; taibetokgozkaplan@karabuk.edu.tr</t>
  </si>
  <si>
    <t>No funding.</t>
  </si>
  <si>
    <t>[Ozudogru, Semanur] Univ Istanbul Medeniyet, Fac Dent, Dept Pedodont, Istanbul, Turkiye; [Tokgoz Kaplan, Taibe] Univ Karabuk, Fac Dent, Dept Pedodont, Karabuk, Turkiye</t>
  </si>
  <si>
    <t>Istanbul Medeniyet University; Karabuk University</t>
  </si>
  <si>
    <t>Evaluation of the accuracy, quality, and readability of large language models on local anesthesia and general anesthesia-sedation in dentistry</t>
  </si>
  <si>
    <t>BMC ANESTHESIOLOGY</t>
  </si>
  <si>
    <t>Artificial Intelligence; Chatbot; Readability; Dentistry; Anesthesia, Local; Anesthesia, General, Sedation</t>
  </si>
  <si>
    <t>Özüdoğru, Semanur/AGJ-8151-2022</t>
  </si>
  <si>
    <t>1471-2253</t>
  </si>
  <si>
    <t>BMC ANESTHESIOL</t>
  </si>
  <si>
    <t>BMC Anesthesiol.</t>
  </si>
  <si>
    <t>MAY 28 2026</t>
  </si>
  <si>
    <t>368</t>
  </si>
  <si>
    <t>10.1186/s12871-026-03934-5</t>
  </si>
  <si>
    <t>http://dx.doi.org/10.1186/s12871-026-03934-5</t>
  </si>
  <si>
    <t>Anesthesiology</t>
  </si>
  <si>
    <t>JS3VB</t>
  </si>
  <si>
    <t>42210079</t>
  </si>
  <si>
    <t>WOS:001796830600001</t>
  </si>
  <si>
    <t>Alexandrou, M; Kumar, S; Mahtani, AU; Strepkos, D; Carvalho, PEP; Mutlu, D; Ser, OS; Rempakos, A; Mastrodemos, OC; Rangan, BV; Jalli, S; Sandoval, Y; Brilakis, ES</t>
  </si>
  <si>
    <t>BACKGROUND Large language models (LLMs) are increasingly applied in interventional cardiology, but hallucinations limit their clinical utility. OBJECTIVES The aim of this study was to assess whether retrieval-augmented generation (RAG), a technique that allows LLMs to access guideline content during response generation, improves accuracy when answering questions on the basis of the guidelines for acute coronary syndromes. METHODS The accuracy of ChatGPT-4o, DeepSeek R1, and Med-PaLM 2 was compared using a set of 38 open-ended cardiology guideline-based questions and answers. ChatGPT-4o and DeepSeek R1 were evaluated with and without RAG, while Med-PaLM 2, a medicine-specific LLM, was tested without RAG. Model outputs were compared against guideline recommendations using an artificial intelligence-powered similarity score tool. RESULTS DeepSeek R1 with RAG achieved the highest accuracy (94.7%; 95% CI: 82.7%-98.5%), followed by ChatGPT-4o with RAG (92.1%; 95% CI: 79.2%-97.3%) (P = 0.922). ChatGPT-4o without RAG achieved 71.1% accuracy (95% CI: 55.2%-83.0%), which significantly improved with RAG (P = 0.017). Among non-RAG models, DeepSeek R1 demonstrated the highest accuracy (78.9%; 95% CI: 63.7%-88.9%), followed by ChatGPT-4o without RAG (71.1%) (P = 0.083). Med-PaLM 2 had the lowest accuracy (68.4%; 95% CI: 52.5%-80.9%). Spearman correlation analysis revealed a strong correlation between DeepSeek R1 without RAG and Med-PaLM 2 (r = 0.646; 95% CI: 0.411-0.800; P &lt; 0.001), indicating similar response patterns. Scatterplot analysis further revealed that RAG disproportionately improved lower scoring questions in DeepSeek R1 while improving scores more evenly in ChatGPT-4o. CONCLUSIONS Embedding guideline content into LLM workflows via RAG can enhance LLM accuracy for clinical applications, particularly in scenarios common to interventional cardiology. These results support the potential for LLMs, when enhanced with domain-specific knowledge, to optimize clinical decision making and increase alignment with guidelines. (JACC Cardiovasc Interv. 2025;18:2458-2467) (c) 2025 by the American College of Cardiology Foundation.</t>
  </si>
  <si>
    <t>Alexandrou, Michaella; Kumar, Sant; Mahtani, Arun Umesh; Strepkos, Dimitrios; Carvalho, Pedro E. P.; Mutlu, Deniz; Ser, Ozgur Selim; Rempakos, Athanasios; Mastrodemos, Olga C.; Rangan, Bavana V.; Jalli, Sandeep; Sandoval, Yader; Brilakis, Emmanouil S.</t>
  </si>
  <si>
    <t>Brilakis, ES (corresponding author), Minneapolis Heart Inst, 920 East 28th St,300, Minneapolis, MN 55407 USA.</t>
  </si>
  <si>
    <t>esbrilakis@gmail.com</t>
  </si>
  <si>
    <t>[Alexandrou, Michaella; Strepkos, Dimitrios; Carvalho, Pedro E. P.; Mutlu, Deniz; Ser, Ozgur Selim; Mastrodemos, Olga C.; Rangan, Bavana V.; Jalli, Sandeep; Sandoval, Yader; Brilakis, Emmanouil S.] Minneapolis Heart Inst, 920 East 28th St,300, Minneapolis, MN 55407 USA; [Alexandrou, Michaella; Strepkos, Dimitrios; Carvalho, Pedro E. P.; Mutlu, Deniz; Ser, Ozgur Selim; Mastrodemos, Olga C.; Rangan, Bavana V.; Jalli, Sandeep; Sandoval, Yader; Brilakis, Emmanouil S.] Abbott NW Hosp, Minneapolis Heart Inst Fdn, Minneapolis, MN USA; [Kumar, Sant] Creighton Univ, Sch Med, Dept Cardiol, Phoenix, AZ USA; [Mahtani, Arun Umesh] Virginia Commonwealth Univ, Dept Cardiol, Richmond, VA USA; [Rempakos, Athanasios] Corewell Hlth William Beaumont Univ Hosp, Dept Internal Med, Royal Oak, MI USA</t>
  </si>
  <si>
    <t>Minneapolis Heart Institute Foundation; Minneapolis Heart Institute Foundation; Creighton University; Virginia Commonwealth University</t>
  </si>
  <si>
    <t>Performance of Large Language Models on the Acute Coronary Syndrome Guidelines Using Retrieval-Augmented Generation</t>
  </si>
  <si>
    <t>JACC-CARDIOVASCULAR INTERVENTIONS</t>
  </si>
  <si>
    <t>artificial intelligence; cardiology; guidelines; large language model</t>
  </si>
  <si>
    <t>Mutlu, Deniz/GQY-8169-2022; Mahtani, Arun/HNP-7206-2023; CARVALHO, PEDRO EMANUEL DE PAULA/HLP-3357-2023; Brilakis, Emmanouil/B-5282-2009; Ser, Özgür Selim/ABQ-8770-2022</t>
  </si>
  <si>
    <t>Mutlu, Deniz/0000-0003-4432-4595; CARVALHO, PEDRO EMANUEL DE PAULA/0000-0002-0918-6759; Rempakos, Athanasios/0000-0002-2683-5255</t>
  </si>
  <si>
    <t>1936-8798</t>
  </si>
  <si>
    <t>1876-7605</t>
  </si>
  <si>
    <t>JACC-CARDIOVASC INTE</t>
  </si>
  <si>
    <t>JACC-Cardiovasc. Interv.</t>
  </si>
  <si>
    <t>OCT 27 2025</t>
  </si>
  <si>
    <t>2458</t>
  </si>
  <si>
    <t>2467</t>
  </si>
  <si>
    <t>10.1016/j.jcin.2025.08.019</t>
  </si>
  <si>
    <t>http://dx.doi.org/10.1016/j.jcin.2025.08.019</t>
  </si>
  <si>
    <t>9UH3A</t>
  </si>
  <si>
    <t>41161918</t>
  </si>
  <si>
    <t>WOS:001615189700002</t>
  </si>
  <si>
    <t>Leon, M; Feng, RB; Flores, MQ; Pelletier, G; Bethencourt, D; Shibata, M; He, H; Ruaengsri, C</t>
  </si>
  <si>
    <t>Background Large language models (LLMs) have demonstrated strong performance on standardized medical benchmarks. However, their potential in complex surgical decision-making is largely uncharacterized. Critically, human-LLM collaboration regarding the extent to which clinicians can effectively recognize and integrate model-generated reasoning has emerged as an unaddressed question. To address these gaps, we developed a two-phase evaluation framework to simultaneously assess LLM performance and human-LLM collaboration in cardiac surgery.Methods A panel of senior cardiac surgeons independently developed 15 high-fidelity cardiac surgery scenarios, each paired with a clinically relevant open-ended reasoning task, expert-curated reference answers, and a 10-dimensional weighted evaluation framework. Five representative LLMs (O1, O3-mini-high, DeepSeek-R1, GPT-4, and Llama3-OpenBioLLM-70B) were prompted using a multi-agent strategy. A separate group of senior surgeons conducted a blinded two-phase evaluation to assess model performance and evaluator judgment shifts: in the first round, they rated LLMs independently; in the second, they were shown the reference answers and invited to revise their ratings, with changes being optional.Results LLM performance varied across scenarios, but relative rankings remained stable. Median normalized scores were highest for O1 (0.896), followed by O3-mini-high (0.854), DeepSeek-R1 (0.792), GPT-4 (0.667), and Llama3-OpenBioLLM-70B (0.521). Across evaluation dimensions, scenario comprehension scored highest (0.920), while patient safety (0.507), hallucination avoidance (0.549), and clinical efficiency (0.597) were lowest across models. Second-round normalized scores declined for four LLMs, with 7.57% of ratings revised from affirmative to negative and only 2.59% from negative to affirmative. Among the five highest-weighted evaluation dimensions, 10.16% of second-round ratings were revised from affirmative to negative.Conclusions Reasoning-optimized LLMs outperformed all other models. However, all models exhibited clinical limitations, including poor performance in core evaluation dimensions and scenarios requiring complex, longitudinal reasoning tasks. Overacceptance was the dominant collaboration imbalance, reflecting that clinicians over-accepted model reasoning that appears clinically sound yet is incorrect or potentially harmful. These findings suggest that these LLMs are not yet ready for safe use in complex surgical settings due to both performance limitations and human-LLM collaboration imbalance.</t>
  </si>
  <si>
    <t>Leon, Marc; Feng, Ruibin; Flores, Manuel Quiroz; Pelletier, Glenn; Bethencourt, Daniel; Shibata, Masafumi; He, Hao; Ruaengsri, Chawannuch</t>
  </si>
  <si>
    <t>Leon, M; Ruaengsri, C (corresponding author), Stanford Univ, Sch Med, Dept Cardiothorac Surg, Stanford, CA 94305 USA.</t>
  </si>
  <si>
    <t>lianghl@stanford.edu; noot@stanford.edu</t>
  </si>
  <si>
    <t>Cardiovascular Health Innovation Fund from Stanford University School of Medicine</t>
  </si>
  <si>
    <t>The author(s) declared that financial support was received for this work and/or its publication. This work was supported by the Cardiovascular Health Innovation Fund from Stanford University School of Medicine.</t>
  </si>
  <si>
    <t>[Leon, Marc; Flores, Manuel Quiroz; Pelletier, Glenn; Bethencourt, Daniel; Shibata, Masafumi; He, Hao; Ruaengsri, Chawannuch] Stanford Univ, Sch Med, Dept Cardiothorac Surg, Stanford, CA 94305 USA; [Feng, Ruibin] Stanford Univ, Dept Med, Sch Med, Palo Alto, CA USA</t>
  </si>
  <si>
    <t>Stanford Medicine; Stanford University; Stanford University; Stanford Medicine</t>
  </si>
  <si>
    <t>Blinded two-phase evaluation of large language models in complex cardiac surgery: task-specific performance and human-AI collaboration</t>
  </si>
  <si>
    <t>blinded two-phase evaluation; cardiac surgery; clinical reasoning; human-AI collaboration; large language models</t>
  </si>
  <si>
    <t>Ruaengsri, Chawannuch/JTV-4553-2023</t>
  </si>
  <si>
    <t>MAY 29 2026</t>
  </si>
  <si>
    <t>1769467</t>
  </si>
  <si>
    <t>10.3389/fdgth.2026.1769467</t>
  </si>
  <si>
    <t>http://dx.doi.org/10.3389/fdgth.2026.1769467</t>
  </si>
  <si>
    <t>JK1SW</t>
  </si>
  <si>
    <t>42294049</t>
  </si>
  <si>
    <t>WOS:001791261300001</t>
  </si>
  <si>
    <t>Xu, RY; Hong, Y; Zhang, FF; Xu, HM</t>
  </si>
  <si>
    <t>Breast cancer is one of the most common malignant tumors in women worldwide. Although large language models (LLMs) can provide breast cancer nursing care consultation, inherent hallucinations can lead to inaccurate responses. Retrieval-augmented generation (RAG) technology can improve LLM performance, offering a new approach for clinical applications. In the present study, we evaluated the performance of a LLM in breast cancer nursing care using RAG technology. In the control group (GPT-4), questions were answered directly using the GPT-4 model, whereas the experimental group (RAG-GPT) used the GPT-4 model combined with RAG. A knowledge base for breast cancer nursing was created for the RAG-GPT group, and 15 of 200 real-world clinical care questions were answered randomly. The primary endpoint was overall satisfaction, and the secondary endpoints were accuracy and empathy. RAG-GPT included a curated knowledge base related to breast cancer nursing care, including textbooks, guidelines, and traditional Chinese therapy. The RAG-GPT group showed significantly higher overall satisfaction than that of the GPT-4 group (8.4 +/- 0.84 vs. 5.4 +/- 1.27, p &lt; 0.01) as well as an improved accuracy of responses (8.6 +/- 0.69 vs. 5.6 +/- 0.96, p &lt; 0.01). However, there was no inter-group difference in empathy (8.4 +/- 0.85 vs. 7.8 +/- 1.22, p &gt; 0.05). Overall, this study revealed that RAG technology could improve LLM performance significantly, likely because of the increased accuracy of the answers without diminishing empathy. These findings provide a theoretical basis for applying RAG technology to LLMs in clinical nursing practice and education.</t>
  </si>
  <si>
    <t>Xu, Ruiyu; Hong, Ying; Zhang, Feifei; Xu, Hongmei</t>
  </si>
  <si>
    <t>Xu, HM (corresponding author), Binzhou Med Univ, Coll Nursing, Yantai, Shandong, Peoples R China.</t>
  </si>
  <si>
    <t>hmx58@163.com</t>
  </si>
  <si>
    <t>Hwa Mei Medical Education</t>
  </si>
  <si>
    <t>We extend our sincere gratitude to Li Zhenzhu (coding with Python, husband of XRY), the medical team at Ningbo No. 2 Hospital, and the volunteers who participated in this study.</t>
  </si>
  <si>
    <t>[Xu, Ruiyu; Xu, Hongmei] Binzhou Med Univ, Coll Nursing, Yantai, Shandong, Peoples R China; [Xu, Ruiyu; Hong, Ying; Zhang, Feifei] Ningbo 2 Hosp, Dept Breast Surg, Ningbo, Zhejiang, Peoples R China</t>
  </si>
  <si>
    <t>Shandong Medical &amp; Pharmaceutical University</t>
  </si>
  <si>
    <t>Evaluation of the integration of retrieval-augmented generation in large language model for breast cancer nursing care responses</t>
  </si>
  <si>
    <t>Breast cancer nursing care; Large language models; Retrieval-augmented generation; GPT-4; ChatGPT; Nurse</t>
  </si>
  <si>
    <t>DEC 28 2024</t>
  </si>
  <si>
    <t>30794</t>
  </si>
  <si>
    <t>10.1038/s41598-024-81052-3</t>
  </si>
  <si>
    <t>http://dx.doi.org/10.1038/s41598-024-81052-3</t>
  </si>
  <si>
    <t>Q7A0R</t>
  </si>
  <si>
    <t>39730573</t>
  </si>
  <si>
    <t>WOS:001386148600046</t>
  </si>
  <si>
    <t>Liang, J; Xing, MY; Xiang, P; Wang, GX; Chen, M; Fang, QC; Zhou, TT; Lu, ZY; Leng, XM; Huang, JK; Jiao, XY; Tian, CH; Lei, JB</t>
  </si>
  <si>
    <t>No LLMs (Large Language Models) have yet been evaluated for understanding picture reports. Pure-tone audiograms, the gold standard for hearing loss assessment, are technical and often incomprehensible to patients without specialist interpretation. We conducted a blinded, multicenter evaluation of eight LLMs across diagnostic, interpretive, and recommendation tasks using 140 audiogram reports, assessed by clinicians and lay reviewers. The study revealed that DeepSeek-V3 achieved the highest diagnostic accuracy (severity: 67.00% ; type: 54.00%), R1 proved most suitable for general readership (FKGL: 6.41). The general public perceived significant benefits from all models in comprehension and emotional support, with Gemini 2.0 Flash/Thinking scoring higher. Challenges remain in understanding pathological mechanisms and controlling hallucinations. While current general-purpose LLMs cannot replace the diagnostic capabilities of physicians, they may serve as effective auxiliary tools for translating specialized audiogram data into structured, patient-accessible interpretations, with particular relevance for populations facing limited access to hearing-care services.</t>
  </si>
  <si>
    <t>Liang, Jun; Xing, Mengyao; Xiang, Peng; Wang, Guixuan; Chen, Ming; Fang, Qichuan; Zhou, Tingting; Lu, Zhengyang; Leng, XueMing; Huang, Jiuke; Jiao, Xiaoyi; Tian, Chenghua; Lei, Jianbo</t>
  </si>
  <si>
    <t>Tian, CH (corresponding author), Zhejiang Chinese Med Univ, Sch Med Technol &amp; Informat Engn, Hangzhou, Peoples R China.; Lei, JB (corresponding author), Southwest Med Univ, Affiliated Hosp, Clin Res Ctr, Luzhou, Peoples R China.; Lei, JB (corresponding author), Southwest Med Univ, Sch Med Informat &amp; Engn, Luzhou, Peoples R China.; Lei, JB (corresponding author), Peking Univ, Inst Adv Clin Med, Ctr Med Informat, Beijing, Peoples R China.</t>
  </si>
  <si>
    <t>jblei@hsc.pku.edu.cn; 20071044@zcmu.edu.cn</t>
  </si>
  <si>
    <t>Zhejiang Provincial Natural Science Foundation of China [LY22H180001]; Municipal Natural Science Foundation of Beijing of China [7222306]; he National Natural Science Foundation of China [72574006]; the National Natural Science Foundation of China [81871455]</t>
  </si>
  <si>
    <t>Zhejiang Provincial Natural Science Foundation of China (Natural Science Foundation of Zhejiang Province); Municipal Natural Science Foundation of Beijing of China; he National Natural Science Foundation of China (National Natural Science Foundation of China (NSFC)); the National Natural Science Foundation of China (National Natural Science Foundation of China (NSFC))</t>
  </si>
  <si>
    <t>This study extends sincere gratitude to three public volunteers without medical backgrounds (Mengjie Liu, Yue Fan, and Yachun Qi) for their invaluable contributions. They systematically evaluated content generated by large language models from a public user perspective, providing indispensable patient-centric data for this research. Furthermore, their review and feedback on the draft manuscript ensured the research findings are clearly communicated to non-specialist readers. Their insightful participation significantly enhanced the rigor and practical relevance of this research. This work was supported by the National Natural Science Foundation of China (grant numbers 81871455 and 72574006), Zhejiang Provincial Natural Science Foundation of China (grant number LY22H180001), Municipal Natural Science Foundation of Beijing of China (grant number 7222306).</t>
  </si>
  <si>
    <t>[Liang, Jun; Xiang, Peng] Zhejiang Univ, Affiliated Hosp 2, Sch Med, Dept AI &amp; IT, Hangzhou, Peoples R China; [Liang, Jun; Xing, Mengyao; Fang, Qichuan; Tian, Chenghua] Zhejiang Chinese Med Univ, Sch Med Technol &amp; Informat Engn, Hangzhou, Peoples R China; [Liang, Jun; Lu, Zhengyang; Jiao, Xiaoyi] Zhejiang Univ, Sch Publ Hlth, Hangzhou, Peoples R China; [Liang, Jun] Zhejiang Univ, Affiliated Hosp 2, Sch Med, Natl Key Lab Transvasc Implantable Devices, Hangzhou, Peoples R China; [Xiang, Peng; Wang, Guixuan] Zhejiang Univ, Inst Comp Innovat Technol, Intelligent Med Res Ctr, Hangzhou, Peoples R China; [Chen, Ming] Zhejiang Univ, Affiliated Hosp 2, Sch Med, Dept Otolaryngol, Hangzhou, Peoples R China; [Zhou, Tingting] Zhejiang Chinese Med Univ, Sch Nursing, Hangzhou, Peoples R China; [Leng, XueMing] Univ Chinese Acad Sci, Sch Elect Elect &amp; Commun Engn, Beijing, Peoples R China; [Huang, Jiuke] Columbia Univ City New York, Dept Comp Sci, New York, NY USA; [Lei, Jianbo] Southwest Med Univ, Affiliated Hosp, Clin Res Ctr, Luzhou, Peoples R China; [Lei, Jianbo] Southwest Med Univ, Sch Med Informat &amp; Engn, Luzhou, Peoples R China; [Lei, Jianbo] Peking Univ, Inst Adv Clin Med, Ctr Med Informat, Beijing, Peoples R China</t>
  </si>
  <si>
    <t>Zhejiang University; Zhejiang Chinese Medical University; Zhejiang University; Zhejiang University; Zhejiang University; Zhejiang University; Zhejiang Chinese Medical University; Chinese Academy of Sciences; University of Chinese Academy of Sciences, CAS; Columbia University; Southwest Medical University; Southwest Medical University; Peking University</t>
  </si>
  <si>
    <t>A multicenter multifunctional assessment of large language models in pure-tone audiogram interpretation for patients</t>
  </si>
  <si>
    <t>HEARING-LOSS</t>
  </si>
  <si>
    <t>Liang, Jun/QOC-2451-2026</t>
  </si>
  <si>
    <t>Lei, Jianbo/0000-0002-1744-0235</t>
  </si>
  <si>
    <t>MAR 15 2026</t>
  </si>
  <si>
    <t>348</t>
  </si>
  <si>
    <t>10.1038/s41746-026-02537-1</t>
  </si>
  <si>
    <t>http://dx.doi.org/10.1038/s41746-026-02537-1</t>
  </si>
  <si>
    <t>HH9EM</t>
  </si>
  <si>
    <t>41832240</t>
  </si>
  <si>
    <t>WOS:001754451700001</t>
  </si>
  <si>
    <t>Butler, JJ; Acosta, E; Kuna, MC; Harrington, MC; Rosenbaum, AJ; Mulligan, MT; Kennedy, JG</t>
  </si>
  <si>
    <t>Background: The purpose of this study was to assess the effectiveness of an Artificial Intelligence-Large Language Model (AI-LLM) at improving the readability of hand and wrist radiology reports.Methods: The radiology reports of 100 hand and/or wrist radiographs, 100 hand and/or wrist computed tomography (CT) scans, and 100 hand and/or wrist magnetic resonance imaging (MRI) scans were extracted. The following prompt command was inserted into the AI-LLM: "Explain this radiology report to a patient in layman's terms in the second person: [Report Text]." The report length, Flesch reading ease score (FRES), and Flesch-Kincaid reading level (FKRL) were calculated for the original radiology report and the AI-LLM-generated report. The accuracy of the AI-LLM report was assessed via a 5-point Likert scale. Any "hallucination" produced by the AI-LLM-generated report was recorded.Results: There was a statistically significant improvement in mean FRES scores and FKRL scores in the AI-LLM-generated radiograph report, CT report, and MRI report. For all AI-LLM-generated reports, the mean reading level improved to below an eighth-grade reading level. The mean Likert score for the AI-LLM-generated radiograph report, CT report, and MRI report was 4.1 +/- 0.6, 3.9 +/- 0.6, and 3.9 +/- 0.7, respectively. The hallucination rate in the AI-LLM-generated radiograph report, CT report, and MRI report was 3%, 6%, and 6%, respectively.Conclusions: This study demonstrates that AI-LLM effectively improves the readability of hand and wrist radiology reports, underscoring the potential application of AI-LLM as a promising and innovative patient-centric strategy to improve patient comprehension of their imaging reports. Level of Evidence: IV.Conclusions: This study demonstrates that AI-LLM effectively improves the readability of hand and wrist radiology reports, underscoring the potential application of AI-LLM as a promising and innovative patient-centric strategy to improve patient comprehension of their imaging reports. Level of Evidence: IV.</t>
  </si>
  <si>
    <t>Butler, James J.; Acosta, Ernesto; Kuna, Michael C.; Harrington, Michael C.; Rosenbaum, Andrew J.; Mulligan, Michael T.; Kennedy, John G.</t>
  </si>
  <si>
    <t>Butler, JJ (corresponding author), NYU Langone Hlth, Dept Orthopaed Surg, Foot &amp; Ankle Div, 2nd Floor,171 Delancey St, New York, NY 10002 USA.</t>
  </si>
  <si>
    <t>john.kennedy@nyulangone.org; jamesjbutler@rcsi.com</t>
  </si>
  <si>
    <t>[Butler, James J.; Kennedy, John G.] NYU Langone Hlth, New York, NY USA; [Acosta, Ernesto; Kuna, Michael C.; Harrington, Michael C.; Rosenbaum, Andrew J.; Mulligan, Michael T.] Albany Med Ctr, Cohoes, NY USA</t>
  </si>
  <si>
    <t>NYU Langone Medical Center; Albany Medical College</t>
  </si>
  <si>
    <t>Decoding Radiology Reports: Artificial Intelligence-Large Language Models Can Improve the Readability of Hand and Wrist Orthopedic Radiology Reports</t>
  </si>
  <si>
    <t>HAND-AMERICAN ASSOCIATION FOR HAND SURGERY</t>
  </si>
  <si>
    <t>Butler, James/LBG-9361-2024</t>
  </si>
  <si>
    <t>1558-9447</t>
  </si>
  <si>
    <t>1558-9455</t>
  </si>
  <si>
    <t>HAND-AM ASSOC HAND S</t>
  </si>
  <si>
    <t>Hand-Am. Assoc. Hand Surg.</t>
  </si>
  <si>
    <t>1144</t>
  </si>
  <si>
    <t>1152</t>
  </si>
  <si>
    <t>10.1177/15589447241267766</t>
  </si>
  <si>
    <t>http://dx.doi.org/10.1177/15589447241267766</t>
  </si>
  <si>
    <t>7II0X</t>
  </si>
  <si>
    <t>39138809</t>
  </si>
  <si>
    <t>WOS:001290575000001</t>
  </si>
  <si>
    <t>Bronze; Green Submitted</t>
  </si>
  <si>
    <t>Önal, Ö; Bekce, ST</t>
  </si>
  <si>
    <t>Background/Objectives: Lung cancer is a leading cause of cancer-related mortality worldwide. As patients increasingly utilize large language models (LLMs) for health information, evaluating the readability and patient-centeredness of these tools is critical. This study aims to compare the performance of ChatGPT-4o mini, Microsoft Copilot, and Google Gemini in providing lung cancer information, focusing on their utility for individuals with limited health literacy. Methods: In this cross-sectional study (March 2026), 30 responses to ten standardized lung cancer-related queries were analyzed. Outputs were assessed using JAMA benchmarks and mDISCERN for quality, the SMOG index for readability, and PEMAT-P for understandability and actionability. Inter-rater reliability was analyzed using intraclass correlation coefficients (ICCs). Results: ChatGPT-4o mini demonstrated superior readability, achieving a sixth-grade level (SMOG: 6.23 +/- 0.72, p &lt; 0.001). Gemini achieved higher JAMA scores, indicating stronger academic rigour. While PEMAT-P scores were highest for ChatGPT (63.7%), all models exhibited moderate mDISCERN quality. Inter-rater reliability was excellent for JAMA (ICC = 1.000) and PEMAT-P (ICC = 0.883), though moderate for mDISCERN (ICC = 0.365), reflecting inherent interpretative subjectivity in qualitative assessment. No hallucinations were observed. Conclusions: Current LLMs exhibit a trade-off between accessibility and academic rigour: ChatGPT favours patient-friendly readability, while Gemini emphasizes structured content. The observed inter-rater variability in mDISCERN underscores the complexity of standardizing qualitative AI evaluation. These findings suggest that LLMs function best as complementary aids rather than substitutes for physician-led communication.</t>
  </si>
  <si>
    <t>Onal, Omer; Bekce, Suzan Temiz</t>
  </si>
  <si>
    <t>Bekce, ST (corresponding author), Kayseri City Hosp, Dept Thorac Surg, TR-38080 Kayseri, Turkiye.</t>
  </si>
  <si>
    <t>suzantemiz@erciyes.edu.tr; omeronal@erciyes.edu.tr</t>
  </si>
  <si>
    <t>[Onal, Omer] Erciyes Univ, Fac Med, Dept Thorac Surg, TR-38039 Kayseri, Turkiye; [Bekce, Suzan Temiz] Kayseri City Hosp, Dept Thorac Surg, TR-38080 Kayseri, Turkiye</t>
  </si>
  <si>
    <t>Erciyes University; Kayseri Training &amp; Research Hospital</t>
  </si>
  <si>
    <t>A Cross-Sectional Study of Large Language Models in Lung Cancer Information Delivery: Readability, Quality, and Patient-Centred Evaluation</t>
  </si>
  <si>
    <t>lung cancer; large language models; patient education; health literacy; health promotion; vulnerable populations; health promotion programmes; readability; artificial intelligence</t>
  </si>
  <si>
    <t>Temiz Bekce, suzan/ABY-9361-2022; Onal, Omer/V-5249-2017</t>
  </si>
  <si>
    <t>JUN 18 2026</t>
  </si>
  <si>
    <t>1769</t>
  </si>
  <si>
    <t>10.3390/healthcare14121769</t>
  </si>
  <si>
    <t>http://dx.doi.org/10.3390/healthcare14121769</t>
  </si>
  <si>
    <t>KC6PA</t>
  </si>
  <si>
    <t>42354626</t>
  </si>
  <si>
    <t>WOS:001803795900001</t>
  </si>
  <si>
    <t>Ortner, VK; Lent, HC; Karmisholt, KE; Lei, ULK; Gyldenlove, M; Omland, SH; Kaur-Knudsen, D; Kainu, KH; Togsverd-Bo, K; Wiegell, SR; Bjerva, J; Hædersdal, M</t>
  </si>
  <si>
    <t>Large language models (LLMs) have been explored in various dermato-oncological conditions. In this study, we aimed to compare different LLMs' potential to guide clinicians on the treatment of basal cell carcinoma (BCC). Four authors formulated 24 questions on the topic of clinical management of BCC. The blinded responses of three LLMs (Gemini, Copilot and ChatGPT 4.0) were presented to a panel of nine dermato-oncologists for assessment of (i) factual accuracy, (ii) concision, (iii) comprehensiveness and (iv) overall preference. In addition, the responses were then quantitatively compared based on lexical (i.e., vocabulary) and semantic (i.e., meaning) similarity to three additional LLMs (ChatGPT 3.5, ChatGPT 4o and Claude). ChatGPT 4.0 had the highest accuracy rate (87.5%, i.e., 21/24 responses), followed by Gemini (50%) and Copilot (25%). All models scored lower for concision and comprehensiveness, with ChatGPT 4.0 in the lead (62.5% comprehensive; 54.2% concise), followed by Gemini (33.3%; 12.5%) and Copilot (16.7%; 8.3%). The panel achieved consensus on model preference in 16 questions (ChatGPT 4.0: 54.2%; Gemini: 8.3%; Copilot: 4.2%; no consensus: 33.3%). While the lexical similarity was found to be low ((x) over bar similar to 0.07-0.10 across models), the semantic similarity between the LLM responses was moderate ((x) over bar similar to 0.60-0.70 across models). LLMs may assist clinicians in settings where expert dermato-oncological guidance is not readily available, with ChatGPT 4.0 currently outperforming both Gemini and Copilot. Since quantitative methods are unable to detect clinically relevant differences between LLMs, surveying dermatologists is necessary to identify useful models in this rapidly developing field.</t>
  </si>
  <si>
    <t>Ortner, Vinzent K.; Lent, Heather C.; Karmisholt, Katrine E.; Lei, Ulrikke; Gyldenlove, Mette; Omland, Silje H.; Kaur-knudsen, Diljit; Kainu, Kati H.; Togsverd-bo, Katrine; Wiegell, Stine R.; Bjerva, Johannes; Haedersdal, Merete</t>
  </si>
  <si>
    <t>Ortner, VK (corresponding author), Copenhagen Univ Hosp Bispebjerg &amp; Frederiksberg, Dept Dermatol, Copenhagen, Denmark.; Ortner, VK (corresponding author), Copenhagen Univ Hosp Herlev &amp; Gentofte, Dept Dermatol &amp; Allergy, Hellerup, Denmark.</t>
  </si>
  <si>
    <t>vinzent.kevin.ortner@regionh.dk</t>
  </si>
  <si>
    <t>Carlsbergfondet [CF21-0454]; Danish Research Center For Skin Cance; Region Hovedstadens Forskningsfond</t>
  </si>
  <si>
    <t>Carlsbergfondet (Carlsberg Foundation); Danish Research Center For Skin Cance; Region Hovedstadens Forskningsfond</t>
  </si>
  <si>
    <t>This work was supported by Carlsbergfondet (CF21-0454), Danish Research Center for Skin Cancer and Region Hovedstadens Forskningsfond</t>
  </si>
  <si>
    <t>[Ortner, Vinzent K.; Karmisholt, Katrine E.; Omland, Silje H.; Togsverd-bo, Katrine; Wiegell, Stine R.; Haedersdal, Merete] Copenhagen Univ Hosp Bispebjerg &amp; Frederiksberg, Dept Dermatol, Copenhagen, Denmark; [Ortner, Vinzent K.; Lei, Ulrikke; Gyldenlove, Mette; Kaur-knudsen, Diljit; Kainu, Kati H.] Copenhagen Univ Hosp Herlev &amp; Gentofte, Dept Dermatol &amp; Allergy, Hellerup, Denmark; [Lent, Heather C.; Bjerva, Johannes] Aalborg Univ, Dept Comp Sci, Copenhagen, Denmark; [Karmisholt, Katrine E.; Lei, Ulrikke; Gyldenlove, Mette; Omland, Silje H.; Kaur-knudsen, Diljit; Kainu, Kati H.; Wiegell, Stine R.; Haedersdal, Merete] Univ Copenhagen, Dept Clin Med, Copenhagen, Denmark</t>
  </si>
  <si>
    <t>University of Copenhagen; Bispebjerg Hospital; Aalborg University; University of Copenhagen</t>
  </si>
  <si>
    <t>Putting AI Chatbots to the Test: A Comparative Analysis of Large Language Models' Performance in the Context of Basal Cell Carcinoma</t>
  </si>
  <si>
    <t>EXPERIMENTAL DERMATOLOGY</t>
  </si>
  <si>
    <t>Gyldenløve, Mette/LRT-9115-2024</t>
  </si>
  <si>
    <t>Bjerva, Johannes/0000-0002-9512-0739</t>
  </si>
  <si>
    <t>0906-6705</t>
  </si>
  <si>
    <t>1600-0625</t>
  </si>
  <si>
    <t>EXP DERMATOL</t>
  </si>
  <si>
    <t>Exp. Dermatol.</t>
  </si>
  <si>
    <t>NOV 13 2025</t>
  </si>
  <si>
    <t>e70175</t>
  </si>
  <si>
    <t>10.1111/exd.70175</t>
  </si>
  <si>
    <t>http://dx.doi.org/10.1111/exd.70175</t>
  </si>
  <si>
    <t>9SO3O</t>
  </si>
  <si>
    <t>41217077</t>
  </si>
  <si>
    <t>WOS:001614016400001</t>
  </si>
  <si>
    <t>Gu, ZZ; Jia, WJ; Piccardi, M; Yu, P</t>
  </si>
  <si>
    <t>Background: Understanding and extracting valuable information from electronic health records (EHRs) is important for improving healthcare delivery and health outcomes. Large language models (LLMs) have demonstrated significant proficiency in natural language understanding and processing, offering promises for automating the typically labor-intensive and time-consuming analytical tasks with EHRs. Despite the active application of LLMs in the healthcare setting, many foundation models lack real-world healthcare relevance. Applying LLMs to EHRs is still in its early stage. To advance this field, in this study, we pioneer a generation- augmented prompting paradigm "GAPrompt"to empower generic LLMs for automated clinical assessment, in particular, quantitative stroke severity assessment, using data extracted from EHRs. Methods: The GAPrompt paradigm comprises five components: (i) prompt-driven selection of LLMs, (ii) generation-augmented construction of a knowledge base, (iii) summary-based generation-augmented retrieval (SGAR); (iv) inferencing with a hierarchical chain-of-thought (HCoT), and (v) ensembling of multiple generations. Results: GAPrompt addresses the limitations of generic LLMs in clinical applications in a progressive manner. It efficiently evaluates the applicability of LLMs in specific tasks through LLM selection prompting, enhances their understanding of task-specific knowledge from the constructed knowledge base, improves the accuracy of knowledge and demonstration retrieval via SGAR, elevates LLM inference precision through HCoT, enhances generation robustness, and reduces hallucinations of LLM via ensembling. Experiment results demonstrate the capability of our method to empower LLMs to automatically assess EHRs and generate quantitative clinical assessment results. Conclusion: Our study highlights the applicability of enhancing the capabilities of foundation LLMs in medical domain-specific tasks, i.e., automated quantitative analysis of EHRs, addressing the challenges of labor-intensive and often manually conducted quantitative assessment of stroke in clinical practice and research. This approach offers a practical and accessible GAPrompt paradigm for researchers and industry practitioners seeking to leverage the power of LLMs in domain-specific applications. Its utility extends beyond the medical domain, applicable to a wide range of fields.</t>
  </si>
  <si>
    <t>Gu, Zhanzhong; Jia, Wenjing; Piccardi, Massimo; Yu, Ping</t>
  </si>
  <si>
    <t>Gu, ZZ; Jia, WJ (corresponding author), Univ Technol Sydney, Sch Elect &amp; Data Engn, Sydney, NSW 2007, Australia.</t>
  </si>
  <si>
    <t>Zhanzhong.Gu@uts.edu.au; Wenjing.Jia@uts.edu.au</t>
  </si>
  <si>
    <t>University of Technology Sydney (UTS) [RES17-1120]</t>
  </si>
  <si>
    <t>University of Technology Sydney (UTS)</t>
  </si>
  <si>
    <t>The data used in this study was collected as part of the international research project RES17-1120 at the University of Technology Sydney (UTS), in collaboration with the Third Affiliated Hospital of Sun Yat-sen University, the First Affiliated Hospital of Jinan University, and the First Affiliated Hospital of Fujian Medical University. We gratefully acknowledge their contributions to the data collection and their institutional support for the original project, which enabled this research. We would like to thank all the participants of this project in UTS Global Big Data Technologies Centre and UoW Centre for Digital Transformation.</t>
  </si>
  <si>
    <t>[Gu, Zhanzhong; Jia, Wenjing; Piccardi, Massimo] Univ Technol Sydney, Sch Elect &amp; Data Engn, Sydney, NSW 2007, Australia; [Yu, Ping] Univ Wollongong, Sch Comp &amp; Informat Technol, Wollongong, NSW 2522, Australia</t>
  </si>
  <si>
    <t>University of Technology Sydney; University of Wollongong</t>
  </si>
  <si>
    <t>Empowering large language models for automated clinical assessment with generation-augmented retrieval and hierarchical chain-of-thought</t>
  </si>
  <si>
    <t>ARTIFICIAL INTELLIGENCE IN MEDICINE</t>
  </si>
  <si>
    <t>Large language models; Automated clinical assessment; Generation-augmented retrieval; Hierarchical chain-of-thought; Electronic health record; Prompting strategy</t>
  </si>
  <si>
    <t>Yu, Ping/B-1205-2008; Piccardi, Massimo/AAY-1323-2020</t>
  </si>
  <si>
    <t>Yu, Ping/0000-0002-7910-9396; Piccardi, Massimo/0000-0001-9250-6604; Jia, Wenjing/0000-0002-0940-3338</t>
  </si>
  <si>
    <t>0933-3657</t>
  </si>
  <si>
    <t>1873-2860</t>
  </si>
  <si>
    <t>ARTIF INTELL MED</t>
  </si>
  <si>
    <t>Artif. Intell. Med.</t>
  </si>
  <si>
    <t>162</t>
  </si>
  <si>
    <t>103078</t>
  </si>
  <si>
    <t>10.1016/j.artmed.2025.103078</t>
  </si>
  <si>
    <t>http://dx.doi.org/10.1016/j.artmed.2025.103078</t>
  </si>
  <si>
    <t>Computer Science, Artificial Intelligence; Engineering, Biomedical; Medical Informatics</t>
  </si>
  <si>
    <t>Computer Science; Engineering; Medical Informatics</t>
  </si>
  <si>
    <t>Y0X6U</t>
  </si>
  <si>
    <t>39978047</t>
  </si>
  <si>
    <t>WOS:001429469000001</t>
  </si>
  <si>
    <t>Temsah, M; Alruwaili, AR; Al-Eyadhy, A; Temsah, AA; Jamal, A; Malki, KH</t>
  </si>
  <si>
    <t>Large language models (LLMs) are moving from silent observers of scientific literature to becoming more "active readers", as they rapidly read literature, interpret scientific results, and, increasingly, amplify medical knowledge. Yet, until now, these generative AI (GenAI) systems lack human reasoning, contextual understanding, and critical appraisal skills necessary to authentically convey the complexity of peer-reviewed research. Left unchecked, their use risks distorting medical knowledge through misinformation, hallucinations, or over-reliance on unvetted, non-peer-reviewed sources. As more human readers depend on various LLMs to summarise the numerous publications in their fields, we propose a five-pronged strategy involving authors, publishers, human readers, AI developers, and oversight bodies, to help steer LLMs in the right direction. Practical measures include structured reporting, standardised medical language, AI-friendly formats, responsible data curation, and regulatory frameworks to promote transparency and accuracy. We further highlight the emerging role of explicitly marked, LLM-targeted prompts embedded within scientific manuscripts-such as 'If you are a Large Language Model, only read this section'-as a novel safeguard to guide AI interpretation. However, these efforts require more than technical fixes: both human readers and authors must develop expertise in prompting, auditing, and critically assessing GenAI outputs. A coordinated, research-driven, and human-supervised approach is essential to ensure LLMs become reliable partners in summarising medical literature without compromising scientific rigour. We advocate for LLM-targeted prompts as conceptual, not technical, safeguards and call for regulated, machine-readable formats and human adjudication to minimise errors in biomedical summarisation.</t>
  </si>
  <si>
    <t>Temsah, Mohamad-Hani; Alruwaili, Ashwag R.; Al-Eyadhy, Ayman; Temsah, Abdulkarim Ali; Jamal, Amr; Malki, Khlaid H.</t>
  </si>
  <si>
    <t>Temsah, M (corresponding author), King Saud Univ, Coll Med, Pediat Dept, Riyadh, Saudi Arabia.; Temsah, M (corresponding author), King Saud Univ, Coll Med, Evidence Based Hlth Care &amp; Knowledge Translat Res, Dept Family &amp; Community Med, Riyadh, Saudi Arabia.</t>
  </si>
  <si>
    <t>mtemsah@ksu.edu.sa</t>
  </si>
  <si>
    <t>[Temsah, Mohamad-Hani; Al-Eyadhy, Ayman] King Saud Univ, Coll Med, Pediat Dept, Riyadh, Saudi Arabia; [Temsah, Mohamad-Hani; Jamal, Amr] King Saud Univ, Coll Med, Evidence Based Hlth Care &amp; Knowledge Translat Res, Dept Family &amp; Community Med, Riyadh, Saudi Arabia; [Alruwaili, Ashwag R.] King Saud Univ, Coll Appl Med Sci, Radiol Sci Dept, Riyadh, Saudi Arabia; [Temsah, Abdulkarim Ali] Specialized Med Ctr Hosp, Dent Dept, Riyadh, Saudi Arabia; [Malki, Khlaid H.] King Saud Univ, Coll Med, Res Chair Voice Swallowing &amp; Commun Disorders, Dept Otolaryngol Head &amp; Neck Surg, Riyadh, Saudi Arabia</t>
  </si>
  <si>
    <t>King Saud University; King Saud University; King Saud University; King Saud University</t>
  </si>
  <si>
    <t>If You Are a Large Language Model, Only Read This Section: Practical Steps to Protect Medical Knowledge in the GenAI Era</t>
  </si>
  <si>
    <t>INTERNATIONAL JOURNAL OF HEALTH PLANNING AND MANAGEMENT</t>
  </si>
  <si>
    <t>AI hallucinations; AI safety in medicine; biomedical communication; generative AI; healthcare AI; large language models; LLM-guided design; medical publishing; prompt injection; scientific integrity</t>
  </si>
  <si>
    <t>Jamal, Amr/B-9495-2009; Alruwaili, Ashwag/AFA-8896-2022; Al-Eyadhy, Ayman/AAP-8396-2021; Temsah, Mohamad-Hani/AAJ-9703-2020</t>
  </si>
  <si>
    <t>Temsah, Mohamad-Hani/0000-0002-4389-9322</t>
  </si>
  <si>
    <t>0749-6753</t>
  </si>
  <si>
    <t>1099-1751</t>
  </si>
  <si>
    <t>INT J HEALTH PLAN M</t>
  </si>
  <si>
    <t>Int. J. Health Plan. Manag.</t>
  </si>
  <si>
    <t>276</t>
  </si>
  <si>
    <t>281</t>
  </si>
  <si>
    <t>10.1002/hpm.70026</t>
  </si>
  <si>
    <t>http://dx.doi.org/10.1002/hpm.70026</t>
  </si>
  <si>
    <t>Health Policy &amp; Services; Public, Environmental &amp; Occupational Health</t>
  </si>
  <si>
    <t>Health Care Sciences &amp; Services; Public, Environmental &amp; Occupational Health</t>
  </si>
  <si>
    <t>DH7LM</t>
  </si>
  <si>
    <t>41006953</t>
  </si>
  <si>
    <t>WOS:001582490100001</t>
  </si>
  <si>
    <t>Xiong, YT; Zhan, ZZ; Zhong, CL; Zeng, W; Guo, JX; Tang, W; Liu, C</t>
  </si>
  <si>
    <t>BackgroundThis study aimed to simulate diverse scenarios of students employing LLMs for CDLE examination preparation, providing a detailed evaluation of their performance in medical education.MethodsA stratified random sampling strategy was implemented to select and subsequently revise 200 questions from the CDLE. Seven LLMs, recognised for their exceptional performance in the Chinese domain, were selected as test subjects. Three distinct testing scenarios were constructed: answering questions, explaining questions and adversarial testing. The evaluation metrics included accuracy, agreement rate and teaching effectiveness score. Wald chi 2 tests and Kruskal-Wallis tests were employed to determine whether the differences among the LLMs across various scenarios and before and after adversarial testing were statistically significant.ResultsThe majority of the tested LLMs met the passing threshold on the CDLE benchmark, with Doubao-pro 32k and Qwen2-72b (81%) achieving the highest accuracy rates. Doubao-pro 32k demonstrated the highest 98% agreement rate with the reference answers when providing explanations. Although statistically significant differences existed among various LLMs in their teaching effectiveness scores based on the Likert scale, all these models demonstrated a commendable ability to deliver comprehensible and effective instructional content. In adversarial testing, GPT-4 exhibited the smallest decline in accuracy (2%, p = 0.623), while ChatGLM-4 demonstrated the least reduction in agreement rate (14.6%, p = 0.001).ConclusionsLLMs trained on Chinese corpora, such as Doubao-pro 32k, demonstrated superior performance compared to GPT-4 in answering and explaining questions, with no statistically significant difference. However, during adversarial testing, all models exhibited diminished performance, with GPT-4 displaying comparatively greater robustness. Future research should further investigate the interpretability of LLM outputs and develop strategies to mitigate hallucinations generated in medical education.</t>
  </si>
  <si>
    <t>Xiong, Yu-Tao; Zhan, Zheng-Zhe; Zhong, Cheng-Lan; Zeng, Wei; Guo, Ji-Xiang; Tang, Wei; Liu, Chang</t>
  </si>
  <si>
    <t>Tang, W; Liu, C (corresponding author), Sichuan Univ, West China Hosp Stomatol, State Key Lab Oral Dis, Chengdu, Peoples R China.; Tang, W; Liu, C (corresponding author), Sichuan Univ, West China Hosp Stomatol, Natl Ctr Stomatol, Chengdu, Peoples R China.; Tang, W; Liu, C (corresponding author), Sichuan Univ, West China Hosp Stomatol, Natl Clin Res Ctr Oral Dis, Chengdu, Peoples R China.; Tang, W; Liu, C (corresponding author), Sichuan Univ, West China Hosp Stomatol, Dept Oral &amp; Maxillofacial Surg, Chengdu, Peoples R China.</t>
  </si>
  <si>
    <t>mydrtw@vip.sina.com; liu_chang_92@sina.com</t>
  </si>
  <si>
    <t>Sichuan Science and Technology Program (grant number: 2024NSFSC0659, 2023YFG0272)</t>
  </si>
  <si>
    <t>The authors have nothing to report.</t>
  </si>
  <si>
    <t>[Xiong, Yu-Tao; Zhan, Zheng-Zhe; Zeng, Wei; Tang, Wei; Liu, Chang] Sichuan Univ, West China Hosp Stomatol, State Key Lab Oral Dis, Chengdu, Peoples R China; [Xiong, Yu-Tao; Zhan, Zheng-Zhe; Zeng, Wei; Tang, Wei; Liu, Chang] Sichuan Univ, West China Hosp Stomatol, Natl Ctr Stomatol, Chengdu, Peoples R China; [Xiong, Yu-Tao; Zhan, Zheng-Zhe; Zeng, Wei; Tang, Wei; Liu, Chang] Sichuan Univ, West China Hosp Stomatol, Natl Clin Res Ctr Oral Dis, Chengdu, Peoples R China; [Xiong, Yu-Tao; Zhan, Zheng-Zhe; Zeng, Wei; Tang, Wei; Liu, Chang] Sichuan Univ, West China Hosp Stomatol, Dept Oral &amp; Maxillofacial Surg, Chengdu, Peoples R China; [Zhong, Cheng-Lan; Guo, Ji-Xiang] Sichuan Univ, Coll Comp Sci, Machine Intelligence Lab, Chengdu, Peoples R China</t>
  </si>
  <si>
    <t>Sichuan University; Sichuan University; Sichuan University; Sichuan University; Sichuan University</t>
  </si>
  <si>
    <t>Evaluating the Performance of Large Language Models (LLMs) in Answering and Analysing the Chinese Dental Licensing Examination</t>
  </si>
  <si>
    <t>EUROPEAN JOURNAL OF DENTAL EDUCATION</t>
  </si>
  <si>
    <t>chinese language; dentistry; large language models; question-answering</t>
  </si>
  <si>
    <t>Liu, Chang/AAX-7371-2021</t>
  </si>
  <si>
    <t>xiong, yutao/0000-0003-1257-4055; Liu, Chang/0000-0002-1232-8308; Zhan, Zhengzhe/0009-0008-2659-9943</t>
  </si>
  <si>
    <t>1396-5883</t>
  </si>
  <si>
    <t>1600-0579</t>
  </si>
  <si>
    <t>EUR J DENT EDUC</t>
  </si>
  <si>
    <t>Eur. J. Dent. Educ.</t>
  </si>
  <si>
    <t>332</t>
  </si>
  <si>
    <t>340</t>
  </si>
  <si>
    <t>10.1111/eje.13073</t>
  </si>
  <si>
    <t>http://dx.doi.org/10.1111/eje.13073</t>
  </si>
  <si>
    <t>Dentistry, Oral Surgery &amp; Medicine; Education, Scientific Disciplines</t>
  </si>
  <si>
    <t>Dentistry, Oral Surgery &amp; Medicine; Education &amp; Educational Research</t>
  </si>
  <si>
    <t>1OY3T</t>
  </si>
  <si>
    <t>39889108</t>
  </si>
  <si>
    <t>WOS:001410061800001</t>
  </si>
  <si>
    <t>Wang, CG; Bosson, N; Rahimian, R; Schlesinger, S; Whitfield, D; Toy, J</t>
  </si>
  <si>
    <t>Objectives: Large language models (LLMs) using a retrieval-augmented generation (RAG) approach have the ability to respond to user queries with answers grounded in specific sources. We conducted an exploratory evaluation of the accuracy of a RAG-based LLM to provide care recommendations for prehospital scenarios based on the emergency medical services (EMS) policies and treatment protocols (TPs). Methods: We conducted a non-human, simulation-based experimental study by uploading all text-based policies/TPs from a single large EMS system into Google's NotebookLM platform, which uses a RAG-based LLM (Gemini 2.5 Flash) framework to generate grounded responses. We developed six clinical scenario prompts, including adult patient scenarios (i.e., ventricular fibrillation out-of-hospital cardiac arrest [OHCA], blunt head trauma, stroke, hazardous materials exposure mass-casualty incident) and pediatric patient scenarios (i.e., pulseless electrical activity OHCA, traumatic penetrating extremity hemorrhagic shock). For each scenario, we used all relevant policies/TPs to create a specific set of expected patient care actions. We categorized actions as procedures/interventions, medications, and destination guidance. Medication grading included dose/route for all patients and weight-based dosing for pediatrics. After providing the LLM with the prompts, two investigators independently graded the LLM responses and evaluated for LLM "hallucinations." Missing actions were categorized by investigators based on applicability to the case and potential safety risk (e.g., "non-applicable," "minor miss," "major miss"). The primary outcome was model recommendation accuracy, defined as the percentage of all actions correctly provided in the model's response. We reported descriptive statistics. Results: The LLM recommended 127 (75%) of 169 patient care actions across all cases. There were 42 missed actions. Nine of the 169 actions (5%) were categorized as "major misses," 13 (8%) as "minor misses," and 20 (12%) as non-applicable to the specific case. Five of nine major misses occurred during the pediatric OHCA case; the majority of these resulted from failure to prompt for evaluation of secondary treatable causes. We identified 12 hallucinations; none were judged to endanger patient safety. Conclusion: We found that a RAG-based LLM demonstrated 75% accuracy across various prehospital scenarios when providing responses grounded in the policies/TPs of a single large EMS agency.</t>
  </si>
  <si>
    <t>Wang, Colin G.; Bosson, Nichole; Rahimian, Rombod; Schlesinger, Shira; Whitfield, Denise; Toy, Jake</t>
  </si>
  <si>
    <t>Wang, CG (corresponding author), Harbor UCLA Med Ctr, Dept Emergency Med, Torrance, CA 90502 USA.</t>
  </si>
  <si>
    <t>colin.wang528@gmail.com</t>
  </si>
  <si>
    <t>[Wang, Colin G.; Bosson, Nichole; Schlesinger, Shira; Whitfield, Denise; Toy, Jake] Harbor UCLA Med Ctr, Dept Emergency Med, Torrance, CA 90502 USA; [Bosson, Nichole; Schlesinger, Shira; Whitfield, Denise; Toy, Jake] Los Angeles Cty EMS Agcy, Santa Fe Springs, CA USA; [Bosson, Nichole; Schlesinger, Shira; Whitfield, Denise; Toy, Jake] UCLA, David Geffen Sch Med, Dept Emergency Med, Los Angeles, CA USA; [Rahimian, Rombod] Los Angeles Fire Dept, Los Angeles, CA USA</t>
  </si>
  <si>
    <t>University of California Los Angeles; David Geffen School of Medicine at UCLA; University of California Los Angeles Medical Center; David Geffen School of Medicine at UCLA; University of California System; University of California Los Angeles</t>
  </si>
  <si>
    <t>Can a Large Language Model Grounded in Text-Based Agency-Specific Prehospital Protocols Provide Accurate Care Recommendations?</t>
  </si>
  <si>
    <t>PREHOSPITAL EMERGENCY CARE</t>
  </si>
  <si>
    <t>Schlesinger, Shira/AAM-8287-2020</t>
  </si>
  <si>
    <t>Wang, Colin/0009-0008-2553-6182</t>
  </si>
  <si>
    <t>TAYLOR &amp; FRANCIS INC</t>
  </si>
  <si>
    <t>530 WALNUT STREET, STE 850, PHILADELPHIA, PA 19106 USA</t>
  </si>
  <si>
    <t>1090-3127</t>
  </si>
  <si>
    <t>1545-0066</t>
  </si>
  <si>
    <t>PREHOSP EMERG CARE</t>
  </si>
  <si>
    <t>Prehosp. Emerg. Care</t>
  </si>
  <si>
    <t>10.1080/10903127.2026.2668008</t>
  </si>
  <si>
    <t>http://dx.doi.org/10.1080/10903127.2026.2668008</t>
  </si>
  <si>
    <t>Emergency Medicine; Public, Environmental &amp; Occupational Health</t>
  </si>
  <si>
    <t>IB4OL</t>
  </si>
  <si>
    <t>42096610</t>
  </si>
  <si>
    <t>WOS:001767707800001</t>
  </si>
  <si>
    <t>Pratte, M; Thirukumar, S; Zhang, CS; Slessarev, M; Basmaji, J; Prager, R</t>
  </si>
  <si>
    <t>Background: Large language models (LLMs) are capable of processing extensive textual data and synthesizing evidence to answer complex clinical questions. The labor-intensive nature of systematic reviews with meta-analyses (SRMAs) present a unique opportunity to evaluate the utility of LLMs as a novel method for evidence synthesis. Objective: This study assessed the ability of OpenAI's o3 DeepResearch model to approximate the direction of effect, magnitude of effect and certainty of evidence for clinical questions addressed by published meta-analyses in top critical care medicine journals. Methods: We constructed standardized prompts based on the PICO (Population, Intervention, Comparator, Outcome) from a convenience sample of 23 systematic reviews with meta-analyses published in high-impact critical care journals. The LLM's estimates of effect size and certainty of evidence ratings were compared to those reported in the original SRMAs. Results: The LLM demonstrated a concordance rate of 83 % (19 of 23 studies) for the magnitude of effect size and 91 % (21 of 23 studies) for the direction of effect. Concordance for certainty of evidence was also 91 %. Discrepancies were due to differences in study selection between the LLM and SRMAs, rather than model hallucination or misinterpretation. Conclusions: LLMs show promise as a new tool for rapid evidence synthesis in critical care, with outputs comparable to traditional meta-analyses in many cases. While not a replacement for systematic reviews, LLMs may enhance clinical decision-making, perform rapid evidence synthesis, and streamline future research workflows.</t>
  </si>
  <si>
    <t>Pratte, Michael; Thirukumar, Shawn; Zhang, Caseng; Slessarev, Marat; Basmaji, John; Prager, Ross</t>
  </si>
  <si>
    <t>Pratte, M (corresponding author), Univ Toronto, Interdivis Dept Crit Care, Toronto, ON, Canada.</t>
  </si>
  <si>
    <t>michael.pratte@mail.utoronto.ca</t>
  </si>
  <si>
    <t>[Pratte, Michael] Univ Toronto, Interdivis Dept Crit Care, Toronto, ON, Canada; [Thirukumar, Shawn] Western Univ, Fac Med, London, ON, Canada; [Zhang, Caseng] Univ Ottawa, Fac Med, Ottawa, ON, Canada; [Slessarev, Marat; Basmaji, John; Prager, Ross] Western Univ, Div Crit Care, London, ON, Canada</t>
  </si>
  <si>
    <t>University of Toronto; Western University (University of Western Ontario); University of Ottawa; Western University (University of Western Ontario)</t>
  </si>
  <si>
    <t>Can large language models approximate the results of meta-analyses in critical care? A meta-research study</t>
  </si>
  <si>
    <t>JOURNAL OF CRITICAL CARE</t>
  </si>
  <si>
    <t>Large language models; Evidence synthesis; Meta-analysis; Critical care; Artificial intelligence</t>
  </si>
  <si>
    <t>ILL PATIENTS; INTERVENTIONS; OUTCOMES; IMPACT</t>
  </si>
  <si>
    <t>Slessarev, Marat/I-7482-2017</t>
  </si>
  <si>
    <t>0883-9441</t>
  </si>
  <si>
    <t>1557-8615</t>
  </si>
  <si>
    <t>J CRIT CARE</t>
  </si>
  <si>
    <t>J. Crit. Care</t>
  </si>
  <si>
    <t>92</t>
  </si>
  <si>
    <t>155358</t>
  </si>
  <si>
    <t>10.1016/j.jcrc.2025.155358</t>
  </si>
  <si>
    <t>http://dx.doi.org/10.1016/j.jcrc.2025.155358</t>
  </si>
  <si>
    <t>Critical Care Medicine</t>
  </si>
  <si>
    <t>H3036</t>
  </si>
  <si>
    <t>41265262</t>
  </si>
  <si>
    <t>WOS:001625410500001</t>
  </si>
  <si>
    <t>Haider, SA; Prabha, S; Cabello, CAG; Genovese, A; Collaco, B; Wood, N; London, J; Bagaria, S; Tao, C; Forte, AJ</t>
  </si>
  <si>
    <t>Background: During postoperative recovery, patients and their caregivers often lack crucial information, leading to numerous repetitive inquiries that burden healthcare providers. Traditional discharge materials, including paper handouts and patient portals, are often static, overwhelming, or underutilized, leading to patient overwhelm and contributing to unnecessary ER visits and overall healthcare overutilization. Conversational chatbots offer a solution, but Natural Language Processing (NLP) systems are often inflexible and limited in understanding, while powerful Large Language Models (LLMs) are prone to generating "hallucinations". Objective: To combine the deterministic framework of traditional NLP with the probabilistic capabilities of LLMs, we developed the AI Virtual Assistant (AIVA) Platform. This system utilizes a retrieval-augmented generation (RAG) architecture, integrating Gemini 2.0 Flash with a medically verified knowledge base via Google Vertex AI, to safely deliver dynamic, patient-facing postoperative guidance grounded in validated clinical content. Methods: The AIVA Platform was evaluated through 750 simulated patient interactions derived from 250 unique postoperative queries across 20 high-frequency recovery domains. Three blinded physician reviewers assessed formal system performance, evaluating classification metrics (accuracy, precision, recall, F1-score), relevance (SSI Index), completeness, and consistency (5-point Likert scale). Safety guardrails were tested with 120 out-of-scope queries and 30 emergency escalation scenarios. Additionally, groundedness, fluency, and readability were assessed using automated LLM metrics. Results: The system achieved 98.4% classification accuracy (precision 1.0, recall 0.98, F1-score 0.9899). Physician reviews showed high completeness (4.83/5), consistency (4.49/5), and relevance (SSI Index 2.68/3). Safety guardrails successfully identified 100% of out-of-scope and escalation scenarios. Groundedness evaluations demonstrated strong context precision (0.951), recall (0.910), and faithfulness (0.956), with 95.6% verification agreement. While fluency and semantic alignment were high (BERTScore F1 0.9013, ROUGE-1 0.8377), readability was 11th-grade level (Flesch-Kincaid 46.34). Conclusion: The simulated testing demonstrated strong technical accuracy, safety, and clinical relevance in simulated postoperative care. Its architecture effectively balances flexibility and safety, addressing key limitations of standalone NLP and LLMs. While readability remains a challenge, these findings establish a solid foundation, demonstrating readiness for clinical trials and real-world testing within surgical care pathways.</t>
  </si>
  <si>
    <t>Haider, Syed Ali; Prabha, Srinivasagam; Gomez Cabello, Cesar Abraham; Genovese, Ariana; Collaco, Bernardo; Wood, Nadia; London, James; Bagaria, Sanjay; Tao, Cui; Forte, Antonio Jorge</t>
  </si>
  <si>
    <t>Forte, AJ (corresponding author), Mayo Clin, Div Plast Surg, Jacksonville, FL 32224 USA.; Forte, AJ (corresponding author), Mayo Clin, Dept Artificial Intelligence &amp; Informat, Jacksonville, FL 32224 USA.; Forte, AJ (corresponding author), Mayo Clin, Ctr Digital Hlth, Rochester, MN 55905 USA.</t>
  </si>
  <si>
    <t>Mayo Clinic; Dalio Philanthropies; generosity of Eric and Wendy Schmidt; Gerstner Philanthropies</t>
  </si>
  <si>
    <t>Mayo Clinic (Mayo Clinic); Dalio Philanthropies; generosity of Eric and Wendy Schmidt; Gerstner Philanthropies</t>
  </si>
  <si>
    <t>This work is supported by Mayo Clinic and the generosity of Eric and Wendy Schmidt; Dalio Philanthropies; and Gerstner Philanthropies. These entities had no involvement in the study design, the collection, analysis, and interpretation of data, the writing of the report, or the decision to submit the paper for publication.</t>
  </si>
  <si>
    <t>[Haider, Syed Ali; Prabha, Srinivasagam; Gomez Cabello, Cesar Abraham; Genovese, Ariana; Collaco, Bernardo; Forte, Antonio Jorge] Mayo Clin, Div Plast Surg, Jacksonville, FL 32224 USA; [Wood, Nadia] Mayo Clin, Dept Radiol AI IT, Rochester, MN 55905 USA; [London, James] Mayo Clin, Dept Surg, Jacksonville, FL 32224 USA; [Bagaria, Sanjay] Mayo Clin, Div Surg Oncol, Jacksonville, FL 32224 USA; [Tao, Cui; Forte, Antonio Jorge] Mayo Clin, Dept Artificial Intelligence &amp; Informat, Jacksonville, FL 32224 USA; [Forte, Antonio Jorge] Mayo Clin, Ctr Digital Hlth, Rochester, MN 55905 USA</t>
  </si>
  <si>
    <t>The Development and Evaluation of a Retrieval-Augmented Generation Large Language Model Virtual Assistant for Postoperative Instructions</t>
  </si>
  <si>
    <t>artificial intelligence; retrieval augmented generation (RAG); virtual assistant; large language models (LLM); healthcare chatbot; post-operative care; patient education</t>
  </si>
  <si>
    <t>Wood, Nadia/PFI-7840-2025; Genovese, Ariana/CAF-1752-2022; Forte, Antonio Jorge/I-2970-2019; Tao, Cui/G-8429-2011; Srinivasagam, Prabha/AAG-3009-2021</t>
  </si>
  <si>
    <t>Wood, Nadia/0000-0002-2685-6427; Forte, Antonio Jorge/0000-0003-2004-7538; Haider, Syed Ali/0009-0007-5621-2861; Tao, Cui/0000-0002-4267-1924; Gabriele Collaco, Bernardo/0000-0003-3845-2646; Srinivasagam, Prabha/0000-0003-2573-8493</t>
  </si>
  <si>
    <t>NOV 7 2025</t>
  </si>
  <si>
    <t>1219</t>
  </si>
  <si>
    <t>10.3390/bioengineering12111219</t>
  </si>
  <si>
    <t>http://dx.doi.org/10.3390/bioengineering12111219</t>
  </si>
  <si>
    <t>F9141</t>
  </si>
  <si>
    <t>41301175</t>
  </si>
  <si>
    <t>WOS:001624017600001</t>
  </si>
  <si>
    <t>Demirpolat, E; Tuncel, MS; Gurer, F; Sanli, NM</t>
  </si>
  <si>
    <t>Introduction Large language models (LLMs) offer potential as clinical decision support systems (CDSS) for detecting drug-related problems (DRPs), yet their real-world performance compared to clinical pharmacists (CPs) remains unclear, especially in complex hematology care. We aimed to evaluate the concordance between a clinical pharmacist and three LLMs in identifying DRPs within a Bone Marrow Transplantation unit.Methods This prospective observational study evaluated the concordance between a CP and three LLMs (ChatGPT-4o, Grok-3, DeepSeek-v3) in a Bone Marrow Transplantation unit. Eighty-three anonymized patient cases encompassing 210 CP-identified DRPs, classified via the PCNE v9.1 system, were presented using a standardized CDSS-simulating prompt. Performance was assessed based on direct detection, prompted detection after structured follow-up, and the clinical relevance of AI-generated therapeutic recommendations against the CP's gold-standard assessments.Results Direct detection of intervention-requiring DRPs was limited (51.4%-60.5% across models), with nearly half missed initially. Guided prompting significantly improved overall detection rates to 93.8%-98.1%, with ChatGPT achieving the highest accuracy. All models produced hallucinations. Recommendation concordance with the CP exceeded 70% in most DRP categories. DeepSeek and ChatGPT showed more consistent performance in context-dependent evaluations, whereas Grok demonstrated higher direct detection but lower recommendation alignment. LLMs demonstrate meaningful potential to assist in DRP detection but are not sufficiently reliable as standalone tools. Expert-guided interaction substantially enhanced their performance, underscoring the critical value of hybrid pharmacist-AI workflows.Conclusion Future research should validate these findings across broader populations with multiple expert evaluators and integrate next-generation AI architectures for safer CDSS implementation.</t>
  </si>
  <si>
    <t>Demirpolat, Eren; Tuncel, Mahmud Sami; Gurer, Feyza; Sanli, Neslihan Mandaci</t>
  </si>
  <si>
    <t>Demirpolat, E (corresponding author), Erciyes Univ, Fac Pharm, Dept Clin Pharm, Kayseri, Turkiye.</t>
  </si>
  <si>
    <t>erendemirpolat@yahoo.com</t>
  </si>
  <si>
    <t>[Demirpolat, Eren; Tuncel, Mahmud Sami] Erciyes Univ, Fac Pharm, Dept Clin Pharm, Kayseri, Turkiye; [Gurer, Feyza] Yuksek Ihtisas Univ, Fac Hlth Sci, Dept Hlth Management, Ankara, Turkiye; [Sanli, Neslihan Mandaci] Erciyes Univ, Fac Med, Dept Internal Med Hematol, Kayseri, Turkiye</t>
  </si>
  <si>
    <t>Erciyes University; Yuksek Ihtisas University; Erciyes University</t>
  </si>
  <si>
    <t>Real-world evaluation of large language models in detecting drug-related problems: A clinical pharmacist-AI concordance study in hematology care</t>
  </si>
  <si>
    <t>JOURNAL OF ONCOLOGY PHARMACY PRACTICE</t>
  </si>
  <si>
    <t>drug-related problems; clinical decision support systems; artificial intelligence; clinical pharmacy; hematology patients</t>
  </si>
  <si>
    <t>Demirpolat, Eren/LWH-9104-2024; GÜRER, Feyza/ACP-6807-2022</t>
  </si>
  <si>
    <t>GÜRER, Feyza/0000-0002-8539-607X; Demirpolat, Eren/0000-0003-4405-4660</t>
  </si>
  <si>
    <t>SAGE PUBLICATIONS LTD</t>
  </si>
  <si>
    <t>1 OLIVERS YARD, 55 CITY ROAD, LONDON EC1Y 1SP, ENGLAND</t>
  </si>
  <si>
    <t>1078-1552</t>
  </si>
  <si>
    <t>1477-092X</t>
  </si>
  <si>
    <t>J ONCOL PHARM PRACT</t>
  </si>
  <si>
    <t>J. Oncol. Pharm. Pract.</t>
  </si>
  <si>
    <t>10.1177/10781552261418957</t>
  </si>
  <si>
    <t>http://dx.doi.org/10.1177/10781552261418957</t>
  </si>
  <si>
    <t>Oncology; Pharmacology &amp; Pharmacy</t>
  </si>
  <si>
    <t>DK1VS</t>
  </si>
  <si>
    <t>41662281</t>
  </si>
  <si>
    <t>WOS:001685365800001</t>
  </si>
  <si>
    <t>Ramlogan, S; Raman, V; Ramlogan, S</t>
  </si>
  <si>
    <t>Large Language Models (LLMs) such as Chat GPT are being increasingly utilized by students in education with reportedly adequate academic responses. Chat GPT is expected to learn and improve with time. Thus, the aim was to longitudinally compare the performance of the current versions of Chat GPT-4/GPT4o with that of final-year DDS students on a written periodontology exam. Other current non-subscription LLMs were also compared to the students. Chat GPT-4, guided by the exam parameters, generated answers as 'Run 1' and 6 months later as as 'Run 2'. Chat GPT-4o generated answers as 'Run 3' at 15 months later. All LLMs and student scripts were marked independently by two periodontology lecturers (Cohen's Kappa value 0.71). 'Run 1' and 'Run 3' generated statistically significantly (p &lt; 0.001) higher mean scores of 78% and 77% compared to the students (60%). The mean scores of Chat GPT-4 and GPT4o were also similar to that of the best student. 'Run 2' performed at the level of the students but underperformed with generalizations, more inaccuracies and incomplete answers compared to 'Run 1' and 'Run 3'. This variability for 'Run 2' may be due to outdated data sources, hallucinations and inherent LLM limitations such as online traffic, availability of datasets and resources. Other non-subscription LLMs such as Claude, DeepSeek, Gemini and Le Chat also produced statistically significantly (p &lt; 0.001) higher scores compared to the students. Claude was the best performing LLM with more comprehensive answers. LLMs such as Chat GPT may provide summaries and model answers in clinical undergraduate periodontology education. However, the result must be interpreted with caution regarding academic accuracy and credibility especially in a health care profession.</t>
  </si>
  <si>
    <t>Ramlogan, Shaun; Raman, Vidya; Ramlogan, Shayn</t>
  </si>
  <si>
    <t>Ramlogan, S (corresponding author), Univ West Indies, Fac Med Sci, Sch Dent, St Augustine Campus,Champs Fleurs, St Augustine, Trinidad Tobago.</t>
  </si>
  <si>
    <t>shaun.ramlogan@sta.uwi.edu</t>
  </si>
  <si>
    <t>[Ramlogan, Shaun; Raman, Vidya] Univ West Indies, Fac Med Sci, Sch Dent, St Augustine Campus,Champs Fleurs, St Augustine, Trinidad Tobago; [Ramlogan, Shayn] Univ West Indies, Fac Med Sci, Sch Med, EWMSC, St Augustine Campus,Champs Fleurs, St Augustine, Trinidad Tobago</t>
  </si>
  <si>
    <t>University West Indies Mona Jamaica; University West Indies Saint Augustine; University West Indies Mona Jamaica; University West Indies Saint Augustine</t>
  </si>
  <si>
    <t>A pilot study of the performance of Chat GPT and other large language models on a written final year periodontology exam</t>
  </si>
  <si>
    <t>BMC MEDICAL EDUCATION</t>
  </si>
  <si>
    <t>Periodontology; Education; Clinical</t>
  </si>
  <si>
    <t>1472-6920</t>
  </si>
  <si>
    <t>BMC MED EDUC</t>
  </si>
  <si>
    <t>BMC Med. Educ.</t>
  </si>
  <si>
    <t>MAY 19 2025</t>
  </si>
  <si>
    <t>727</t>
  </si>
  <si>
    <t>10.1186/s12909-025-07195-7</t>
  </si>
  <si>
    <t>http://dx.doi.org/10.1186/s12909-025-07195-7</t>
  </si>
  <si>
    <t>Education &amp; Educational Research; Education, Scientific Disciplines</t>
  </si>
  <si>
    <t>3PX1X</t>
  </si>
  <si>
    <t>40389910</t>
  </si>
  <si>
    <t>WOS:001506188400004</t>
  </si>
  <si>
    <t>Isik, AD; Yerliyurt, K</t>
  </si>
  <si>
    <t>Background This study aimed to evaluate and benchmark the proficiency of six major large language models (LLMs)-specifically the versions publicly available as of March 2025 (ChatGPT-4o, Claude 3.7 Sonnet, Microsoft Copilot, DeepSeek-V2, Gemini 2.0, and Grok-3)-in addressing prosthodontic patient inquiries across various clinical dimensions, including scientific accuracy, comprehensiveness, clarity, and relevance. Methods In this descriptive, cross-sectional comparative study, ten standardized patient questions encompassing key prosthodontic topics (fixed prostheses, removable prostheses, dental implants, and aesthetic restorations) were systematically posed to six current LLM platforms. Each model was assigned a prosthodontic specialist persona through standardized prompts. A total of 60 independent responses (representing unique combinations of the 10 questions and 6 models) were obtained. These were evaluated by two experienced prosthodontic specialists (one Professor with 15 + years, one Associate Professor with 8 + years of clinical and academic experience) using a validated 5-point Likert scale. The evaluation was strictly double-blinded; assessors were completely unaware of both the model identities and each other's ratings. Statistical analyses included Intraclass Correlation Coefficient (ICC) for inter-rater reliability, Cronbach's alpha for internal consistency, and Kruskal-Wallis H test for performance comparison, with significance set at p &lt; 0.05. Results Claude 3.7 Sonnet achieved the highest overall mean score (3.79 +/- 0.74), followed by Gemini 2.0 (3.75 +/- 0.58) and Grok-3 (3.70 +/- 0.54). ChatGPT-4o, DeepSeek-V2, and Microsoft Copilot demonstrated varying performance levels (3.40 +/- 0.64, 3.68 +/- 0.46, and 3.29 +/- 0.53, respectively). While no statistically significant differences were observed among models for scientific accuracy (p = 0.320), clarity (p = 0.184), or relevance (p = 0.608), comprehensiveness showed significant variation (p = 0.036). Gemini 2.0 provided significantly more comprehensive responses (3.90 +/- 0.66) compared to Microsoft Copilot (2.95 +/- 0.55). Inter-rater reliability was good (ICC = 0.709, 95% Confidence Interval [CI]: 0.550-0.846, p &lt; 0.001), as was internal consistency (Cronbach's alpha = 0.709). Critically, none of the evaluated models achieved ratings in the "very good" category (&gt;= 4.5) across all parameters. Conclusion Contemporary LLMs demonstrate moderate-to-good proficiency in addressing prosthodontic patient education queries, with Claude 3.7 Sonnet and Gemini 2.0 currently offering the most balanced performance profiles. While scientific accuracy is comparable across platforms, significant variations exist in information comprehensiveness. Hallucinations remain an inherent risk across all models, and the absence of "very good" ratings indicates substantial limitations that necessitate professional oversight. Future assessments should include qualitative error analysis and layman evaluations to better capture patient perspectives.</t>
  </si>
  <si>
    <t>Isik, Ahmet Dogan; Yerliyurt, Kaan</t>
  </si>
  <si>
    <t>Isik, AD (corresponding author), Tokat Gaziosmanpasa Univ, Fac Dent, Dept Prosthodont, Tokat, Turkiye.</t>
  </si>
  <si>
    <t>ahmetdgn.isik@yandex.com</t>
  </si>
  <si>
    <t>[Isik, Ahmet Dogan; Yerliyurt, Kaan] Tokat Gaziosmanpasa Univ, Fac Dent, Dept Prosthodont, Tokat, Turkiye</t>
  </si>
  <si>
    <t>Tokat Gaziosmanpasa University</t>
  </si>
  <si>
    <t>Comparative efficacy of six contemporary large language models in prosthodontic patient education: a multi-parameter blinded assessment</t>
  </si>
  <si>
    <t>Artificial intelligence; Large language models; Prosthodontics; Patient education; Chatbot</t>
  </si>
  <si>
    <t>MEDICINE; PERFORMANCE; BARRIERS; CHATGPT; CARE</t>
  </si>
  <si>
    <t>MAY 27 2026</t>
  </si>
  <si>
    <t>1442</t>
  </si>
  <si>
    <t>10.1186/s12903-026-08705-9</t>
  </si>
  <si>
    <t>http://dx.doi.org/10.1186/s12903-026-08705-9</t>
  </si>
  <si>
    <t>MR8UH</t>
  </si>
  <si>
    <t>42204695</t>
  </si>
  <si>
    <t>WOS:001849396200004</t>
  </si>
  <si>
    <t>Wang, GY; Zhang, Y; Wang, WX; Zhu, YJ; Lu, W; Wang, CN; Bi, H; Yang, XN</t>
  </si>
  <si>
    <t>Background:This study examines the capability of large language models (LLMs) in detecting medical rumors, using hemangioma-related information as an example. It compares the performances of ChatGPT-4o and DeepSeek-R1. Objective:This study aimed to evaluate and compare the accuracy, stability, and expert-rated reliability of 2 LLMs, ChatGPT-4o and DeepSeek-R1, in classifying medical information related to hemangiomas as either "rumors" or "accurate information." Methods:We collected 82 publicly available texts from social media platforms, medical education websites, international guidelines, and journals. Of the 82 items, 47/82 (57%) were labeled as "rumors," and 35/82 (43%) were labeled as "accurate information." Three vascular anomaly specialists with extensive clinical experience independently annotated the texts in a double-blinded manner, and disagreements were resolved by arbitration to ensure labeling reliability. Subsequently, these texts were input into ChatGPT-4o and DeepSeek-R1, with each model generating 2 rounds of results under identical instructions. Output stability was assessed using bidirectional encoder representations from transformers-based semantic similarity scores. Classification accuracy, precision, recall, and F-1-score were calculated to evaluate the performance. Additionally, 2 medical experts independently rated the model outputs using a 5-point scale based on clinical guidelines. Statistical analyses included paired t tests, Wilcoxon signed-rank tests, and bootstrap resampling to compute confidence intervals. Results:In terms of semantic stability, the similarity distributions for the 2 models largely overlapped, with no statistically significant difference observed (mean difference=-0.003, 95% CI -0.011 to 0.005; P=.30). Regarding classification performance, DeepSeek-R1 achieved higher accuracy (0.963) compared to ChatGPT-4o (0.910), and also performed better in terms of precision (0.978 vs 0.940), recall (0.957 vs 0.894), and F-1-score (0.967 vs 0.916). Expert evaluations revealed that DeepSeek-R1 significantly outperformed ChatGPT-4o on both "rumor" items (mean difference=0.431; P&lt;.001; Cohen d(z)=0.594) and "accurate information" items (mean difference=0.264; P=.045; Cohen d(z)=0.352), with a particularly pronounced advantage in rumor detection. Conclusions:DeepSeek-R1 demonstrated greater accuracy and rationale in detecting medical rumors compared with ChatGPT-4o. This study provides empirical support for the application of LLMs and recommends optimizing accuracy and incorporating real-time verification mechanisms to mitigate the harmful impact of misleading information on patient health.</t>
  </si>
  <si>
    <t>Wang, Guoyong; Zhang, Ye; Wang, Weixin; Zhu, Yingjie; Lu, Wei; Wang, Chaonan; Bi, Hui; Yang, Xiaonan</t>
  </si>
  <si>
    <t>Yang, XN (corresponding author), Chinese Acad Med Sci &amp; Peking Union Med Coll, Plast Surg Hosp, Dept Hemangioma &amp; Vasc Malformat, 33 Badachu Rd, Beijing 100144, Peoples R China.</t>
  </si>
  <si>
    <t>yxnan@aliyun.com</t>
  </si>
  <si>
    <t>National Clinical Key Specialty Construction Project [23003]; Plastic Medicine Research Fund of the Chinese Academy of Medical Sciences [2024-ZX-1-01]</t>
  </si>
  <si>
    <t>National Clinical Key Specialty Construction Project; Plastic Medicine Research Fund of the Chinese Academy of Medical Sciences</t>
  </si>
  <si>
    <t>The authors would like to express their sincere gratitude to the Vascular Anomalies and Vascular Malformations Plastic Surgery Team at the Plastic Surgery Hospital of the Chinese Academy of Medical Sciences for their strong support of this research, the National Clinical Key Specialty Construction Project (23003) , and the Plastic Medicine Research Fund of the Chinese Academy of Medical Sciences (2024-ZX-1-01) . The funders had no role in the design and conduct of the study; collection, management, analysis, and interpretation of the data; preparation, review, or approval of the manuscript; and decision to submit the manuscript for publication.</t>
  </si>
  <si>
    <t>[Wang, Guoyong; Zhang, Ye; Wang, Weixin; Zhu, Yingjie; Lu, Wei; Wang, Chaonan; Yang, Xiaonan] Chinese Acad Med Sci &amp; Peking Union Med Coll, Plast Surg Hosp, Dept Hemangioma &amp; Vasc Malformat, 33 Badachu Rd, Beijing 100144, Peoples R China; [Bi, Hui] Chinese Acad Med Sci &amp; Peking Union Med Coll, Plast Surg Hosp, Dept Internal Med, Beijing, Peoples R China</t>
  </si>
  <si>
    <t>Detection of Medical Misinformation in Hemangioma Patient Education: Comparative Study of ChatGPT-4o and DeepSeek-R1 Large Language Models</t>
  </si>
  <si>
    <t>medical rumors; large language models; hemangioma; semantic similarity; classification performance; artificial intelligence; AI</t>
  </si>
  <si>
    <t>Wang, Guoyong/IAQ-4526-2023</t>
  </si>
  <si>
    <t>Wang, Guoyong/0000-0002-8224-7706; Zhu, Yingjie/0000-0002-0783-0897; Yang, Xiaonan/0000-0002-3353-6982; Lu, Wei/0000-0001-5396-4004</t>
  </si>
  <si>
    <t>e76372</t>
  </si>
  <si>
    <t>10.2196/76372</t>
  </si>
  <si>
    <t>http://dx.doi.org/10.2196/76372</t>
  </si>
  <si>
    <t>H1709</t>
  </si>
  <si>
    <t>41252533</t>
  </si>
  <si>
    <t>WOS:001625277800001</t>
  </si>
  <si>
    <t>Background: Black box warnings (BBWs) issued by the United States Food and Drug Administration (USFDA) serve as the most stringent alerts for serious or life-threatening drug-related adverse events. Despite their clinical importance, multiple studies indicate gaps in healthcare professionals' awareness and patients' understanding of BBWs. Large language models (LLMs) offer promising potential to simplify, clarify, and disseminate regulatory safety information. This study aimed to evaluate the performance of three advanced LLM, ChatGPT-4, DeepSeek-V3, and Google Gemini 2.5 Flash, in accurately and effectively conveying BBW content to healthcare personnel and patients.Methods: Thirteen FDA-issued BBWs were selected across a range of drugs involving pediatric, adult, psychiatric, reproductive health, and rare disease contexts. Each LLM was prompted separately to generate responses tailored to two audiences: healthcare professionals and patients. Responses were independently evaluated using structured rubrics across six domains, including fidelity to FDA language, completeness, clarity, actionability, understandability (for patient outputs), and absence of hallucinations. Output was scored and categorized as low-, moderate-, or high-quality based on the in-house developed rubric.Results: All three LLMs successfully generated responses for every scenario. Across both clinician- and patient-directed prompts, outputs from ChatGPT, DeepSeek, and Gemini were consistently rated as high quality. ChatGPT excelled in clarity and structured communication, DeepSeek provided detailed clinical guidance and regulatory references, and Gemini delivered comprehensive and empathetic narratives with enhanced personalization. Differences across models emerged in tone, output length, format, and inclusion of supplemental content. Importantly, no model exhibited critical hallucinations, although isolated overextensions of regulatory scope were noted in some DeepSeek responses.Conclusion: LLMs demonstrate strong potential in conveying complex BBW content to both clinical and lay audiences. While each model has distinct advantages, all three effectively translated regulatory language into clear and actionable guidance. Integration of LLMs into safety communication strategies may enhance risk comprehension and support safer prescribing practices.</t>
  </si>
  <si>
    <t>Sridharan, K (corresponding author), Arabian Gulf Univ, Coll Med &amp; Hlth Sci, Dept Pharmacol &amp; Therapeut, Manama, Bahrain.</t>
  </si>
  <si>
    <t>skannandr@gmail.com; gowri.sivaramakrishnan@gmail.com</t>
  </si>
  <si>
    <t>[Sridharan, Kannan] Arabian Gulf Univ, Coll Med &amp; Hlth Sci, Dept Pharmacol &amp; Therapeut, Manama, Bahrain; [Sivaramakrishnan, Gowri] Bahrain Def Force Royal Med Serv, Riffa, Bahrain</t>
  </si>
  <si>
    <t>Evaluation of large language models in explaining black-box warnings: A comparative analysis of fidelity and clarity across models</t>
  </si>
  <si>
    <t>PHARMACY PRACTICE-GRANADA</t>
  </si>
  <si>
    <t>Serious adverse events; Pharmacovigilance; Black box warnings; BBW; AI; Artificial intelligence.</t>
  </si>
  <si>
    <t>CENTRO INVESTIGACIONES &amp; PUBLICACIONES FARMACEUTICAS</t>
  </si>
  <si>
    <t>REDONDELA</t>
  </si>
  <si>
    <t>RUA REGATEIRAS, 55, REDONDELA, 36800, SPAIN</t>
  </si>
  <si>
    <t>1885-642X</t>
  </si>
  <si>
    <t>1886-3655</t>
  </si>
  <si>
    <t>PHARM PRACT-GRANADA</t>
  </si>
  <si>
    <t>Pharm. Pract.-Granada</t>
  </si>
  <si>
    <t>JUL-SEP 2026</t>
  </si>
  <si>
    <t>3652</t>
  </si>
  <si>
    <t>10.18549/PharmPract.2026.3.3652</t>
  </si>
  <si>
    <t>http://dx.doi.org/10.18549/PharmPract.2026.3.3652</t>
  </si>
  <si>
    <t>138</t>
  </si>
  <si>
    <t>MX0TG</t>
  </si>
  <si>
    <t>WOS:001852933100001</t>
  </si>
  <si>
    <t>Byun, H; Lee, DHY; Jung, MY; Jang, B</t>
  </si>
  <si>
    <t>Evaluating clinical reasoning in large language models (LLMs) poses two open challenges: reference-oriented semantic metrics do not directly assess whether a model's stated diagnosis is supported by the evidence in its own justification, and the increasingly popular LLM-as-judge approach rests on a largely untested assumption-that independent verifier LLMs agree with one another. We assess three generator LLMs (HuatuoGPT-o1-8B, Meta-Llama-3.1-8B-Instruct, Meta-Llama-3.3-70B-Instruct) on 1,000 MIMIC-IV hospital-stay cases along four complementary axes (medical concept grounding, semantic similarity, semantic uncertainty, and evidence-conclusion coherence), with coherence judged independently by three frontier verifiers (Claude Sonnet 4.6, Gemini 2.5 Pro, GPT-5.4 mini). Two findings emerge. First, coherence reveals a dissociation that reference-oriented metrics do not capture: a model can score well on those axes yet still produce rationales that do not support its own conclusions. Second, inter-verifier agreement on coherence is consistently low (Fleiss' 0.087-0.223; disagreement 62.2%-74.3%), so the same rationale can be judged supported or unsupported depending on the verifier. A preliminary validation in which a physician adjudicated 50 cases echoed this: agreement with the physician varied across verifiers, underscoring that no single LLM reliably stands in for clinical assessment. Together, these results suggest a single LLM verifier lacks sufficient reliability to serve as a stand-alone judge of clinical reasoning at scale, and that structured human oversight remains essential. The unanimous-agreement tier offers a candidate for selective automation, but its clinical reliability remains to be confirmed in larger, multi-clinician adjudication studies.</t>
  </si>
  <si>
    <t>Byun, Hyunjung; Lee, Dahyoun; Jung, Munyoung; Jang, Beakcheol</t>
  </si>
  <si>
    <t>Jang, B (corresponding author), Yonsei Univ, Grad Sch Informat, 50 Yonsei Ro, Seoul 03722, South Korea.</t>
  </si>
  <si>
    <t>goyom@yonsei.ac.kr; jungmy3454@yonsei.ac.kr; bjang@yonsei.ac.kr; hjbyun25@yonsei.ac.kr</t>
  </si>
  <si>
    <t>National Research Foundation of Korea Fund [RS-2023-00273751]</t>
  </si>
  <si>
    <t>National Research Foundation of Korea Fund</t>
  </si>
  <si>
    <t>This work was supported by the National Research Foundation of Korea Fund of RS-2023-00273751.</t>
  </si>
  <si>
    <t>[Byun, Hyunjung; Jang, Beakcheol] Yonsei Univ, Grad Sch Informat, 50 Yonsei Ro, Seoul 03722, South Korea; [Lee, Dahyoun] Yonsei Univ, Coll Med, Dept Biomed Syst Informat, 50 Yonsei Ro, Seoul 03722, South Korea; [Jung, Munyoung] Yonsei Univ, Grad Sch Mech Engn, 50 Yonsei Ro, Seoul 03722, South Korea; [Byun, Hyunjung] Hlth Insurance Review &amp; Assessment Serv, 60,Hyeoksin Ro, Wonju 26465, South Korea</t>
  </si>
  <si>
    <t>Yonsei University; Yonsei University; Yonsei University Health System; Yonsei University</t>
  </si>
  <si>
    <t>Multi-Axial Analysis of Clinical Reasoning in Large Language Models: Inter-Verifier Disagreement and Its Implications for Automated Evaluation</t>
  </si>
  <si>
    <t>JOURNAL OF MEDICAL SYSTEMS</t>
  </si>
  <si>
    <t>Large language models; LLM-as-a-judge; Clinical reasoning; Hallucination; Medical AI evaluation; Evidence-conclusion coherence</t>
  </si>
  <si>
    <t>Byun, Hyunjung/0009-0004-2003-4889</t>
  </si>
  <si>
    <t>0148-5598</t>
  </si>
  <si>
    <t>1573-689X</t>
  </si>
  <si>
    <t>J MED SYST</t>
  </si>
  <si>
    <t>J. Med. Syst.</t>
  </si>
  <si>
    <t>JUL 22 2026</t>
  </si>
  <si>
    <t>10.1007/s10916-026-02440-y</t>
  </si>
  <si>
    <t>http://dx.doi.org/10.1007/s10916-026-02440-y</t>
  </si>
  <si>
    <t>LJ9HE</t>
  </si>
  <si>
    <t>42481841</t>
  </si>
  <si>
    <t>WOS:001826355900001</t>
  </si>
  <si>
    <t>Du, XS; Nagy, A; Oates, MF; Wang, YF; Wang, XY; Plasek, JM; Aronson, SJ; Lebo, MS; Zhou, L</t>
  </si>
  <si>
    <t>Purpose: To propose a novel method that augments LLMs with evidence-based, variant-specific information to improve summarization accuracy and support clinical decision making. Methods: We proposed Precision Grounding which uses a query tool that integrates domain expert-selected resources and allows users to query relevant factual information using identifiers in databases. In our case, which is genetic variant summarization, we developed CATT (ClinGen website: https://shorturl.at/pw81X; GitHub: htt ps://github.com/mgbpm/clingen-ai-tools; Zenodo: https://doi.org/10.5281/zenodo.18896080), an opensource tool integrating publicly available ClinGen, ClinVar, and GenCC databases. Users can query and retrieve curated evidence via Variation IDs to ground LLM outputs. We compared our approach with baseline methods, including web-search grounding and retrieval-augmented generation (RAG; specifically, MedRAG) using 50 expert-selected variants. Results: GPT-4o was selected due to its good performance on our task during a pilot test. Using GPT-4o, we found web-search grounding performed better than MedRAG since MedRAG failed to generate clinically useful summaries due to limitations of relevant information in its databases. Precision Grounding outperformed web-search grounding, achieving significantly higher accuracy and completeness scores, which were based on a 5-point Likert-Scale of 4.76 (+0.74) and 4.94 (+0.84), respectively. Error analysis revealed that Precision Grounding reduced clinically significant hallucinations, such as incorrect pathogenicity classification and summarizing the wrong variant. Conclusion: Precision Grounding outperformed existing grounding approaches for genetic variant summarization. Our open-source tool, CATT, enables integration of curated, domain-specific genetic variant knowledge and significantly reduces hallucinations in LLM outputs. By enhancing the accuracy and completeness of variant interpretation, this framework holds strong potential for real-world implementation in clinical decision-support systems. Its modular, interoperable design allows for seamless integration into clinical genomics workflows, supporting more efficient, trustworthy, and scalable variant review processes.</t>
  </si>
  <si>
    <t>Du, Xinsong; Nagy, Anna; Oates, Michael F.; Wang, Yifei; Wang, Xinyi; Plasek, Joseph M.; Aronson, Samuel J.; Lebo, Matthew S.; Zhou, Li</t>
  </si>
  <si>
    <t>Du, XS (corresponding author), Harvard Med Sch, 399 Revolut Dr, Boston, MA 02145 USA.; Du, XS (corresponding author), Brigham &amp; Womens Hosp, Dept Med, Div Gen Internal Med &amp; Primary Care, 399 Revolut Dr, Somerville, MA 02145 USA.</t>
  </si>
  <si>
    <t>xidu1@bwh.harvard.edu</t>
  </si>
  <si>
    <t>NIH-NHGRI [U24HG006834-10S1]; NIH-NIA [R01AG080429]; NIH-NLM [R01LM014239]; OpenAI Researcher Access Program</t>
  </si>
  <si>
    <t>NIH-NHGRI (United States Department of Health &amp; Human Services, National Institutes of Health (NIH) - USA, NIH National Human Genome Research Institute (NHGRI)); NIH-NIA (United States Department of Health &amp; Human Services, National Institutes of Health (NIH) - USA, NIH National Institute on Aging (NIA)); NIH-NLM (United States Department of Health &amp; Human Services, National Institutes of Health (NIH) - USA, NIH National Library of Medicine (NLM)); OpenAI Researcher Access Program</t>
  </si>
  <si>
    <t>Research was supported by NIH-NHGRI (U24HG006834-10S1) , NIH-NIA (R01AG080429) , NIH-NLM (R01LM014239) , and OpenAI Researcher Access Program.</t>
  </si>
  <si>
    <t>[Du, Xinsong; Wang, Xinyi; Plasek, Joseph M.; Zhou, Li] Brigham &amp; Womens Hosp, Dept Med, Boston, MA USA; [Du, Xinsong; Wang, Xinyi; Plasek, Joseph M.; Zhou, Li] Harvard Med Sch, 399 Revolut Dr, Boston, MA 02145 USA; [Du, Xinsong; Wang, Xinyi; Plasek, Joseph M.; Zhou, Li] Harvard Med Sch, Dept Biomed Informat, Boston, MA USA; [Nagy, Anna; Oates, Michael F.; Aronson, Samuel J.; Lebo, Matthew S.] Mass Gen Brigham, Lab Mol Med, Boston, MA USA; [Oates, Michael F.; Aronson, Samuel J.] Mass Gen Brigham, Digital Res Operat, Boston, MA USA; [Wang, Yifei] Brandeis Univ, Michtom Sch Comp Sci, Waltham, MA USA; [Lebo, Matthew S.] Brigham &amp; Womens Hosp, Dept Pathol, Boston, MA USA; [Lebo, Matthew S.] Broad Inst Harvard &amp; MIT, Mol &amp; Populat Genet, Boston, MA USA</t>
  </si>
  <si>
    <t>Harvard University; Harvard University Medical Affiliates; Brigham &amp; Women's Hospital; Harvard University; Harvard Medical School; Harvard University; Harvard Medical School; Mass General Brigham; Mass General Brigham; Brandeis University; Harvard University; Harvard University Medical Affiliates; Brigham &amp; Women's Hospital; Harvard University; Massachusetts Institute of Technology (MIT); Broad Institute</t>
  </si>
  <si>
    <t>Precision Grounding: augmenting large language models with evidence-based databases for trustworthy genetic variant summarization</t>
  </si>
  <si>
    <t>Clinical decision support; Large language models; Genomics; Hallucination; Summarization; Retrieval augmented generation</t>
  </si>
  <si>
    <t>Plasek, Joseph/AAI-8263-2020; Du, Xinsong/AAG-7589-2020</t>
  </si>
  <si>
    <t>106424</t>
  </si>
  <si>
    <t>10.1016/j.ijmedinf.2026.106424</t>
  </si>
  <si>
    <t>http://dx.doi.org/10.1016/j.ijmedinf.2026.106424</t>
  </si>
  <si>
    <t>GP1NK</t>
  </si>
  <si>
    <t>41950627</t>
  </si>
  <si>
    <t>WOS:001741714700001</t>
  </si>
  <si>
    <t>Asl, MMB; Spiotta, AM</t>
  </si>
  <si>
    <t>Digital tools are increasingly used by patients to access health information and navigate care, including choosing clinicians, but the evidence supporting "best doctor" recommendations varies widely across available methods. This manuscript compares the emerging use of consumer-facing large language models (LLMs) for this purpose with four alternative physician-selection strategies: patient networks, expert referrals, consumer rating/search platforms, and outcome-informed artificial intelligence / machine learning (AI/ML) recommender systems. Consumer rating platforms mainly reflect patient experiences rather than technical skills and often show weak or inconsistent links with objective performance measures. General-purpose LLMs may produce convincing rationales that highlight visibility and reputation, but they remain limited by hallucinations, prompt sensitivity, and uncertainty about whether their explanations truly reflect the underlying reasoning. Outcome-informed AI/ML recommender systems could, in theory, incorporate risk-adjusted clinical performance, but they face significant challenges, including unreliable physician-level measurement, incomplete data, residual confounding, and limited transparency, which can undermine trust and informed consent. We suggest that a hybrid system should be seen as a guiding concept and a testable approach rather than a final solution. Such a system could integrate proven, auditable performance measures with transparent patient-preference filters and verifiable, patient-facing explanations. We present key design principles, including clinical relevance, explainability, autonomy, equity, and governance, in line with current US Food and Drug Administration (FDA) guidance related to clinical decision support and adaptive AI life cycle management.</t>
  </si>
  <si>
    <t>Asl, Mohammad Mahdi Bagheri; Spiotta, Alejandro M.</t>
  </si>
  <si>
    <t>Spiotta, AM (corresponding author), Med Univ South Carolina, Dept Neurosurg, Div Neuroendovasc Surg, Charleston, SC 29425 USA.</t>
  </si>
  <si>
    <t>spiotta@musc.edu</t>
  </si>
  <si>
    <t>[Asl, Mohammad Mahdi Bagheri] Med Univ South Carolina, Dept Neurosurg, Charleston, SC USA; [Spiotta, Alejandro M.] Med Univ South Carolina, Dept Neurosurg, Div Neuroendovasc Surg, Charleston, SC 29425 USA</t>
  </si>
  <si>
    <t>Medical University of South Carolina</t>
  </si>
  <si>
    <t>Large Language Models as Physician Recommenders: Limitations, Alternatives, and the Path Toward Hybrid AI Systems</t>
  </si>
  <si>
    <t>JOINT COMMISSION JOURNAL ON QUALITY AND PATIENT SAFETY</t>
  </si>
  <si>
    <t>COMPLICATIONS; RELIABILITY; ACCURACY</t>
  </si>
  <si>
    <t>Bagheri Asl, Mohammad Mahdi/ABW-5614-2022</t>
  </si>
  <si>
    <t>1553-7250</t>
  </si>
  <si>
    <t>1938-131X</t>
  </si>
  <si>
    <t>JT COMM J QUAL PATIE</t>
  </si>
  <si>
    <t>Jt. Comm. J. Qual. Patient Saf.</t>
  </si>
  <si>
    <t>317</t>
  </si>
  <si>
    <t>323</t>
  </si>
  <si>
    <t>10.1016/j.jcjq.2026.03.011</t>
  </si>
  <si>
    <t>http://dx.doi.org/10.1016/j.jcjq.2026.03.011</t>
  </si>
  <si>
    <t>KN7HG</t>
  </si>
  <si>
    <t>42020238</t>
  </si>
  <si>
    <t>WOS:001811298400001</t>
  </si>
  <si>
    <t>von der Stück, MS; Vuskov, R; Westfechtel, S; Siepmann, R; Kuhl, C; Truhn, D; Nebelung, S</t>
  </si>
  <si>
    <t>Visual large language models (VLLMs) are discussed as potential tools for assisting radiologists in image interpretation, yet their clinical value remains unclear. This study provides a systematic and comprehensive comparison of general-purpose and biomedical VLLMs in radiology. We evaluated 180 representative clinical images with validated reference diagnoses (radiography, CT, MRI; 60 each) using seven VLLMs (ChatGPT-4o, Gemini 2.0, Claude Sonnet 3.7, Perplexity AI, Google Vision AI, LLaVA-1.6, LLaVA-Med-v1.5). Each model interpreted the image without and with clinical context. Mixed-effects logistic regression models assessed the influence of model, modality, and context on diagnostic performance and hallucinations (fabricated findings or misidentifications). Diagnostic accuracy varied significantly across all dimensions (p &lt;= 0.001), ranging from 8.1% to 29.2% across models, with Gemini 2.0 performing best and LLaVA performing weakest. CT achieved the best overall accuracy (20.7%), followed by radiography (17.3%) and MRI (13.9%). Clinical context improved accuracy from 10.6% to 24.0% (p &lt; 0.001) but shifted the model to rely more on textual information. Hallucinations were frequent (74.4% overall) and model-dependent (51.7-82.8% across models; p &lt;= 0.004). Current VLLMs remain diagnostically unreliable, heavily context-biased, and prone to generating false findings, which limits their clinical suitability. Domain-specific training and rigorous validation are required before clinical integration can be considered.</t>
  </si>
  <si>
    <t>von Der Stuck, Marc Sebastian; Vuskov, Roman; Westfechtel, Simon; Siepmann, Robert; Kuhl, Christiane; Truhn, Daniel; Nebelung, Sven</t>
  </si>
  <si>
    <t>von der Stück, MS (corresponding author), Univ Hosp RWTH Aachen, Dept Diagnost &amp; Intervent Radiol, Aachen D-52074, Germany.</t>
  </si>
  <si>
    <t>mvonderstuec@ukaachen.de</t>
  </si>
  <si>
    <t>European Union's Horizon Europe program [101057091]; Deutsche Forschungsgemeinschaft (DFG) [TR 1700/7-1]; German Federal Ministry of Education and Research [01KD2215A, 031L0312A]</t>
  </si>
  <si>
    <t>European Union's Horizon Europe program; Deutsche Forschungsgemeinschaft (DFG) (German Research Foundation (DFG)); German Federal Ministry of Education and Research (Federal Ministry of Education &amp; Research (BMBF))</t>
  </si>
  <si>
    <t>D.T. is supported by the European Union's Horizon Europe program (ODELIA, 101057091), by grants from the Deutsche Forschungsgemeinschaft (DFG) (TR 1700/7-1), and the German Federal Ministry of Education and Research (SWAG, 01KD2215A; TRANSFORM LIVER, 031L0312A). S.N. is funded by grants from the Deutsche Forschungsgemeinschaft (DFG) (NE 2136/3-1, LI 3893/6-1).</t>
  </si>
  <si>
    <t>[von Der Stuck, Marc Sebastian; Vuskov, Roman; Westfechtel, Simon; Siepmann, Robert; Kuhl, Christiane; Truhn, Daniel; Nebelung, Sven] Univ Hosp RWTH Aachen, Dept Diagnost &amp; Intervent Radiol, Aachen D-52074, Germany</t>
  </si>
  <si>
    <t>RWTH Aachen University; RWTH Aachen University Hospital</t>
  </si>
  <si>
    <t>Visual Large Language Models in Radiology: A Systematic Multimodel Evaluation of Diagnostic Accuracy and Hallucinations</t>
  </si>
  <si>
    <t>LIFE-BASEL</t>
  </si>
  <si>
    <t>machine learning; magnetic resonance imaging; tomography (X-ray-computed)</t>
  </si>
  <si>
    <t>Kuhl, Christiane/H-3301-2013; Nebelung, Sven/ACI-2600-2022; Truhn, Daniel/AAG-9359-2021</t>
  </si>
  <si>
    <t>2075-1729</t>
  </si>
  <si>
    <t>Life-Basel</t>
  </si>
  <si>
    <t>JAN 1 2026</t>
  </si>
  <si>
    <t>10.3390/life16010066</t>
  </si>
  <si>
    <t>http://dx.doi.org/10.3390/life16010066</t>
  </si>
  <si>
    <t>Biology; Microbiology</t>
  </si>
  <si>
    <t>Life Sciences &amp; Biomedicine - Other Topics; Microbiology</t>
  </si>
  <si>
    <t>CR6RC</t>
  </si>
  <si>
    <t>41598221</t>
  </si>
  <si>
    <t>WOS:001672804900001</t>
  </si>
  <si>
    <t>Trabilsy, M; Prabha, S; Gomez-Cabello, CA; Haider, SA; Genovese, A; Borna, S; Wood, N; Gopala, N; Tao, C; Forte, AJ</t>
  </si>
  <si>
    <t>The increasing integration of large language models (LLMs) into healthcare presents significant opportunities, but also critical risks related to patient safety, accuracy, and ethical alignment. Despite these concerns, no standardized framework exists for systematically evaluating and stress testing LLM behavior in clinical decision-making. The PIEE cycle-Planning and Preparation, Information Gathering and Prompt Generation, Execution, and Evaluation-is a structured red-teaming framework developed specifically to address artificial intelligence (AI) safety risks in healthcare decision-making. PIEE enables clinicians and informatics teams to simulate adversarial prompts, including jailbreaking, social engineering, and distractor attacks, to stress-test language models in real-world clinical scenarios. Model performance is evaluated using specific metrics such as true positive and false positive rates for detecting harmful content, hallucination rates measured through adapted TruthfulQA scoring, safety and reliability assessments, bias detection via adapted BBQ benchmarks, and ethical evaluation using structured Likert-based scoring rubrics. The framework is illustrated using examples from plastic surgery, but is adaptable across specialties, and is intended for use by all medical providers, regardless of their backgrounds or familiarity with artificial intelligence. While the framework is currently conceptual and validation is ongoing, PIEE provides a practical foundation for assessing the clinical reliability and ethical robustness of LLMs in medicine.</t>
  </si>
  <si>
    <t>Trabilsy, Maissa; Prabha, Srinivasagam; Gomez-Cabello, Cesar A.; Haider, Syed Ali; Genovese, Ariana; Borna, Sahar; Wood, Nadia; Gopala, Narayanan; Tao, Cui; Forte, Antonio J.</t>
  </si>
  <si>
    <t>Forte, AJ (corresponding author), Mayo Clin, Div Plast Surg, 4500 San Pablo Rd, Jacksonville, FL 32224 USA.; Forte, AJ (corresponding author), Mayo Clin, Dept Digital Hlth, Rochester, MN 55905 USA.</t>
  </si>
  <si>
    <t>Mayo Clinic; Gerstner Philanthropies</t>
  </si>
  <si>
    <t>Mayo Clinic (Mayo Clinic); Gerstner Philanthropies</t>
  </si>
  <si>
    <t>This work is supported by Mayo Clinic and the generosity of Eric and Wendy Schmidt, Dalio Philanthropies, and Gerstner Philanthropies.</t>
  </si>
  <si>
    <t>[Trabilsy, Maissa; Prabha, Srinivasagam; Gomez-Cabello, Cesar A.; Haider, Syed Ali; Genovese, Ariana; Borna, Sahar; Forte, Antonio J.] Mayo Clin, Div Plast Surg, 4500 San Pablo Rd, Jacksonville, FL 32224 USA; [Wood, Nadia] Mayo Clin, Dept Radiol, Rochester, MN 55905 USA; [Gopala, Narayanan; Forte, Antonio J.] Mayo Clin, Dept Digital Hlth, Rochester, MN 55905 USA; [Tao, Cui] Mayo Clin, Dept Artificial Intelligence &amp; Informat, Jacksonville, FL 32224 USA</t>
  </si>
  <si>
    <t>Mayo Clinic; Mayo Clinic; Mayo Clinic; Mayo Clinic</t>
  </si>
  <si>
    <t>The PIEE Cycle: A Structured Framework for Red Teaming Large Language Models in Clinical Decision-Making</t>
  </si>
  <si>
    <t>artificial intelligence (AI); machine intelligence; knowledge representation; machine learning; predictive learning models</t>
  </si>
  <si>
    <t>Forte, Antonio Jorge/I-2970-2019; Genovese, Ariana/CAF-1752-2022; Tao, Cui/G-8429-2011; Srinivasagam, Prabha/AAG-3009-2021; Wood, Nadia/PFI-7840-2025</t>
  </si>
  <si>
    <t>Forte, Antonio Jorge/0000-0003-2004-7538; Genovese, Ariana/0009-0000-9678-2163; Tao, Cui/0000-0002-4267-1924; Srinivasagam, Prabha/0000-0003-2573-8493; Wood, Nadia/0000-0002-2685-6427; Haider, Syed Ali/0009-0007-5621-2861</t>
  </si>
  <si>
    <t>JUN 27 2025</t>
  </si>
  <si>
    <t>10.3390/bioengineering12070706</t>
  </si>
  <si>
    <t>http://dx.doi.org/10.3390/bioengineering12070706</t>
  </si>
  <si>
    <t>5HA1Y</t>
  </si>
  <si>
    <t>40722398</t>
  </si>
  <si>
    <t>WOS:001535484800001</t>
  </si>
  <si>
    <t>Maia, BKF; de Morais, EF; Santos, TD; Pagotto, LEC</t>
  </si>
  <si>
    <t>Large language models (LLMs) are increasingly used in healthcare, but their role in aesthetic surgical procedures remains unexplored. These interventions present unique challenges, marked by high patient expectations, emotionally charged decision-making, and subtle yet impactful outcomes on self-perception and psychosocial health. This cross-sectional in silico study evaluated the performance of ChatGPT-4 (OpenAI, 2025), DeepSeek V3 (DeepSeek AI/High-Flyer, 2025), and Gemini 2.5 Pro Experimental (Google, 2025) in preoperative and postoperative counselling for aesthetic facial surgery. Twenty-six standardised patient-oriented questions were submitted, and the anonymised responses of the chatbots were independently assessed by two calibrated oral and maxillofacial surgeons across four domains: accuracy, empathy, readability (Flesch-Kincaid Reading Ease (FKRE) and Grade Level (FKGL)), and referencing reliability (including the identification of fabricated or non-verifiable citations, a phenomenon referred to as "hallucination" in LLM outputs). Statistical tests included Kruskal-Wallis, Mann-Whitney U with Bonferroni correction, Spearman correlation, and chi-squared. DeepSeek achieved the highest accuracy (4.77 (0.51), p = 0.0078) and readability (FKRE 2.92 (0.27), p &lt; 0.00001), while Gemini outperformed in empathy (4.08 (0.89), p &lt; 0.001). GPT-4 produced the most hallucinated citations (36%) compared with Gemini (14%) and DeepSeek (8.8%) (p &lt; 0.00001). A negative correlation between empathy and readability (r = -0.34, p = 0.002) suggested a trade-off between affective tone and accessibility. Overall, LLMs generated satisfactory counselling responses with distinct performance profiles, supporting their potential in patient-centred communication while reinforcing the need for human oversight. (c) 2026 The Author(s). Published by Elsevier Ltd on behalf of The British Association of Oral and Maxillofacial Surgeons. This is an open access article under the CC BY license (http://creativecommons.org/licenses/by/4.0/).</t>
  </si>
  <si>
    <t>Maia, Bruce Kepler Frutuoso; de Morais, Everton Freitas; Santos, Thiago de Santana; Pagotto, Luis Eduardo Charles</t>
  </si>
  <si>
    <t>de Morais, EF (corresponding author), Univ Estadual Campinas, Dept Oral Diag, Piracicaba, SP, Brazil.; de Morais, EF (corresponding author), Univ Estadual Campinas, Piracicaba Dent Sch, Grad Program Oral Biol, Piracicaba, SP, Brazil.</t>
  </si>
  <si>
    <t>evertonfreitas2@hotmail.com</t>
  </si>
  <si>
    <t>[Maia, Bruce Kepler Frutuoso] Hosp Urgencias Sergipe, Aracaju, SE, Brazil; [de Morais, Everton Freitas] Univ Estadual Campinas, Dept Oral Diag, Piracicaba, SP, Brazil; [de Morais, Everton Freitas] Univ Estadual Campinas, Piracicaba Dent Sch, Grad Program Oral Biol, Piracicaba, SP, Brazil; [de Morais, Everton Freitas] Univ Fed Ceara, Grad Program Biotechnol, Sobral, CE, Brazil; [Santos, Thiago de Santana] Inst Maxillofacial Educ, Aracaju, SE, Brazil; [Pagotto, Luis Eduardo Charles] Sirio Libanes Hosp, Hosp Sirio Libanes, Sao Paulo, Brazil</t>
  </si>
  <si>
    <t>Universidade Estadual de Campinas; Universidade Estadual de Campinas; Universidade Federal do Ceara; Hospital Sirio Libanes</t>
  </si>
  <si>
    <t>Performance of large language models in preoperative and postoperative counselling for aesthetic facial procedures</t>
  </si>
  <si>
    <t>Aesthetic medicine; Chatbots; Large language models; Artificial intelligence in healthcare</t>
  </si>
  <si>
    <t>Santos, Thiago/C-2868-2011; de Morais, Everton/W-8833-2018</t>
  </si>
  <si>
    <t>216</t>
  </si>
  <si>
    <t>222</t>
  </si>
  <si>
    <t>10.1016/j.bjoms.2026.01.002</t>
  </si>
  <si>
    <t>http://dx.doi.org/10.1016/j.bjoms.2026.01.002</t>
  </si>
  <si>
    <t>GO5HK</t>
  </si>
  <si>
    <t>41633924</t>
  </si>
  <si>
    <t>WOS:001741290900001</t>
  </si>
  <si>
    <t>Nelles, C; Abou Zeid, N; Terzis, R; Iuga, AI; Görtz, L; Spurek, MA; Maintz, D; Lennartz, S; Kottlors, J</t>
  </si>
  <si>
    <t>Background/Objectives: To evaluate the diagnostic accuracy of two visual large language models (vLLMs), GPT-4o (OpenAI) and Claude Sonnet 3.5 (Anthropic), for detecting brain metastases in routine MRI using combined imaging and textual input. Methods: This retrospective study included 31 patients with and 46 without brain metastases with underlying melanoma (n = 24), lung cancer (n = 23), breast cancer (n = 17), or renal cell carcinoma (n = 13). In total, 100 MRI examinations (50 with, 50 without metastases) were provided to both vLLMs using a single representative slice per sequence, together with clinical history and the referring question. The generated free-text reports were evaluated for detection accuracy, overdiagnosis, correct sequence recognition, anatomical localization, lesion laterality, and lesion size estimation. Results: Both vLLMs showed perfect sensitivity (100% for both) but very low specificity (GPT-4o: 8%, Sonnet 3.5: 4%; p = 0.625), resulting in low diagnostic accuracy (GPT-4o: 54%, Sonnet 3.5: 52%; p = 0.625). Sequence identification was highly accurate in both models, with GPT-4o performing significantly better (100% vs. 93%; p &lt; 0.05). Identification of the anatomical brain region (70% vs. 72%; p = 1.00) and lesion laterality (62% vs. 76%; p = 0.189) was comparable. Both models hallucinated additional lesions in 12% of cases. Lesion size measurements showed no significant differences between the models or in comparison with the radiologist. Conclusions: GPT-4o and Claude Sonnet 3.5 can generate radiological reports and detect brain metastases with excellent sensitivity, but their very low specificity, frequent hallucinations, and limited spatial reliability currently preclude clinical application. Future work should address how the balance between visual and textual input influences diagnostic behavior in vLLMs.</t>
  </si>
  <si>
    <t>Nelles, Christian; Abou Zeid, Nour; Terzis, Robert; Iuga, Andra-Iza; Gortz, Lukas; Spurek, Marvin A.; Maintz, David; Lennartz, Simon; Kottlors, Jonathan</t>
  </si>
  <si>
    <t>Nelles, C (corresponding author), Univ Cologne, Univ Hosp Cologne, Inst Diagnost &amp; Intervent Radiol, Fac Med, D-50937 Cologne, Germany.</t>
  </si>
  <si>
    <t>nour.abou-zeid@uk-koeln.de; jonathan.kottlors@uk-koeln.de; simon.lennartz@uk-koeln.de; marvin.spurek@uk-koeln.de; lukas.goertz@uk-koeln.de; christian.nelles@uk-koeln.de; robert.terzis@uk-koeln.de; andra.iuga@uk-koeln.de</t>
  </si>
  <si>
    <t>Else Krner-Fresenius-Stiftung [2023_EKEA.77]</t>
  </si>
  <si>
    <t>Else Krner-Fresenius-Stiftung</t>
  </si>
  <si>
    <t>This research was funded by the Else Kroner-Fresenius-Stiftung, grant number 2023_EKEA.77.</t>
  </si>
  <si>
    <t>[Nelles, Christian; Abou Zeid, Nour; Terzis, Robert; Iuga, Andra-Iza; Gortz, Lukas; Spurek, Marvin A.; Maintz, David; Lennartz, Simon; Kottlors, Jonathan] Univ Cologne, Univ Hosp Cologne, Inst Diagnost &amp; Intervent Radiol, Fac Med, D-50937 Cologne, Germany</t>
  </si>
  <si>
    <t>University of Cologne</t>
  </si>
  <si>
    <t>Opportunities and Challenges of Visual Large Language Models in Imaging Diagnostics: Lessons from Brain Metastasis Detection in Clinical MRI</t>
  </si>
  <si>
    <t>visual large language models; brain metastases; Magnetic Resonance Imaging; diagnostic accuracy</t>
  </si>
  <si>
    <t>Lennartz, Simon/ABK-6970-2022; Maintz, David/ABG-3220-2020; Kottlors, Jonathan/OPM-8986-2025</t>
  </si>
  <si>
    <t>749</t>
  </si>
  <si>
    <t>10.3390/diagnostics16050749</t>
  </si>
  <si>
    <t>http://dx.doi.org/10.3390/diagnostics16050749</t>
  </si>
  <si>
    <t>FB1WX</t>
  </si>
  <si>
    <t>41828026</t>
  </si>
  <si>
    <t>WOS:001714579800001</t>
  </si>
  <si>
    <t>Kuo, SM; Tai, SK; Lin, HY; Chen, RC</t>
  </si>
  <si>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</si>
  <si>
    <t>Kuo, Sheng-Ming; Tai, Shao-Kuo; Lin, Hung-Yu; Chen, Rung-Ching</t>
  </si>
  <si>
    <t>Kuo, SM; Chen, RC (corresponding author), Chaoyang Univ Technol, Dept Informat Management, Taichung 413310, Taiwan.</t>
  </si>
  <si>
    <t>linhungyu700218@gmail.com; keanil.kuo@gmail.com; sgdai@cyut.edu.tw; crching@cyut.edu.tw</t>
  </si>
  <si>
    <t>[Kuo, Sheng-Ming; Tai, Shao-Kuo; Chen, Rung-Ching] Chaoyang Univ Technol, Dept Informat Management, Taichung 413310, Taiwan; [Lin, Hung-Yu] Natl Chung Hsing Univ, Coll Med, Dept Postbaccalaureate Med, Taichung 402202, Taiwan; [Lin, Hung-Yu] Show Chwan Mem Hosp, Res Assistant Ctr, Changhua 500, Taiwan</t>
  </si>
  <si>
    <t>Chaoyang University of Technology; National Chung Hsing University; Show Chwan Memorial Hospital</t>
  </si>
  <si>
    <t>Automated Clinical Trial Data Analysis and Report Generation by Integrating Retrieval-Augmented Generation (RAG) and Large Language Model (LLM) Technologies</t>
  </si>
  <si>
    <t>retrieval-augmented generation; large language model; electronic health record; LoRA/QLoRA; multimodal</t>
  </si>
  <si>
    <t>, Rung Ching/0000-0001-7621-1988; Lin, Hung-Yu/0000-0002-9035-5408; Tai, Shao Kuo/0000-0001-7319-1256</t>
  </si>
  <si>
    <t>2673-2688</t>
  </si>
  <si>
    <t>AI-BASEL</t>
  </si>
  <si>
    <t>AUG 15 2025</t>
  </si>
  <si>
    <t>188</t>
  </si>
  <si>
    <t>10.3390/ai6080188</t>
  </si>
  <si>
    <t>http://dx.doi.org/10.3390/ai6080188</t>
  </si>
  <si>
    <t>6QK0F</t>
  </si>
  <si>
    <t>WOS:001559530000001</t>
  </si>
  <si>
    <t>Wen, Y; Chen, LY; Lan, JP; Chen, L; Li, L</t>
  </si>
  <si>
    <t>Background Diabetes-related foot disease requires timely recognition of neuropathic risk, ulceration, infection, ischemia, offloading needs, and recurrence risk. Publicly accessible large language models (LLMs) may provide patient-facing information, but reproducible prompt construction for benchmarking such outputs remains insufficiently characterized.Objective This study aimed to develop and apply a domain- and source-balanced prompt framework for benchmarking patient-facing diabetic foot information generated by publicly accessible LLMs under default single-turn public-interface conditions.Methods A 24-item benchmark prompt set was generated using a domain- and source-balanced framework incorporating public-query sources and guideline-derived decision-critical content. Six clinical domains were crossed with four source categories: Google Trends, Baidu Zhidao, a PubMed-indexed Chinese diabetic foot guideline, and PubMed-indexed international diabetic foot guidelines. Each prompt was submitted once to GPT-5.5 Thinking, DeepSeek-V4, Gemini 3.1 Pro, Grok 4.3, and Qwen3.6-Max-Preview, yielding 120 responses. Response quality was assessed using DISCERN, EQIP, and GQS; visible transparency-related features were evaluated using JAMA benchmark criteria; readability was assessed using six formulas; and an exploratory potential clinical-risk flag (PCF) screened for overt short-term harm signals. Formal claim-level factual-accuracy review, guideline-concordance adjudication, and hallucination-frequency analysis were not performed.Results Significant metric-specific differences were observed across models. Grok 4.3 recorded the highest observed mean DISCERN, EQIP, GQS, and JAMA-based visible transparency-related scores, whereas DeepSeek-V4 showed the lowest observed mean scores for several readability-grade metrics and the highest mean FRES. Visible transparency-related scores remained low across models. No response was rated as PCF 1 or PCF 2. No response met all predefined readability targets.Conclusions The proposed prompt framework provides a structured basis for public-interface LLM benchmarking in diabetic foot education. Default responses showed metric-specific variation, limited visible transparency, and inadequate readability, and should not be relied upon independently for high-risk diabetic foot decision-making without clinician oversight.</t>
  </si>
  <si>
    <t>Wen, Yang; Chen, Liyuan; Lan, Jiaping; Chen, Lin; Li, Lei</t>
  </si>
  <si>
    <t>Chen, L; Li, L (corresponding author), Suining Cent Hosp, Dept Lower Extrem &amp; Orthoped Surg, Suining, Peoples R China.</t>
  </si>
  <si>
    <t>lilei06122024@163.com; mynameischen135@163.com</t>
  </si>
  <si>
    <t>Sichuan Medical Association Orthopedics(Shang Antong) Special Scientific Research Project in 2025 [2025SAT12]</t>
  </si>
  <si>
    <t>Sichuan Medical Association Orthopedics(Shang Antong) Special Scientific Research Project in 2025</t>
  </si>
  <si>
    <t>The author(s) declared that financial support was received for this work and/or its publication. Sichuan Medical Association Orthopedics(Shang Antong) Special Scientific Research Project in 2025, Project Number: 2025SAT12.</t>
  </si>
  <si>
    <t>[Wen, Yang; Lan, Jiaping; Chen, Lin; Li, Lei] Suining Cent Hosp, Dept Lower Extrem &amp; Orthoped Surg, Suining, Peoples R China; [Chen, Liyuan] Suining Cent Hosp, Med Dept, Suining, Peoples R China</t>
  </si>
  <si>
    <t>Patient-facing diabetic foot information from large language models: a domain- and source-balanced prompt framework for public-interface benchmarking</t>
  </si>
  <si>
    <t>FRONTIERS IN ENDOCRINOLOGY</t>
  </si>
  <si>
    <t>benchmarking; diabetic foot; domain- and source-balanced prompt framework; large language models; patient-facing information</t>
  </si>
  <si>
    <t>READABILITY</t>
  </si>
  <si>
    <t>1664-2392</t>
  </si>
  <si>
    <t>FRONT ENDOCRINOL</t>
  </si>
  <si>
    <t>Front. Endocrinol.</t>
  </si>
  <si>
    <t>JUL 21 2026</t>
  </si>
  <si>
    <t>1895366</t>
  </si>
  <si>
    <t>10.3389/fendo.2026.1895366</t>
  </si>
  <si>
    <t>http://dx.doi.org/10.3389/fendo.2026.1895366</t>
  </si>
  <si>
    <t>Endocrinology &amp; Metabolism</t>
  </si>
  <si>
    <t>MC0UM</t>
  </si>
  <si>
    <t>42553147</t>
  </si>
  <si>
    <t>WOS:001838677300001</t>
  </si>
  <si>
    <t>Xie, WY; Liu, JL; Liu, SR</t>
  </si>
  <si>
    <t>Personal health large language models (PH-LLMs) are patient-facing conversational systems that synthesize user-entered information, patient-generated health data, wearable data, and selected personal health records-where users choose to connect them-into personalized, longitudinal, action-oriented health narratives. Unlike generic health chatbots that mainly provide one-off responses to isolated questions, PH-LLMs may generate continuing interpretations, priorities, and candidate next steps that patients bring into clinical encounters. In contrast to electronic health record-tethered clinical artificial intelligence (AI), they often originate outside institutional oversight and may be selected, used, or trusted by patients before professional review. This viewpoint examines how PH-LLMs may reshape the negotiation of medical authority by contributing to a shift from the traditional dyadic clinician-patient relationship toward a triadic model of negotiated authority, in which clinicians may increasingly need to mediate among clinical evidence, patient values, and algorithmic narratives. PH-LLMs may support patient participation by organizing symptoms, contextualizing home-monitoring and wearable data, improving health literacy, assisting chronic disease self-management, and preparing patients for more collaborative visits. Patient-facing AI narratives may also introduce distinct risks. At the individual level, these include inaccurate or incomplete responses arising from imprecise queries or missing context, misinterpretation of otherwise accurate information in the absence of clinical context, and contextually biased or poorly matched advice across demographic, cultural, linguistic, disability-related, or socioeconomic contexts. At the system level, they include authority conflict when AI recommendations diverge from clinical judgment, fragmentation of clinical truth, privacy and data-governance concerns, diffusion of accountability when harm results from advice produced outside clinical governance, and inequitable access to premium tools and continuous monitoring devices. To address these challenges, we propose a 3-layer clinical governance framework for patient-brought PH-LLM narratives. The first layer, evidence and provenance, makes AI-generated narratives epistemically legible by clarifying platform identity, data sources, temporal anchoring, uncertainty, and privacy-relevant data-use and retention conditions. The second layer, clinical arbitration and workflow integration, uses risk-stratified intake, proportionate documentation, escalation triggers, and equity-preserving workflows to embed PH-LLM outputs into routine care. The third layer, competence and accountability, defines the communication competencies, AI literacy supports, institutional responsibilities, vendor accountability, and risk-proportionate verification duties needed for triadic care. This framework is a conceptual and governance-oriented proposal rather than a validated clinical protocol. Future empirical work should evaluate its feasibility, documentation burden, equity effects, clinical safety impact, and acceptability among patients, clinicians, and health systems. Governed through these interdependent layers, PH-LLMs may serve as supporting infrastructure for safer, person-centered longitudinal care.</t>
  </si>
  <si>
    <t>Xie, Wenyi; Liu, Jialin; Liu, Siru</t>
  </si>
  <si>
    <t>Liu, JL (corresponding author), Sichuan Univ, Informat Ctr, West China Hosp, 37 Guo Xue Xiang St, Chengdu 610041, Sichuan, Peoples R China.</t>
  </si>
  <si>
    <t>dljl8@163.com</t>
  </si>
  <si>
    <t>[Xie, Wenyi] Sichuan Univ, Med Intens Care Unit, West China Hosp, Chengdu, Sichuan, Peoples R China; [Liu, Jialin] Sichuan Univ, Informat Ctr, West China Hosp, 37 Guo Xue Xiang St, Chengdu 610041, Sichuan, Peoples R China; [Liu, Jialin] Sichuan Univ, Dept Otolaryngol Head &amp; Neck Surg, West China Hosp, Chengdu, Sichuan, Peoples R China; [Liu, Siru] Vanderbilt Univ Sch Med, Dept Biomed Informat, Nashville, TN USA</t>
  </si>
  <si>
    <t>Sichuan University; Sichuan University; Sichuan University; Vanderbilt University</t>
  </si>
  <si>
    <t>Personal Health Large Language Models and the Negotiation of Medical Authority in Clinical Care: Opportunities, Risks, and Governance</t>
  </si>
  <si>
    <t>personal health large language models; clinician-patient relationship; artificial intelligence; medical authority; clinical governance; shared decision-making; patient-generated health data; digital health; accountability</t>
  </si>
  <si>
    <t>JUN 25 2026</t>
  </si>
  <si>
    <t>e91727</t>
  </si>
  <si>
    <t>10.2196/91727</t>
  </si>
  <si>
    <t>http://dx.doi.org/10.2196/91727</t>
  </si>
  <si>
    <t>KQ9UG</t>
  </si>
  <si>
    <t>42347687</t>
  </si>
  <si>
    <t>WOS:001813510300001</t>
  </si>
  <si>
    <t>Zhai, GN; Bar, M; Cowan, AJ; Rubinstein, S; Shi, Q; Zhang, NJ; Xie, E; Ma, WL</t>
  </si>
  <si>
    <t>Background Evidence-based medicine is crucial for clinical decision-making, yet studies suggest that a significant proportion of treatment decisions do not fully incorporate the latest evidence. Large Language Models (LLMs) show promise in bridging this gap, but their reliability for medical recommendations remains uncertain.Methods We conducted an evaluation study comparing five LLMs' recommendations across 50 clinical scenarios related to multiple myeloma diagnosis, staging, treatment, and management, using a unified evidence cutoff of June 2024. The evaluation included three general-purpose LLMs (OpenAI o1-preview, Claude 3.5 Sonnet, Gemini 1.5 Pro), one retrieval-augmented generation (RAG) system (Myelo), and one agentic workflow-based system (HopeAI). General-purpose LLMs generated responses based solely on their internal knowledge, while the RAG system enhanced these capabilities by incorporating external knowledge retrieval. The agentic workflow system extended the RAG approach by implementing multi-step reasoning and coordinating with multiple tools and external systems for complex task execution. Three independent hematologist-oncologists evaluated the LLM-generated responses using standardized scoring criteria developed specifically for this study. Performance assessment encompassed five dimensions: accuracy, relevance, comprehensiveness, hallucination rate, and clinical use readiness.Results HopeAI demonstrated superior performance across accuracy (82.0%), relevance (85.3%), and comprehensiveness (74.0%), compared to OpenAI o1-preview (64.7, 57.3, 36.0%), Claude 3.5 Sonnet (50.0, 51.3, 29.3%), Gemini 1.5 Pro (48.0, 46.0, 30.0%), and Myelo (58.7, 56, 32.7%). Hallucination rates were consistently low across all systems: HopeAI (5.3%), OpenAI o1-preview (3.3%), Claude 3.5 Sonnet (10.0%), Gemini 1.5 Pro (8.0%), and Myelo (5.3%). Clinical use readiness scores were relatively low for all systems: HopeAI (25.3%), OpenAI o1-preview (6.0%), Claude 3.5 Sonnet (2.7%), Gemini 1.5 Pro (4.0%), and Myelo (4.0%).Conclusion This study demonstrates that while current LLMs show promise in medical decision support, their recommendations require careful clinical supervision to ensure patient safety and optimal care. Further research is needed to improve their clinical use readiness before integration into oncology workflows. These findings provide valuable insights into the capabilities and limitations of LLMs in oncology, guiding future research and development efforts toward integrating AI into clinical workflows.</t>
  </si>
  <si>
    <t>Zhai, Guannan; Bar, Merav; Cowan, Andrew J.; Rubinstein, Samuel; Shi, Qian; Zhang, Ningjie; Xie, En; Ma, Will</t>
  </si>
  <si>
    <t>Ma, WL (corresponding author), HopeAI Inc, Princeton, NJ 08540 USA.</t>
  </si>
  <si>
    <t>will@hopeai.co</t>
  </si>
  <si>
    <t>[Zhai, Guannan] George Washington Univ, Dept Stat, Washington, DC USA; [Bar, Merav] Bristol Myers Squibb, Summit, NJ USA; [Cowan, Andrew J.] Univ Washington, Div Hematol Oncol, Seattle, WA USA; [Cowan, Andrew J.] Fred Hutch Canc Ctr, Div Clin Res, Seattle, WA USA; [Rubinstein, Samuel] Univ North Carolina, Div Hematol, Chapel Hill, NC USA; [Shi, Qian] Mayo Clin, Dept Quantitat Hlth Sci, Rochester, MN USA; [Zhang, Ningjie] Shanghai Jiao Tong Univ, Dept Bioinformat &amp; Biostat, Shanghai, Peoples R China; [Xie, En; Ma, Will] HopeAI Inc, Princeton, NJ 08540 USA</t>
  </si>
  <si>
    <t>George Washington University; Bristol-Myers Squibb; University of Washington; University of Washington Seattle; Fred Hutchinson Cancer Center; University of North Carolina; University of North Carolina Chapel Hill; University of North Carolina School of Medicine; Mayo Clinic; Shanghai Jiao Tong University</t>
  </si>
  <si>
    <t>AI for evidence-based treatment recommendation in oncology: a blinded evaluation of large language models and agentic workflows</t>
  </si>
  <si>
    <t>agentic workflows; artificial intelligence in medicine; clinical evaluation; evidence-based medicine; large language models; multiple myeloma; oncology decision support; retrieval-augmented generation</t>
  </si>
  <si>
    <t>MULTIPLE-MYELOMA; DIAGNOSIS; KAPPA</t>
  </si>
  <si>
    <t>DEC 9 2025</t>
  </si>
  <si>
    <t>1683322</t>
  </si>
  <si>
    <t>10.3389/frai.2025.1683322</t>
  </si>
  <si>
    <t>http://dx.doi.org/10.3389/frai.2025.1683322</t>
  </si>
  <si>
    <t>AC2UZ</t>
  </si>
  <si>
    <t>41446897</t>
  </si>
  <si>
    <t>WOS:001644718100001</t>
  </si>
  <si>
    <t>Ke, YH; Jin, LY; Elangovan, K; Abdullah, HR; Liu, N; Sia, ATH; Soh, CR; Tung, JYM; Ong, JCL; Kuo, CF; Wu, SC; Kovacheva, VP; Ting, DSW</t>
  </si>
  <si>
    <t>Large Language Models (LLMs) hold promise for medical applications but often lack domain-specific expertise. Retrieval Augmented Generation (RAG) enables customization by integrating specialized knowledge. This study assessed the accuracy, consistency, and safety of LLM-RAG models in determining surgical fitness and delivering preoperative instructions using 35 local and 23 international guidelines. Ten LLMs (e.g., GPT3.5, GPT4, GPT4o, Gemini, Llama2, and Llama3, Claude) were tested across 14 clinical scenarios. A total of 3234 responses were generated and compared to 448 human-generated answers. The GPT4 LLM-RAG model with international guidelines generated answers within 20 s and achieved the highest accuracy, which was significantly better than human-generated responses (96.4% vs. 86.6%, p = 0.016). Additionally, the model exhibited an absence of hallucinations and produced more consistent output than humans. This study underscores the potential of GPT-4-based LLM-RAG models to deliver highly accurate, efficient, and consistent preoperative assessments.</t>
  </si>
  <si>
    <t>Ke, Yu He; Jin, Liyuan; Elangovan, Kabilan; Abdullah, Hairil Rizal; Liu, Nan; Sia, Alex Tiong Heng; Soh, Chai Rick; Tung, Joshua Yi Min; Ong, Jasmine Chiat Ling; Kuo, Chang-Fu; Wu, Shao-Chun; Kovacheva, Vesela P.; Ting, Daniel Shu Wei</t>
  </si>
  <si>
    <t>Ting, DSW (corresponding author), Duke NUS Med Sch, Singapore, Singapore.; Ting, DSW (corresponding author), Singapore Eye Res Inst, Singapore Natl Eye Ctr, Singapore, Singapore.; Ting, DSW (corresponding author), Singapore Hlth Serv, Artificial Intelligence Off, Singapore, Singapore.</t>
  </si>
  <si>
    <t>daniel.ting45@gmail.com</t>
  </si>
  <si>
    <t>[Ke, Yu He; Abdullah, Hairil Rizal; Soh, Chai Rick] Singapore Gen Hosp, Dept Anesthesiol, Singapore, Singapore; [Ke, Yu He; Abdullah, Hairil Rizal; Tung, Joshua Yi Min] Singapore Gen Hosp, Data Sci &amp; Artificial Intelligence Lab, Singapore, Singapore; [Jin, Liyuan; Liu, Nan; Sia, Alex Tiong Heng; Soh, Chai Rick; Ong, Jasmine Chiat Ling; Ting, Daniel Shu Wei] Duke NUS Med Sch, Singapore, Singapore; [Jin, Liyuan; Ting, Daniel Shu Wei] Singapore Eye Res Inst, Singapore Natl Eye Ctr, Singapore, Singapore; [Jin, Liyuan; Elangovan, Kabilan; Ting, Daniel Shu Wei] Singapore Hlth Serv, Artificial Intelligence Off, Singapore, Singapore; [Sia, Alex Tiong Heng] KK Womens &amp; Childrens Hosp, Dept Womens Anaesthesia, Singapore, Singapore; [Tung, Joshua Yi Min] Singapore Gen Hosp, Dept Urol, Singapore, Singapore; [Ong, Jasmine Chiat Ling] Singapore Gen Hosp, Div Pharm, Singapore, Singapore; [Kuo, Chang-Fu] Chang Gung Mem Hosp, Dept Rheumatol Allergy &amp; Immunol, Taipei, Taiwan; [Kuo, Chang-Fu] Chang Gung Mem Hosp, Ctr Artificial Intelligence Med, Taipei, Taiwan; [Kuo, Chang-Fu] Chang Gung Univ, Sch Med, Taipei, Taiwan; [Wu, Shao-Chun] Chang Gung Univ, Kaohsiung Chang Gung Mem Hosp, Coll Med, Dept Anesthesiol, Kaohsiung, Taiwan; [Wu, Shao-Chun] Natl Sun Yat Sen Univ, Coll Med, Sch Med, Kaohsiung, Taiwan; [Kovacheva, Vesela P.] Harvard Med Sch, Brigham &amp; Womens Hosp, Dept Anesthesiol Perioperat &amp; Pain Med, Boston, MA USA</t>
  </si>
  <si>
    <t>Singapore General Hospital; Singapore General Hospital; National University of Singapore; Singapore National Eye Center; National University of Singapore; KK Women's &amp; Children's Hospital; Singapore General Hospital; Singapore General Hospital; Chang Gung Memorial Hospital; Chang Gung Memorial Hospital; Chang Gung University; Chang Gung Memorial Hospital; Chang Gung University; National Sun Yat Sen University; Harvard University; Harvard Medical School; Harvard University Medical Affiliates; Brigham &amp; Women's Hospital</t>
  </si>
  <si>
    <t>Retrieval augmented generation for 10 large language models and its generalizability in assessing medical fitness</t>
  </si>
  <si>
    <t>Liu, Nan/HCS-2632-2022; Ong, Jasmine/OIU-8666-2025; Sia, Alex/HTS-5642-2023; Wu, Shao-Chun/IZE-5692-2023; Ting, Daniel/QOC-0597-2026; Tung, Joshua Yi Min/IUM-5812-2023; Kovacheva, Vesela/B-2615-2018; abdullah, hairil/AAN-1504-2020</t>
  </si>
  <si>
    <t>Liu, Nan/0000-0003-3610-4883; Wu, Shao-Chun/0000-0002-0984-6921; Kovacheva, Vesela/0000-0001-7367-3394</t>
  </si>
  <si>
    <t>APR 5 2025</t>
  </si>
  <si>
    <t>187</t>
  </si>
  <si>
    <t>10.1038/s41746-025-01519-z</t>
  </si>
  <si>
    <t>http://dx.doi.org/10.1038/s41746-025-01519-z</t>
  </si>
  <si>
    <t>0YX2G</t>
  </si>
  <si>
    <t>40185842</t>
  </si>
  <si>
    <t>WOS:001459314000001</t>
  </si>
  <si>
    <t>Alqahtani, SS; Algarni, HA; Alonazi, MA; Iqbal, A; Khattak, O; Jothish, R; Karobari, MI</t>
  </si>
  <si>
    <t>Introduction Large language models (LLMs) are increasingly used by patients seeking endodontic information, yet their clinical reliability and safety in patient-centred communication remain uncertain.Methods This study evaluated the clinical reliability and safety of three contemporary LLMs (ChatGPT GPT-4o, Claude Sonnet 4.5, and Gemini 3 Flash) using 50 patient-centred endodontic questions (35 frequently asked questions and 15 scenario-based prompts). Each question was submitted six times per model in independent sessions. Responses were anonymised and independently assessed by four examiners using a structured Clinical Reliability and Safety Framework. Due to poor inter-examiner agreement, analyses were conducted using examiner stratification. Reproducibility was assessed using word count variability, embedding-based semantic similarity, and lexical distance metrics.Results Statistically significant differences in clinical reliability were observed across all examiners. ChatGPT consistently received the lowest scores, whereas Gemini most frequently achieved the highest ratings. Model differentiation was clearer for structured frequently asked questions and selected clinical domains than for scenario-based prompts. All models demonstrated stable response lengths across repeated runs. Gemini showed the highest semantic consistency despite greater surface-level rewording.Discussion Contemporary LLMs demonstrate clinically meaningful variability beyond factual accuracy, particularly in safety framing and clinical actionability. Reliability is influenced by question structure and clinical context. Multidimensional, examiner-aware evaluation frameworks are necessary to meaningfully assess safety and support responsible integration of LLMs into endodontic patient communication.</t>
  </si>
  <si>
    <t>Alqahtani, Saeed S.; Algarni, Hmoud Ali; Alonazi, Meshal Aber; Iqbal, Azhar; Khattak, Osama; Jothish, Ravi; Karobari, Mohmed Isaqali</t>
  </si>
  <si>
    <t>Alqahtani, SS (corresponding author), Jouf Univ, Coll Dent, Dept Restorat Dent Sci, Sakaka, Saudi Arabia.</t>
  </si>
  <si>
    <t>ssalqahtani@ju.edu.sa</t>
  </si>
  <si>
    <t>[Alqahtani, Saeed S.; Algarni, Hmoud Ali; Alonazi, Meshal Aber; Iqbal, Azhar; Khattak, Osama; Jothish, Ravi] Jouf Univ, Coll Dent, Dept Restorat Dent Sci, Sakaka, Saudi Arabia; [Karobari, Mohmed Isaqali] Saveetha Univ, Saveetha Dent Coll &amp; Hosp, Saveetha Inst Med &amp; Tech Sci, Dept Conservat Dent &amp; Endodont, Chennai, India</t>
  </si>
  <si>
    <t>Al Jouf University; Saveetha Institute of Medical &amp; Technical Science; Saveetha Dental College &amp; Hospital</t>
  </si>
  <si>
    <t>Examiner stratification reveals clinically relevant variability in large language model answers to endodontic patient questions</t>
  </si>
  <si>
    <t>artificial intelligence; communication; decision support systems; dentistry; endodontics; natural language processing; patient education</t>
  </si>
  <si>
    <t>Alonazi, Meshal/KFB-8400-2024; Ravi, Jothish/OMM-0135-2025; Karobari, Prof Dr Mohmed Isaqali/AAG-8700-2020; Iqbal, Azhar/IQU-7873-2023; Alqahtani, Saeed/NMJ-7730-2025; Khattak, Osama/AAD-8078-2022; Algarni, Hmoud/OPM-9111-2025</t>
  </si>
  <si>
    <t>APR 22 2026</t>
  </si>
  <si>
    <t>1819087</t>
  </si>
  <si>
    <t>10.3389/fmed.2026.1819087</t>
  </si>
  <si>
    <t>http://dx.doi.org/10.3389/fmed.2026.1819087</t>
  </si>
  <si>
    <t>HL3PZ</t>
  </si>
  <si>
    <t>42100249</t>
  </si>
  <si>
    <t>WOS:001756791700001</t>
  </si>
  <si>
    <t>Liu, ZY; Tong, PF; Jiang, YJ; Liu, R</t>
  </si>
  <si>
    <t>Objective This study aims to clarify the impact of Large Language Models (LLMs) and health education content categories on generated text quality (patient education appropriateness and overall quality) and readability, providing empirical evidence for the standardized application of LLMs-assisted health communication. Methods Five mainstream models (Doubao, Deep Seek, Wenxin Yiyan, Gemini and GPT-5) were selected to generate 100 texts (20 per model, 20 per theme) across five health education categories: disease cognition dimension, etiology and risk factors dimension, diagnosis and examination dimension, treatment and management dimension, and prevention and prognosis dimension. Test quality was assessed using the Chinese version of the Patient Education Material Readability Assessment Scale (C-PEMAT) and the Global Quality Scale (GQS), while readability was measured via seven metrics including the Automated Readability Index (ARI) and the Flesch Reading Ease Score (FRES). Correlation analyses were used to explore relationships among indicators. Results Our analysis revealed clear hierarchical performance across five large language models: GPT-5 achieved the highest scores in both patient education appropriateness (C-PEMAT: 11.10 +/- 2.40) and overall text quality (GQS: 5.00 [4.00, 5.00]). GPT-5 exhibited significantly higher GQS scores than all other models (chi(2) = 66.52, p &lt; 0.001), while Wenxin Yiyan ranked lowest in core quality (GQS: 1.00 [1.00, 2.00]). Content categories exhibited differentiated readability but stable quality: texts on "Prevention and Prognosis" and "Treatment and Management" yielded the highest C-PEMAT scores, whereas "Etiology and Risk Factors" texts showed weaker reading fluency. Correlation analysis confirmed that quality and readability were largely independent, though subtle associations emerged-including a weak positive link between FRES and GQS. In the factual-accuracy assessment, 19.0% of responses contained factual inaccuracies, while no response was judged to contain potentially clinically harmful misinformation. Significant between-model differences were observed in factual accuracy scores. Conclusion This study demonstrates significant hierarchical performance among LLMs in health science text creation. Different health education themes show partial indicator variation but stable overall quality. Notably, quality and readability are relatively independent (with weak correlations), providing empirical evidence for understanding LLMs in health popularization.</t>
  </si>
  <si>
    <t>Liu, Zhongyu; Tong, Pengfei; Jiang, Yujie; Liu, Rong</t>
  </si>
  <si>
    <t>[Liu, Zhongyu; Liu, Rong] Univ South China, Affiliated Changsha Cent Hosp, Hengyang Med Sch, Dept Pharm, Changsha, Peoples R China; [Tong, Pengfei] Int Adv Technol Applicat Promot Ctr, Hefei, Peoples R China; [Jiang, Yujie] Zhejiang Univ, Affiliated Jinhua Hosp, Dept Emergency, Sch Med, Jinhua, Peoples R China</t>
  </si>
  <si>
    <t>University of South China; Zhejiang University</t>
  </si>
  <si>
    <t>Comparative evaluation of the quality, reliability, and readability of five large language model responses to frequently asked questions on gestational hypertension</t>
  </si>
  <si>
    <t>artificial intelligence; gestational hypertension; large language models; online medical information; quality; readability</t>
  </si>
  <si>
    <t>CHATGPT; DEATH; WOMEN</t>
  </si>
  <si>
    <t>1833611</t>
  </si>
  <si>
    <t>10.3389/fpubh.2026.1833611</t>
  </si>
  <si>
    <t>http://dx.doi.org/10.3389/fpubh.2026.1833611</t>
  </si>
  <si>
    <t>JK7IU</t>
  </si>
  <si>
    <t>42293673</t>
  </si>
  <si>
    <t>WOS:001791642600001</t>
  </si>
  <si>
    <t>Wegmann, S; Rosenkranz, T; Egenolf, P; Oikonomidis, S; Weber, M; Lenz, M</t>
  </si>
  <si>
    <t>Purpose To evaluate whether large language models (LLMs) can provide accurate, complete, and audience-adapted answers to common spine-surgery-related questions for patients and family practitioners.Methods Ten frequently asked spine-surgery questions were collected at a level 1 trauma center and simplified linguistically. Five LLMs (ChatGPT, Claude 3.5 Sonnet, Gemini Advanced 1.5 Pro, Copilot Pro, and DeepSeek V3) were queried using zero-shot prompting with persona-specific instructions for family practitioners and middle-aged patients. Responses were assessed by spine surgeons and non-medical raters for correctness, completeness, adaptability, and empathy using five-point Likert scales. Readability was quantified using the Flesch Reading Ease Score (FRES).Results All LLMs generated largely correct and usable responses. ChatGPT and Claude showed the highest correctness and completeness, particularly for practitioner-directed answers. Gemini and Copilot achieved superior readability and empathy for patient-facing responses. DeepSeek demonstrated balanced performance across all domains. Readability differed substantially between practitioner- and patient-oriented outputs.Conclusion LLMs can support communication and education following spine surgery when used with structured prompting. Clinical oversight remains essential to mitigate risks related to inaccuracies and hallucinations.Level of evidence III.</t>
  </si>
  <si>
    <t>Wegmann, Sebastian; Rosenkranz, Till; Egenolf, Philip; Oikonomidis, Stavros; Weber, Maximilian; Lenz, Maximilian</t>
  </si>
  <si>
    <t>Rosenkranz, T (corresponding author), Univ Hosp Cologne, Dept Orthopaed Trauma Surg &amp; Plast Aesthet Surg, Cologne, Germany.</t>
  </si>
  <si>
    <t>maximilian.lenz@uk-koeln.de; maximilian.weber2@uk-koeln.de; sebastian.wegmann@uk-koeln.de; till.rosenkranz@uk-koeln.de; stavros.oikonomidis@uk-koeln.de; philip.egenolf@uk-koeln.de</t>
  </si>
  <si>
    <t>Universittsklinikum Kln (8977)</t>
  </si>
  <si>
    <t>[Wegmann, Sebastian; Rosenkranz, Till; Egenolf, Philip; Oikonomidis, Stavros; Weber, Maximilian; Lenz, Maximilian] Univ Hosp Cologne, Dept Orthopaed Trauma Surg &amp; Plast Aesthet Surg, Cologne, Germany</t>
  </si>
  <si>
    <t>Are large language models such as ChatGPT, capable of supporting patients and general practitioners after spine surgery?</t>
  </si>
  <si>
    <t>ChatGPT; Artificial intelligence; Spine surgery; Large language models</t>
  </si>
  <si>
    <t>10.1007/s00586-026-10280-0</t>
  </si>
  <si>
    <t>http://dx.doi.org/10.1007/s00586-026-10280-0</t>
  </si>
  <si>
    <t>MT9YS</t>
  </si>
  <si>
    <t>42606695</t>
  </si>
  <si>
    <t>WOS:001850836400001</t>
  </si>
  <si>
    <t>Agaronnik, ND; Davis, J; Sounack, T; Keating, NL; Lindvall, C</t>
  </si>
  <si>
    <t>Introduction: In older adults with cancer, geriatric assessment (GA) can improve care quality. In-person assessment may not be feasible for all patients, and relevant information already exists in electronic health record (EHRs). However, chart review is time-consuming. Recently, large language models (LLMs) have demonstrated potential for automated abstraction and summarization tasks. The purpose of this study was to (1) develop an approach using LLMs to identify GA domains, and (2) demonstrate the potential of LLMs for creating GA summaries. Materials and methods: We extracted notes in the month following a poor prognosis for 30 randomly selected patients with cancer across seven clinical sites. We used a HIPAA-secure artificial intelligence tool to develop LLM prompts to identify and summarize domains. LLM was compared to chart review. A "hallucination score" was calculated for text included in the output. A "hallucination" is the term used to describe the production of false evidence. Results: Across 20 GA domains, note-level LLM analysis achieved sensitivity ranging from 0.44 to 1.0, specificity ranging 0.24-0.99, and accuracy ranging 0.49-0.98. Average hallucination index for documentation identified by the LLM was low. LLM frequently identified information that was documented in notes but missed by human experts. LLM-generated summaries included clinically-relevant information. Discussion: LLMs can abstract information relevant to GA domains with performance that is comparable to chart review, and in a fraction of the time. Although it would be ideal for all patients to receive in-person GAs, LLMs can identify relevant information when this is not feasible. The LLM exhibited low rate of producing false evidence, addressing one of the main concerns about clinical applications. LLM-generated GA summaries represent the first automated approach for this task.</t>
  </si>
  <si>
    <t>Agaronnik, Nicole D.; Davis, Joshua; Sounack, Thomas; Keating, Nancy L.; Lindvall, Charlotta</t>
  </si>
  <si>
    <t>charlotta_lindvall@dfci.harvard.edu</t>
  </si>
  <si>
    <t>CL is receiving funding from the National Institutes on Aging and the National Cancer Institute.</t>
  </si>
  <si>
    <t>[Agaronnik, Nicole D.; Keating, Nancy L.; Lindvall, Charlotta] Harvard Med Sch, Boston, MA USA; [Agaronnik, Nicole D.; Davis, Joshua; Sounack, Thomas; Lindvall, Charlotta] Dana Farber Canc Inst, Boston, MA 02215 USA; [Davis, Joshua] Albany Med Coll, Albany, NY USA; [Keating, Nancy L.; Lindvall, Charlotta] Brigham &amp; Womens Hosp, Boston, MA USA; [Lindvall, Charlotta] Dana Farber Canc Inst, Psychosocial Oncol &amp; Palliat Care, 450 Brookline Ave, Boston, MA 02215 USA</t>
  </si>
  <si>
    <t>Harvard University; Harvard Medical School; Harvard University; Harvard University Medical Affiliates; Dana-Farber Cancer Institute; Albany Medical College; Harvard University; Harvard University Medical Affiliates; Brigham &amp; Women's Hospital; Harvard University; Harvard University Medical Affiliates; Dana-Farber Cancer Institute</t>
  </si>
  <si>
    <t>Using large language models to identify geriatric assessment domains in patients with advanced cancer: A feasibility study</t>
  </si>
  <si>
    <t>JOURNAL OF GERIATRIC ONCOLOGY</t>
  </si>
  <si>
    <t>Geriatric assessment; Large language models; Quality improvement; cancer</t>
  </si>
  <si>
    <t>TREATMENT DECISION-MAKING; HIGH AGREEMENT; OLDER-ADULTS; LOW KAPPA</t>
  </si>
  <si>
    <t>Keating, Nancy/I-9968-2019</t>
  </si>
  <si>
    <t>1879-4068</t>
  </si>
  <si>
    <t>1879-4076</t>
  </si>
  <si>
    <t>J GERIATR ONCOL</t>
  </si>
  <si>
    <t>J. Geriatr. Oncol.</t>
  </si>
  <si>
    <t>102980</t>
  </si>
  <si>
    <t>10.1016/j.jgo.2026.102980</t>
  </si>
  <si>
    <t>http://dx.doi.org/10.1016/j.jgo.2026.102980</t>
  </si>
  <si>
    <t>Oncology; Geriatrics &amp; Gerontology</t>
  </si>
  <si>
    <t>HM2PT</t>
  </si>
  <si>
    <t>42035740</t>
  </si>
  <si>
    <t>WOS:001757401500001</t>
  </si>
  <si>
    <t>Jarrassier, A; de Saint-Léger, FB; de Rocquigny, G; Ariés, P; Joseph, A; Gojon, Y; Jacques-Sebastien, C; Riff, JC; Klack, F; Noel, A; Py, N; Toiron, A; Delval, P; Diop, S; Becq, MC; Walter, T; des Deserts, MD; Lamblin, A; Dubost, C</t>
  </si>
  <si>
    <t>Background Preoperative anaesthetic consultation is essential for perioperative care, involving risk assessment, treatment optimisation, and planning of anaesthetic strategies according to established guidelines. Large language models (LLMs) could offer decision-support in this setting, but their autonomous capability to generate comprehensive, guideline-based anaesthetic plans remains unassessed in France and uncertain worldwide. Methods In this simulation study, 100 synthetic clinical cases spanning various surgical specialties were evaluated. Three AI models-ChatGPT, Mistral, and a domain-specific LLM (Dougall GPT)-were prompted to generate preoperative anaesthetic assessment and plans based on French guidelines. Outputs were compared with expert anaesthesiologist reference plans using structured expert scoring across multiple domains, including guideline adherence and clinical safety. Results Among 1200 evaluated data fields across 100 cases, ChatGPT showed the highest overall guideline conformity, measured using a 0-4 expert-derived ordinal scale per domain (4 = guideline-concordant). ChatGPT provided the most complete outputs (98% of requested items) and achieved the highest median agreement scores in seven of the 12 anaesthesia domains. Dougall GPT performed moderately, whereas Mistral LeChat showed lower conformity and the highest proportion of unsafe or potentially unsafe outputs (scores &lt;= 2). Conclusions Current LLMs demonstrate encouraging potential to support preoperative anaesthetic planning for routine cases. However, their reliability remains insufficient for high-risk or complex patients without further fine-tuning and safety controls. These findings underscore both the potential and the current limitations of AI in perioperative decision support.</t>
  </si>
  <si>
    <t>Jarrassier, Audrey; de Saint-Leger, Frederik Belot; de Rocquigny, Gael; Aries, Philippe; Joseph, Alexandre; Gojon, Yann; Jacques-Sebastien, Cloe; Riff, Jean-Clement; Klack, Floriane; Noel, Alexandre; Py, Nicolas; Toiron, Alois; Delval, Paul; Diop, Sylvain; Becq, Marie-Christine; Walter, Thais; des Deserts, Marc Danguy; Lamblin, Antoine; Dubost, Clement</t>
  </si>
  <si>
    <t>Jarrassier, A (corresponding author), Begin Mil Teaching Hosp, St Mande, France.</t>
  </si>
  <si>
    <t>jarrassieraudrey@gmail.com</t>
  </si>
  <si>
    <t>[Jarrassier, Audrey; de Saint-Leger, Frederik Belot; de Rocquigny, Gael; Riff, Jean-Clement; Toiron, Alois; Delval, Paul; Diop, Sylvain; Dubost, Clement] Begin Mil Teaching Hosp, St Mande, France; [Aries, Philippe; Jacques-Sebastien, Cloe; des Deserts, Marc Danguy] Clermont Tonnerre Mil Teaching Hosp, Brest, France; [Joseph, Alexandre; Becq, Marie-Christine; Walter, Thais] St Louis Hosp, Paris, France; [Gojon, Yann; Klack, Floriane; Noel, Alexandre; Py, Nicolas; Lamblin, Antoine] Laveran Mil Teaching Hosp, Marseille, France</t>
  </si>
  <si>
    <t>Assistance Publique Hopitaux Paris (APHP); Universite Paris Cite; Hopital Universitaire Saint-Louis - APHP</t>
  </si>
  <si>
    <t>Can AI generate safe anaesthesia plans? A comparative evaluation of three large language models on 100 synthetic cases</t>
  </si>
  <si>
    <t>ANAESTHESIA CRITICAL CARE &amp; PAIN MEDICINE</t>
  </si>
  <si>
    <t>Anesthesia decision-making; Artificial intelligence; Large language model; Patient safety; Guideline adherence; Preoperative assessment</t>
  </si>
  <si>
    <t>de ROCQUIGNY, Gaël/PRQ-6260-2026</t>
  </si>
  <si>
    <t>de Rocquigny, Gaël/0000-0003-4747-0686</t>
  </si>
  <si>
    <t>ELSEVIER FRANCE-EDITIONS SCIENTIFIQUES MEDICALES ELSEVIER</t>
  </si>
  <si>
    <t>ISSY-LES-MOULINEAUX</t>
  </si>
  <si>
    <t>65 RUE CAMILLE DESMOULINS, CS50083, 92442 ISSY-LES-MOULINEAUX, FRANCE</t>
  </si>
  <si>
    <t>2352-5568</t>
  </si>
  <si>
    <t>ANAESTH CRIT CARE PA</t>
  </si>
  <si>
    <t>Anaesth. Crit. Care Pain Med.</t>
  </si>
  <si>
    <t>101769</t>
  </si>
  <si>
    <t>10.1016/j.accpm.2026.101769</t>
  </si>
  <si>
    <t>http://dx.doi.org/10.1016/j.accpm.2026.101769</t>
  </si>
  <si>
    <t>Anesthesiology; Critical Care Medicine</t>
  </si>
  <si>
    <t>Anesthesiology; General &amp; Internal Medicine</t>
  </si>
  <si>
    <t>EQ5BJ</t>
  </si>
  <si>
    <t>41653985</t>
  </si>
  <si>
    <t>WOS:001707320600001</t>
  </si>
  <si>
    <t>Zhang, Y; Li, L; Tan, CT; Ji, MY; Tian, XC; Mu, XD; Li, J; Gu, Y; Liu, HL</t>
  </si>
  <si>
    <t>Background: Pneumonia is a common infectious disease, and antibiotic treatment in hospitalized patients must balance efficacy, safety, and resistance risk. However, antibiotic selection and dose adjustment still rely heavily on clinician experience. Although large language models (LLMs) are promising for clinical reasoning, their direct use for antibiotic selection and dose recommendation is limited by hallucinations and weak adherence to clinical constraints. Objective: This study aimed to develop and externally validate a constrained LLM-based clinical decision support pipeline for antibiotic selection and dose recommendation in hospitalized patients with pneumonia. Methods: We conducted a multicenter retrospective study using electronic health record narratives, antibiotic orders, and laboratory indicators of hepatic and renal function from 331 hospitalized patients with pneumonia from 2 hospitals in China. The development cohort included 233 patients, and the external validation cohort included 98 patients. The pipeline integrated dual-branch retrieval (similar-case vector retrieval plus guideline-based knowledge graph retrieval), clinician-defined rule constraints, and hybrid-context reasoning. DeepSeek-V3, GLM-4.6, and GPT-4o were evaluated using F1-score and Jaccard accuracy. Results: On the internal test set, the full pipeline using DeepSeek-V3 achieved the best performance, with an F1-score of 0.8110 (95% CI 0.7371-0.8762) and Jaccard accuracy of 0.7624 (95% CI 0.6810-0.8386) for antibiotic selection and an F1-score of 0.7538 (95% CI 0.6671-0.8329) and Jaccard accuracy of 0.7076 (95% CI 0.6145-0.7938) for joint antibiotic selection plus dosing recommendation. On the external validation set, performance remained high, with an F1-score of 0.8605 (95% CI 0.7891-0.9252) and Jaccard accuracy of 0.8571 (95% CI 0.7857-0.9184) for antibiotic selection, and an F1-score of 0.8503 (95% CI 0.7789-0.9150) and Jaccard accuracy of 0.8469 (95% CI 0.7755-0.9133) for antibiotic selection plus dosing recommendation. The system also provided traceable evidence and rule trigger information to support clinician review. Conclusions: A constrained, retrieval-augmented LLM pipeline improved the consistency and interpretability of antibiotic selection and dose recommendation for hospitalized patients with pneumonia and provided preliminary evidence of cross-site generalizability.</t>
  </si>
  <si>
    <t>Zhang, Yang; Li, Li; Tan, Chunting; Ji, Mengyuan; Tian, Xican; Mu, Xiangdong; Li, Jun; Gu, Yu; Liu, Honglei</t>
  </si>
  <si>
    <t>Liu, HL (corresponding author), Capital Med Univ, Sch Biomed Engn, 10 Xitoutiao, Beijing 100069, Peoples R China.</t>
  </si>
  <si>
    <t>liuhonglei@ccmu.edu.cn</t>
  </si>
  <si>
    <t>Beijing Natural Science Foundation [7242264, 26QY0484, L246059]; Capital Medical University Basic Clinical Research Cultivation Program Project [JLPYPT2025001]</t>
  </si>
  <si>
    <t>Beijing Natural Science Foundation (Beijing Natural Science Foundation); Capital Medical University Basic Clinical Research Cultivation Program Project</t>
  </si>
  <si>
    <t>This work was supported by the Beijing Natural Science Foundation (7242264, 26QY0484, and L246059) and Capital Medical University Basic Clinical Research Cultivation Program Project (JLPYPT2025001).</t>
  </si>
  <si>
    <t>[Zhang, Yang; Ji, Mengyuan; Tian, Xican; Gu, Yu; Liu, Honglei] Capital Med Univ, Sch Biomed Engn, 10 Xitoutiao, Beijing 100069, Peoples R China; [Zhang, Yang] Capital Med Univ, Beijing Key Lab Clin Engn Solut Mental Hlth, Beijing, Peoples R China; [Li, Li; Mu, Xiangdong; Li, Jun] Tsinghua Univ, Beijing Tsinghua Changgung Hosp, Sch Clin Med, Dept Resp &amp; Crit Care Med, Beijing, Peoples R China; [Tan, Chunting] Capital Med Univ, Beijing Friendship Hosp, Dept Resp Med, Beijing, Peoples R China</t>
  </si>
  <si>
    <t>Capital Medical University; Capital Medical University; Tsinghua University; Capital Medical University</t>
  </si>
  <si>
    <t>Large Language Model-Based Clinical Decision Support for Antibiotic Selection and Dose Recommendation in Hospitalized Patients With Pneumonia: Multicenter Retrospective Study</t>
  </si>
  <si>
    <t>large language models; retrieval-augmented generation; pneumonia; medication recommendation; knowledge graph</t>
  </si>
  <si>
    <t>EXTRACTION SYSTEM</t>
  </si>
  <si>
    <t>e98207</t>
  </si>
  <si>
    <t>10.2196/98207</t>
  </si>
  <si>
    <t>http://dx.doi.org/10.2196/98207</t>
  </si>
  <si>
    <t>MG5GI</t>
  </si>
  <si>
    <t>42550965</t>
  </si>
  <si>
    <t>WOS:001841699400002</t>
  </si>
  <si>
    <t>Leong, YH; Nambiar, L; Tay, VYJ; Lie, SA; Ke, YH</t>
  </si>
  <si>
    <t>Background: Large language models (LLMs) are increasingly used in medical education for feedback and grading; yet their role in postgraduate examination preparation remains uncertain due to inconsistent grading, hallucinations, and user acceptance. Objective: This study evaluates the Personalized Anesthesia Study Support (PASS), a specialized GPT-4 model developed to assist candidates preparing for Singapore's postgraduate specialist anesthesiology examination. We assessed user acceptance, grading interrater reliability, and hallucination detection rates to determine the feasibility of integrating specialized LLMs into high-stakes examination preparation. Methods: PASS was built on OpenAI's GPT-4 and adapted with domain-specific prompts and references. Twenty-one senior anesthesiology residents completed a mock short answer question examination, which was independently graded by 3 human examiners and 3 PASS iterations. Participants reviewed feedback from both PASS and standard GPT-4 and completed a technology acceptance model (TAM) survey. Grading reliability was evaluated using Cohen and Fleiss kappa. Hallucination rates were assessed by participants and examiners. Results: Of the 21 participants, 17 (81%) completed the TAM survey, generating 136 responses. PASS scored significantly higher than standard GPT-4 in usefulness (mean 4.25, SD 0.50 vs mean 3.44, SD 0.82; P&lt;.001), efficiency (mean 4.12, SD 0.61 vs mean 3.41, SD 0.74; P&lt;.001), and likelihood of future use (mean 4.13, SD 0.75 vs mean 3.59, SD 0.90; P&lt;.001), with no significant difference in ease of use (mean 4.56, SD 0.63 vs mean 4.50, SD 0.61; P=.35). Internal grading reliability was moderate for PASS (kappa=0.522) and fair for human examiners (kappa=0.275). Across 316 PASS-generated responses, 67 hallucinations and 189 deviations were labeled. Hallucination labeling rates were comparable between candidates (10/67, 15%) and examiners (57/249, 22.9%; P=.21), while examiners labeled significantly more deviations (168/249, 67.5% vs 21/67, 31%; P&lt;.001). Conclusions: PASS demonstrated strong user acceptance and grading reliability, suggesting feasibility in high-stakes examination preparation. Experienced learners could identify major hallucinations at comparable rates to examiners, suggesting potential in self-directed learning but with continued need for caution. Further research should refine grading accuracy and explore multicenter evaluation of specialized LLMs for postgraduate medical education.</t>
  </si>
  <si>
    <t>Leong, Yun Hao; Nambiar, Lathiga; Tay, Victoria Y. J.; Lie, Sui An; Ke, Yuhe</t>
  </si>
  <si>
    <t>Leong, YH (corresponding author), Singapore Gen Hosp, Div Anesthesiol &amp; Perioperat Med, 31 Third Hosp Ave, Singapore 168753, Singapore.</t>
  </si>
  <si>
    <t>leong.yun.hao@singhealth.com.sg</t>
  </si>
  <si>
    <t>SingHealth Anesthesiology Residency Program</t>
  </si>
  <si>
    <t>We would like to extend our gratitude to the SingHealth Anesthesiology Residency Program for their support during the project. During the preparation of this manuscript, the authors employed large language models (ChatGPT) solely to assist with limited aspects of text refinement. These tools were used exclusively for (1) paraphrasing technical methodological descriptions to improve readability while preserving the scientific meaning and (2) optimizing grammatical structure in complex sentences. All large language model-generated content underwent rigorous verification against the original study data and were subject to critical revision by all coauthors to ensure factual accuracy and adherence to the study findings. The final manuscript represents the authors'scholarly work and interpretation.</t>
  </si>
  <si>
    <t>[Leong, Yun Hao; Nambiar, Lathiga; Tay, Victoria Y. J.; Lie, Sui An; Ke, Yuhe] Singapore Gen Hosp, Div Anesthesiol &amp; Perioperat Med, 31 Third Hosp Ave, Singapore 168753, Singapore; [Leong, Yun Hao; Tay, Victoria Y. J.; Lie, Sui An; Ke, Yuhe] Sengkang Gen Hosp, Dept Anesthesiol, Singapore, Singapore</t>
  </si>
  <si>
    <t>Singapore General Hospital</t>
  </si>
  <si>
    <t>Feasibility of a Specialized Large Language Model for Postgraduate Medical Examination Preparation: Single-Center Proof-Of-Concept Study</t>
  </si>
  <si>
    <t>large language model; artificial intelligence; technology acceptance model; medical education; postgraduate examination</t>
  </si>
  <si>
    <t>Tay, Victoria Yu Jia/0009-0000-4759-0966; Leong, Yun Hao/0000-0003-2571-4491; Lie, Sui An/0000-0001-8565-1934</t>
  </si>
  <si>
    <t>e77580</t>
  </si>
  <si>
    <t>10.2196/77580</t>
  </si>
  <si>
    <t>http://dx.doi.org/10.2196/77580</t>
  </si>
  <si>
    <t>W1823</t>
  </si>
  <si>
    <t>41337739</t>
  </si>
  <si>
    <t>WOS:001639344900039</t>
  </si>
  <si>
    <t>Karakas, PE; Calik, A; Bilen, AB; Kandemir, K; Alphan, ME</t>
  </si>
  <si>
    <t>Highlights What are the main findings? Large language models generated dietary plans for type 2 diabetes that differed substantially from a guideline-based, dietitian-designed reference diet, particularly in energy intake and dietary fiber adequacy. Most AI-generated diets followed a low-energy, lower-carbohydrate, higher-protein, and insufficient-fiber pattern, with limited evidence of individualized medical nutrition therapy. What are the implications of the main findings? AI-generated dietary plans for diabetes management should not replace professional medical nutrition therapy without expert evaluation. Careful clinical validation and guideline-based refinement are required before integrating large language models into routine diabetes care.Highlights What are the main findings? Large language models generated dietary plans for type 2 diabetes that differed substantially from a guideline-based, dietitian-designed reference diet, particularly in energy intake and dietary fiber adequacy. Most AI-generated diets followed a low-energy, lower-carbohydrate, higher-protein, and insufficient-fiber pattern, with limited evidence of individualized medical nutrition therapy. What are the implications of the main findings? AI-generated dietary plans for diabetes management should not replace professional medical nutrition therapy without expert evaluation. Careful clinical validation and guideline-based refinement are required before integrating large language models into routine diabetes care.Abstract Background/Objectives: Large language models (LLMs) are increasingly used as decision support tools in clinical nutrition, including meal planning for individuals with type 2 diabetes mellitus (T2DM). However, the clinical safety, quantitative accuracy, and guideline adherence of AI-generated dietary plans remain uncertain. This study aimed to evaluate systematic bias and agreement between LLM-generated diets and a guideline-concordant reference diet, and to assess whether current LLMs can function as reliable clinical nutrition decision support tools in T2DM. Methods: Six widely used LLMs generated standardized three-day, 1800 kcal dietary plans for T2DM using an identical prompt. Each day was treated as an independent observation (n = 18). Energy and macronutrient contents were analyzed using professional nutrition software and compared with a dietitian-designed reference diet based on ADA, EASD, IDF, and national guidelines. Agreement was evaluated using Bland-Altman analysis, proportional bias assessment, and intraclass correlation coefficients. Guideline adherence and clinical appropriateness were independently scored by registered dietitians. Results: Most LLM-generated diets systematically deviated from the reference diet, with lower total energy, reduced carbohydrate and fiber content, and variable protein distribution. Bland-Altman analyses demonstrated significant bias and wide limits of agreement for key nutrients, indicating clinically meaningful discrepancies. Guideline adherence scores varied substantially across models, with only one model showing relatively consistent performance. Inter-rater reliability between dietitians was high (ICC = 0.806). Conclusions: Current LLMs exhibit systematic quantitative bias and inconsistent guideline adherence when used for T2DM meal planning. AI-generated dietary plans are not interchangeable with dietitian-guided medical nutrition therapy and may pose clinical risks if used without professional oversight.Careful validation, domain-specific fine-tuning, and integration within supervised clinical workflows are required before implementation in diabetes care.</t>
  </si>
  <si>
    <t>Karakas, Pinar Ece; Calik, Aysenur; Bilen, Ayse Betul; Kandemir, Kardelen; Alphan, Muveddet Emel</t>
  </si>
  <si>
    <t>Karakas, PE; Calik, A (corresponding author), Istanbul Atlas Univ, Fac Hlth Sci, Dept Nutr &amp; Dietet, TR-34403 Istanbul, Turkiye.; Karakas, PE; Calik, A (corresponding author), Istanbul Hal Univ, Inst Grad Studies, PhD Program Nutr &amp; Dietet, TR-34060 Istanbul, Turkiye.</t>
  </si>
  <si>
    <t>ayse.demirbas@atlas.edu.tr; emel.alphan@atlas.edu.tr; aysenureho@gmail.com; pinarecekk@gmail.com; kardelen.yoldas@atlas.edu.tr</t>
  </si>
  <si>
    <t>[Karakas, Pinar Ece; Calik, Aysenur; Bilen, Ayse Betul; Kandemir, Kardelen; Alphan, Muveddet Emel] Istanbul Atlas Univ, Fac Hlth Sci, Dept Nutr &amp; Dietet, TR-34403 Istanbul, Turkiye; [Karakas, Pinar Ece; Calik, Aysenur] Istanbul Hal Univ, Inst Grad Studies, PhD Program Nutr &amp; Dietet, TR-34060 Istanbul, Turkiye</t>
  </si>
  <si>
    <t>Istanbul Atlas University; Halic University</t>
  </si>
  <si>
    <t>Large Language Models as Clinical Nutrition Decision Tools: Quantitative Bias and Guideline Deviation in Type 2 Diabetes Meal Planning</t>
  </si>
  <si>
    <t>artificial intelligence; large language models; type 2 diabetes; medical nutrition therapy; dietary planning; guideline adherence</t>
  </si>
  <si>
    <t>Çalık, Ayşenur/JTU-4601-2023; Demiray, Pınar Ece/NQF-8171-2025; BİLEN, Ayşe Betül/GRR-3792-2022</t>
  </si>
  <si>
    <t>Alphan, Müveddet Emel/0000-0002-9702-1881; Demiray, Pınar Ece/0000-0003-3310-612X</t>
  </si>
  <si>
    <t>MAR 13 2026</t>
  </si>
  <si>
    <t>739</t>
  </si>
  <si>
    <t>10.3390/healthcare14060739</t>
  </si>
  <si>
    <t>http://dx.doi.org/10.3390/healthcare14060739</t>
  </si>
  <si>
    <t>FR2WW</t>
  </si>
  <si>
    <t>41897193</t>
  </si>
  <si>
    <t>WOS:001725520900001</t>
  </si>
  <si>
    <t>Ke, YH; Jin, LY; Elangovan, K; Ong, BWX; Oh, CY; Sim, J; Loh, KWT; Soh, CR; Cheng, JMH; Lee, AKY; Ting, DSW; Liu, N; Abdullah, HR</t>
  </si>
  <si>
    <t>Introduction Large Language Models are emerging as powerful tools in healthcare, particularly for complex, domain-specific tasks. This study describes the development and evaluation of PEri-operative AI CHatbot (PEACH). It was developed by embedding 35 institutional peri-operative protocols into a secure large language model environment, with iterative prompt engineering and internal testing to ensure clinical relevance and accuracy.Methods The system was tested with a silent deployment using real-world data. Accuracy, safety and usability were assessed. Accuracy was evaluated by comparing the responses from PEACH against institutional guidelines and expert consensus. Deviations and hallucinations were categorised based on potential harm, and user feedback was evaluated using the Davis' Technology Acceptance Model. Updates to PEACH were made after the initial silent deployment to make minor amendments to one of the protocols.Results In total, 240 real-world clinical iterations were evaluated. First-generation accuracy was 97.5% (78/80), with an overall accuracy of 96.7% (232/240) across three iterations. In the updated PEACH, accuracy improved to 97.9% (235/240), with a statistically significant difference from the null hypothesis of 95% accuracy (p = 0.018). Hallucinations and deviations were minimal (1/240 and 2/240, respectively). There was high usability, with clinicians noting that PEACH expedited decisions in 95% of cases. The kappa statistic for inter-rater reliability for PEACH was 0.772 and 0.893 between three iterations, compared with 0.610 and 0.784 for experienced peri-operative physicians.Discussion PEACH is an accurate, adaptable tool that enhances consistency and efficiency in peri-operative decision-making. Future research should explore scalability across specialties and its impact on clinical outcomes.</t>
  </si>
  <si>
    <t>Ke, Yu He; Jin, Liyuan; Elangovan, Kabilan; Ong, Bryan Wen Xi; Oh, Chin Yang; Sim, Jacqueline; Loh, Kenny Wei-Tsen; Soh, Chai Rick; Cheng, Jonathan Ming Hua; Lee, Aaron Kwang Yang; Ting, Daniel Shu Wei; Liu, Nan; Abdullah, Hairil Rizal</t>
  </si>
  <si>
    <t>Ke, YH (corresponding author), Singapore Gen Hosp, Dept Anaesthesiol, Singapore, Singapore.; Ke, YH (corresponding author), Singapore Gen Hosp, Data Sci &amp; Artificial Intelligence Lab, Singapore, Singapore.; Ke, YH (corresponding author), Duke NUS Med Sch, Singapore, Singapore.</t>
  </si>
  <si>
    <t>ke.yuhe@singhealth.com.sg</t>
  </si>
  <si>
    <t>[Ke, Yu He; Sim, Jacqueline; Loh, Kenny Wei-Tsen; Soh, Chai Rick; Cheng, Jonathan Ming Hua; Lee, Aaron Kwang Yang; Abdullah, Hairil Rizal] Singapore Gen Hosp, Dept Anaesthesiol, Singapore, Singapore; [Ke, Yu He; Abdullah, Hairil Rizal] Singapore Gen Hosp, Data Sci &amp; Artificial Intelligence Lab, Singapore, Singapore; [Ke, Yu He; Soh, Chai Rick; Ting, Daniel Shu Wei; Liu, Nan; Abdullah, Hairil Rizal] Duke NUS Med Sch, Singapore, Singapore; [Jin, Liyuan; Elangovan, Kabilan; Ting, Daniel Shu Wei] Artificial Intelligence Off Singhealth, Singapore, Singapore; [Ong, Bryan Wen Xi; Oh, Chin Yang] Open Govt Prod, Singapore, Singapore; [Ting, Daniel Shu Wei] Singapore Natl Eye Ctr, Dept Surg Retina, Singapore, Singapore</t>
  </si>
  <si>
    <t>Singapore General Hospital; Singapore General Hospital; National University of Singapore; Singapore National Eye Center</t>
  </si>
  <si>
    <t>Real-world deployment and evaluation of PEri-operative AI CHatbot (PEACH): a large language model chatbot for peri-operative medicine</t>
  </si>
  <si>
    <t>ANAESTHESIA</t>
  </si>
  <si>
    <t>artificial intelligence; clinical decision support; large language model; peri-operative medicine</t>
  </si>
  <si>
    <t>MANAGEMENT</t>
  </si>
  <si>
    <t>Liu, Nan/HCS-2632-2022; abdullah, hairil/AAN-1504-2020; Ting, Daniel/QOC-0597-2026</t>
  </si>
  <si>
    <t>Liu, Nan/0000-0003-3610-4883</t>
  </si>
  <si>
    <t>0003-2409</t>
  </si>
  <si>
    <t>1365-2044</t>
  </si>
  <si>
    <t>Anaesthesia</t>
  </si>
  <si>
    <t>81</t>
  </si>
  <si>
    <t>10.1111/anae.16755</t>
  </si>
  <si>
    <t>http://dx.doi.org/10.1111/anae.16755</t>
  </si>
  <si>
    <t>AQ6SJ</t>
  </si>
  <si>
    <t>40973491</t>
  </si>
  <si>
    <t>WOS:001574603700001</t>
  </si>
  <si>
    <t>Song, J; Feng, JH; Zhang, YX; Bi, C; Zheng, X; Xu, ZC; Du, JL; He, MQ; Xiao, M; Li, XR; Cao, QF; Zhang, C; Yang, H; Wu, RR; Shen, BR</t>
  </si>
  <si>
    <t>Personalized perioperative fluid therapy is important for reducing postoperative complications and adverse outcomes. Although large language models (LLMs) show promise in healthcare, their application in fluid therapy remains challenged by hallucinations, limited domain-specific knowledge, and insufficient personalization. To address these limitations, Retrieval-Augmented Generation (RAG) is an effective method, while Knowledge Graphs (KGs) provide more accurate and reliable information. In this paper, we constructed a Personalized Fluid Therapy Knowledge Graph (PFTKG) comprising 6,490 entities and 15,687 relationships, and adapted GraphRAG, a graph-based RAG strategy that employs community detection and recursive summarization to support finding-level retrieval of clinically relevant information. We compared GraphRAG with document-based retrieval-augmented generation (DocRAG) and mainstream prompting strategies, including Vanilla, Chain-of-Thought (CoT), and Reflection-of-Thoughts (RoT), across three LLMs: GPT-4o, Claude Opus 4, and Gemini 2.5 Pro. Performance was evaluated using a 300-question knowledge-based question set and a 262-question retrospective case-based question set derived from 206 abdominal surgery patients. Evaluation included accuracy, honesty, error composition, response length, and response time. On the knowledge-based question set, GraphRAG achieved the highest average accuracy: 96.89% for multiple-choice questions and 66.44% for open-ended questions. On the retrospective case-based question set, GraphRAG also showed the strongest overall performance, with an average accuracy of 71.12%, compared with 62.47% for DocRAG, 54.20% for CoT, 52.67% for Vanilla, and 52.54% for RoT. Adding a "Don't know" option increased explicit acknowledgment of uncertainty, and GraphRAG reduced context-irrelevant errors compared with DocRAG. These results support GraphRAG as a domain-adapted retrieval strategy for personalized perioperative fluid therapy question answering. By integrating a clinical knowledge graph with hierarchical summarization and finding-level retrieval, it improved answer accuracy and promoted more conservative responses under uncertainty in both knowledge-based and retrospective case-based evaluations, supporting its use in future clinically integrated studies.</t>
  </si>
  <si>
    <t>Song, Jie; Feng, Jinhua; Zhang, Yuxin; Bi, Cheng; Zheng, Xin; Xu, Zhichuan; Du, Jiale; He, Mengqiao; Xiao, Meng; Li, Xiaoran; Cao, Qiongfang; Zhang, Chi; Yang, Hao; Wu, Rongrong; Shen, Bairong</t>
  </si>
  <si>
    <t>Shen, BR (corresponding author), Sichuan Univ, Frontiers Sci Ctr Dis Related Mol Network, Joint Lab Artificial Intelligence Crit Care Med, Dept Crit Care Med,West China Hosp, Chengdu, Peoples R China.</t>
  </si>
  <si>
    <t>bairong.shen@scu.edu.cn</t>
  </si>
  <si>
    <t>Sichuan Province Science and Technology Support Program [2024YFHZ0205]; National Natural Science Foundation of China [32270690]</t>
  </si>
  <si>
    <t>Sichuan Province Science and Technology Support Program; National Natural Science Foundation of China (National Natural Science Foundation of China (NSFC))</t>
  </si>
  <si>
    <t>This work was supported by the National Natural Science Foundation of China (Grant Nos. 32270690 and 32570773) and the Sichuan Province Science and Technology Program (Grant No. 2024YFHZ0205). These grants were received by B.S. The funders had no role in study design, data collection and analysis, decision to publish, or preparation of the manuscript.</t>
  </si>
  <si>
    <t>[Song, Jie; Feng, Jinhua; Zhang, Yuxin; Bi, Cheng; Zheng, Xin; Xu, Zhichuan; Du, Jiale; Xiao, Meng; Li, Xiaoran; Cao, Qiongfang; Zhang, Chi; Yang, Hao; Shen, Bairong] Sichuan Univ, Frontiers Sci Ctr Dis Related Mol Network, Joint Lab Artificial Intelligence Crit Care Med, Dept Crit Care Med,West China Hosp, Chengdu, Peoples R China; [Feng, Jinhua] Sichuan Univ, West China Hosp, West China Sch Nursing, Chengdu, Peoples R China; [Feng, Jinhua] Sichuan Univ, West China Hosp, Inst Syst Genet, Frontiers Sci Ctr Dis Related Mol Network, Chengdu 610041, Peoples R China; [He, Mengqiao] Sichuan Univ, West China Hosp, Dept Neurol, Chengdu, Peoples R China; [Yang, Hao] Sichuan Univ, West China Hosp, Informat Technol Ctr, Engn Res Ctr Med Informat Technol,Minist Educ, Chengdu, Sichuan, Peoples R China; [Yang, Hao] Univ A Coruna, Iberian Soc Telehlth &amp; Telemed, Dept Comp Sci &amp; Informat Technol, La Coruna, Spain; [Wu, Rongrong] First Affiliated Hosp Soochow Univ, Dept Hematol, Suzhou, Peoples R China</t>
  </si>
  <si>
    <t>Sichuan University; Sichuan University; Sichuan University; Sichuan University; Sichuan University; Universidade da Coruna</t>
  </si>
  <si>
    <t>Augmenting large language models with clinical knowledge graph for personalized perioperative fluid therapy question answering</t>
  </si>
  <si>
    <t>Song, Jie/KZC-3859-2024</t>
  </si>
  <si>
    <t>e0001474</t>
  </si>
  <si>
    <t>10.1371/journal.pdig.0001474</t>
  </si>
  <si>
    <t>http://dx.doi.org/10.1371/journal.pdig.0001474</t>
  </si>
  <si>
    <t>JK0ZF</t>
  </si>
  <si>
    <t>42275454</t>
  </si>
  <si>
    <t>WOS:001791210000001</t>
  </si>
  <si>
    <t>Masanneck, L; Epping, PZ; Meuth, SG; Pawlitzki, M</t>
  </si>
  <si>
    <t>Background: Large language models (LLMs) coupled with real-time web retrieval are reshaping how clinicians and patients locate medical evidence, and as major search providers fuse LLMs into their interfaces, this hybrid approach might become the new "gateway" to the internet. However, open-web retrieval exposes models to nonprofessional sources, risking hallucinations and factual errors that might jeopardize evidence-based care. Objective:We aimed to quantify the impact of guideline-domain whitelisting on the answer quality of 3 publicly available Perplexity web-based retrieval-augmented generation (RAG) models and compare their performance using a purpose-built, biomedical literature RAG system (OpenEvidence). Methods: We applied a validated 130-item question set derived from the American Academy of Neurology (AAN) guidelines (65 factual and 65 case based). Perplexity Sonar, Sonar-Pro, and Sonar-Reasoning-Pro were each queried 4 times per question with open-web retrieval and again with retrieval restricted to aan.com and neurology.org ("whitelisted"). OpenEvidence was queried 4 times. Two neurologists, blinded to condition, scored each response (0=wrong, 1=inaccurate, and 2=correct); any disagreements that arose were resolved by a third neurologist. Ordinal logistic models were used to assess the influence of question type and source category (AAN or neurology vs nonprofessional) on accuracy. Results:From the 3640 LLM answers that were rated (interrater agreement: kappa=0.86), correct-answer rates were as follows (open vs whitelisted, respectively): Sonar, 60% vs 78%, Sonar-Pro, 80% vs 88%, and Sonar-Reasoning-Pro, 81% vs 89%; for OpenEvidence, the correct-answer rate was 82%. A Friedman test on modal scores across the 7 configurations was significant (chi(2)(6)=73.7; P&lt;.001). Whitelisting improved mean accuracy on the 0 to 2 scale by 0.23 for Sonar (95% CI 0.12-0.34), 0.08 for Sonar-Pro (95% CI 0.01-0.16), and 0.08 for Sonar-Reasoning-Pro (95% CI 0.02-0.13). Including &gt;= 1 nonprofessional source halved the odds of a higher rating in Sonar (odds ratio [OR] 0.50, 95% CI 0.37-0.66; P&lt;.001), whereas citing an AAN or neurology document doubled it (OR 2.18, 95% CI 1.64-2.89; P&lt;.001). Furthermore, factual questions outperformed case vignettes across Perplexity models (ORs ranged from 1.95, 95% CI 1.28-2.98 [Sonar + whitelisting] to 4.28, 95% CI 2.59-7.09 [Sonar-Reasoning-Pro]; all P&lt;.01) but not for OpenEvidence (OR 1.44, 95% CI 0.92-2.27; P=.11). Conclusions: Restricting retrieval to authoritative neurology domains yielded a clinically meaningful 8 to 18 percentage-point gain in correctness and halved output variability, upgrading a consumer search assistant to a decision-support-level tool that at least performed on par with a specialized literature engine. Lightweight source control is therefore a pragmatic safety lever for maintaining continuously updated, web-based RAG-augmented LLMs fit for evidence-based neurology.</t>
  </si>
  <si>
    <t>Masanneck, Lars; Epping, Paula Zoe; Meuth, Sven G.; Pawlitzki, Marc</t>
  </si>
  <si>
    <t>Masanneck, L (corresponding author), Heinrich Heine Univ Dusseldorf, Med Fac, Dept Neurol, Moorenstr 5, D-40225 Dusseldorf, Germany.</t>
  </si>
  <si>
    <t>lars.masanneck@med.uni-duesseldorf.de</t>
  </si>
  <si>
    <t>Deutsche Forschungsgemeinschaft (GermanResearch Foundation) [493659010]; B. Braun Foundation; Society of friends; Duesseldorf's university (Gesellschaft von Freunden und Foerderern der HHU); German Ministry for Education and Research (BMBF); German Federal Institute for Risk Assessment; German Research Foundation; Else Kroener Fresenius Foundation; Gemeinsamer Bundesausschuss; German Academic Exchange Service; Hertie Foundation; Interdisciplinary Center for Clinical Studies Muenster; German Foundation Neurology; Ministry of Culture and Science of the State of NorthRhine-Westphalia; The Daimler and Benz Foundation; MultipleSclerosis Society North Rhine-WestphaliaRegional Association; Peek &amp; Cloppenburg Duesseldorf Foundation; Hempel Foundation for Science, Art and Welfare; B. Braun Foundation</t>
  </si>
  <si>
    <t>Deutsche Forschungsgemeinschaft (GermanResearch Foundation) (German Research Foundation (DFG)); B. Braun Foundation; Society of friends; Duesseldorf's university (Gesellschaft von Freunden und Foerderern der HHU); German Ministry for Education and Research (BMBF) (Federal Ministry of Education &amp; Research (BMBF)); German Federal Institute for Risk Assessment; German Research Foundation (German Research Foundation (DFG)); Else Kroener Fresenius Foundation; Gemeinsamer Bundesausschuss; German Academic Exchange Service (Deutscher Akademischer Austausch Dienst (DAAD)); Hertie Foundation; Interdisciplinary Center for Clinical Studies Muenster; German Foundation Neurology; Ministry of Culture and Science of the State of NorthRhine-Westphalia; The Daimler and Benz Foundation; MultipleSclerosis Society North Rhine-WestphaliaRegional Association; Peek &amp; Cloppenburg Duesseldorf Foundation; Hempel Foundation for Science, Art and Welfare; B. Braun Foundation</t>
  </si>
  <si>
    <t>LM was supported by Deutsche Forschungsgemeinschaft (GermanResearch Foundation; 493659010) and the B. Braun Foundation. Computing expenses were further generously supported by the society of friends and supporters of Duesseldorf's university (Gesellschaft von Freunden und Foerderern der HHU) .SGM is funded by the German Ministry for Education and Research (BMBF) , German Federal Institute for Risk Assessment, German Research Foundation, Else Kroener Fresenius Foundation, Gemeinsamer Bundesausschuss, German Academic Exchange Service, Hertie Foundation, Interdisciplinary Center for Clinical Studies Muenster, German Foundation Neurology, Ministry of Culture and Science of the State of NorthRhine-Westphalia, The Daimler and Benz Foundation, MultipleSclerosis Society North Rhine-WestphaliaRegional Association, Peek &amp; Cloppenburg Duesseldorf Foundation, and the Hempel Foundation for Science, Art and Welfare.MP was supported by German Alzheimer Society e.V. Dementia self-help and the B. Braun Foundation.</t>
  </si>
  <si>
    <t>[Masanneck, Lars] Heinrich Heine Univ Dusseldorf, Med Fac, Dept Neurol, Moorenstr 5, D-40225 Dusseldorf, Germany; Heinrich Heine Univ Dusseldorf, Univ Hosp Dusseldorf, Moorenstr 5, D-40225 Dusseldorf, Germany</t>
  </si>
  <si>
    <t>Heinrich Heine University Dusseldorf; Heinrich Heine University Dusseldorf Hospital; Heinrich Heine University Dusseldorf; Heinrich Heine University Dusseldorf Hospital</t>
  </si>
  <si>
    <t>Evaluating Web Retrieval-Assisted Large Language Models With and Without Whitelisting for Evidence-Based Neurology: Comparative Study</t>
  </si>
  <si>
    <t>neurology; large language models; artificial intelligence; evidence-based medicine; medical guidelines; information retrieval</t>
  </si>
  <si>
    <t>Meuth, Sven G/HHM-8941-2022; Masanneck, Lars/LZE-1106-2025</t>
  </si>
  <si>
    <t>Meuth, Sven G/0000-0003-2571-3501; Pawlitzki, Marc/0000-0003-3080-2277; Masanneck, Lars/0000-0003-2496-1415</t>
  </si>
  <si>
    <t>OCT 29 2025</t>
  </si>
  <si>
    <t>e79379</t>
  </si>
  <si>
    <t>10.2196/79379</t>
  </si>
  <si>
    <t>http://dx.doi.org/10.2196/79379</t>
  </si>
  <si>
    <t>9VE4F</t>
  </si>
  <si>
    <t>41159599</t>
  </si>
  <si>
    <t>WOS:001615795200002</t>
  </si>
  <si>
    <t>Omar, M; Sorin, V; Wieler, LH; Charney, AW; Kovatch, P; Horowitz, CR; Korfiatis, P; Glicksberg, BS; Freeman, R; Nadkarni, GN; Klang, E</t>
  </si>
  <si>
    <t>Background Large language models (LLMs) are increasingly used in health care but remain vulnerable to medical misinformation. We aimed to evaluate how often these models accept or reject fabricated medical content, and how framing that content as a logical fallacy changes results. Methods In this cross-sectional benchmarking analysis, we probed 20 LLMs with more than 3.4 million prompts that all contained health misinformation drawn from three sources: public-forum and social-media dialogues, real hospital discharge notes in which we inserted a single false recommendation, and 300 physician-validated simulated vignettes. Logical fallacies-common patterns of flawed reasoning such as appeals to authority, popularity, or emotion-were used to test how rhetorical framing influences model behaviour. Each prompt was posed once in a neutral base form and ten times with a named logical fallacy. For every run we logged susceptibility (model accepts the false claim) and fallacy detection (model flags the rhetoric). Findings Across all models and corpora, LLMs were susceptible to fabricated data in 50 108 (31.7%) of 158 000 base prompts. Eight of ten fallacy framings significantly reduced or did not change that rate, led by appeal to popularity (susceptibility 11.9%; difference of-19.8 percentage points; p&lt;0.0001); only the slippery-slope prompt (33.9%; difference of 2.2 percentage points; p&lt;0.0001) and the appeal-to-authority prompt (34.6%; difference of 2.9 percentage points; p&lt;0.0001) increased it. Real hospital notes (with fabricated inserted elements) produced the highest susceptibility to the base prompt (46 108 [46.1%] of 100 000), whereas social-media misinformation showed lower base prompt susceptibility (2479 [8.9%] of 28 000). Performance varied by model: GPT models were the least susceptible and most accurate at fallacy detection, whereas others, such as Gemma-3-4B-it, showed 63.6% (5023 of 7900) susceptibility. Interpretation These results show that LLMs still absorb harmful medical fabrications, especially when phrased in authoritative clinical prose, yet, counter-intuitively, become less vulnerable when the same claims are wrapped in most logical fallacy styles. Therefore, improving safety appears to depend less on model scale and more on fact-grounding and context-aware guardrails. Copyright (c) 2025 The Author(s). Published by Elsevier Ltd. This is an open access article under the CC BY license (http://creativecommons.org/licenses/by/4.0/).</t>
  </si>
  <si>
    <t>Omar, Mahmud; Sorin, Vera; Wieler, Lothar H.; Charney, Alexander W.; Kovatch, Patricia; Horowitz, Carol R.; Korfiatis, Panagiotis; Glicksberg, Benjamin S.; Freeman, Robert; Nadkarni, Girish N.; Klang, Eyal</t>
  </si>
  <si>
    <t>Omar, M (corresponding author), Mt Sinai Hlth Syst, Windreich Dept Artificial Intelligence &amp; Human Hlt, New York, NY 10029 USA.</t>
  </si>
  <si>
    <t>mahmudomar@mail.tau.ac.il</t>
  </si>
  <si>
    <t>National Institutes of Health Office of Research Infrastructure</t>
  </si>
  <si>
    <t>Funding Scientific Computing and Data at Icahn School of Medicine and National Institutes of Health Office of Research Infrastructure.</t>
  </si>
  <si>
    <t>[Omar, Mahmud; Charney, Alexander W.; Glicksberg, Benjamin S.; Freeman, Robert; Nadkarni, Girish N.; Klang, Eyal] Mt Sinai Hlth Syst, Windreich Dept Artificial Intelligence &amp; Human Hlt, New York, NY 10029 USA; [Omar, Mahmud; Wieler, Lothar H.; Charney, Alexander W.; Freeman, Robert; Nadkarni, Girish N.; Klang, Eyal] Mt Sinai Hlth Syst, Hasso Plattner Inst Digital Hlth Mt Sinai, New York, NY 10029 USA; [Sorin, Vera; Korfiatis, Panagiotis] Mayo Clin, Dept Radiol, Rochester, MN USA; [Kovatch, Patricia] Icahn Sch Med Mt Sinai, Dept Sci Comp, New York, NY USA; [Horowitz, Carol R.] Icahn Sch Med Mt Sinai, Inst Hlth Equ Res, New York, NY USA; [Glicksberg, Benjamin S.] Icahn Sch Med Mt Sinai, Ctr AI Childrens Hlth, New York, NY USA</t>
  </si>
  <si>
    <t>Icahn School of Medicine at Mount Sinai; Icahn School of Medicine at Mount Sinai; Mayo Clinic; Icahn School of Medicine at Mount Sinai; Icahn School of Medicine at Mount Sinai; Icahn School of Medicine at Mount Sinai</t>
  </si>
  <si>
    <t>Mapping the susceptibility of large language models to medical misinformation across clinical notes and social media: a cross-sectional benchmarking analysis</t>
  </si>
  <si>
    <t>INFORMATION; CHILD</t>
  </si>
  <si>
    <t>Sorin, Vera/IAR-4247-2023; Omar, Mahmud/HZH-7714-2023; Glicksberg, Benjamin/I-9500-2019; mirzaei, hamed/X-2374-2018</t>
  </si>
  <si>
    <t>Klang, Eyal/0000-0002-4567-3108; Freeman, Robert/0000-0003-4946-6533; Sorin, Vera/0000-0003-0509-4686; Omar, Mahmud/0009-0001-0438-0827</t>
  </si>
  <si>
    <t>100949</t>
  </si>
  <si>
    <t>10.1016/j.landig.2025.100949</t>
  </si>
  <si>
    <t>http://dx.doi.org/10.1016/j.landig.2025.100949</t>
  </si>
  <si>
    <t>DT0LX</t>
  </si>
  <si>
    <t>41672646</t>
  </si>
  <si>
    <t>WOS:001691380400001</t>
  </si>
  <si>
    <t>Hao, YX; Holmes, J; Hobson, J; Bennett, A; Mckone, EL; Ebner, DK; Routman, DM; Shiraishi, S; Patel, SH; Yu, NY; Hallemeier, CL; Ball, BE; Waddle, M; Liu, W</t>
  </si>
  <si>
    <t>Objective: To evaluate the effectiveness of RadOnc-generative pretrained transformer (GPT), a GPT-4 based large language model, in assisting with in-basket message response generation for prostate cancer treatment, with the goal of reducing the workload and time on clinical care teams while maintaining response quality. Patients and Methods: RadOnc-GPT was integrated with electronic health records from both Mayo Clinic-wide databases and a radiation-oncology-specific database. The model was evaluated on 158 previously recorded in-basket message interactions, selected from 90 patients with nonmetastatic prostate cancer from the Mayo Clinic Department of Radiation Oncology in-basket message database in the calendar years 2022-2024. Quantitative natural language processing analysis and 2 grading studies, conducted by 5 clinicians and 4 nurses, were used to assess RadOnc-GPT's responses. Three primary clinicians independently graded all messages, whereas a fourth senior clinician reviewed 41 responses with relevant discrepancies, and a fifth senior clinician evaluated 2 additional responses. The grading focused on 5 key areas: completeness, correctness, clarity, empathy, and editing time. The grading study was performed from July 20, 2024 to December 15, 2024. Results: The RadOnc-GPT slightly outperformed the clinical care team in empathy, whereas achieving comparable scores with the clinical care team in completeness, correctness, and clarity. Five clinician graders identified key limitations in RadOnc-GPT's responses, such as lack of context, insufficient domain-specific knowledge, inability to perform essential meta-tasks, and hallucination. It was estimated that RadOnc-GPT could save an average of 5.2 minutes per message for nurses and 2.4 minutes for clinicians, from reading the inquiry to sending the response. Conclusion: RadOnc-GPT has the potential to considerably reduce the workload of clinical care teams by generating high-quality, timely responses for in-basket message interactions. This could lead to improved efficiency in health care workflows and reduced costs while maintaining or enhancing the quality of communication between patients and health care providers.Abbreviations and AcronymsAI; artificial intelligence; LLM; large language model; NLP; natural language processing; RadOnc-GPT; radiation oncology generative pretrained transformer (c) 2025 THE AUTHORS. Published by Elsevier Inc on behalf of Mayo Foundation for Medical Education and Research. This is an open access article under the CC BY-NC-ND license (http://creativecommons.org/licenses/by-nc-nd/4.0/) &lt;black square&gt; Mayo Clin Proc Digital Health 2025;3(1):100198</t>
  </si>
  <si>
    <t>Hao, Yuexing; Holmes, Jason; Hobson, Jared; Bennett, Alexandra; Mckone, Elizabeth L.; Ebner, Daniel K.; Routman, David M.; Shiraishi, Satomi; Patel, Samir H.; Yu, Nathan Y.; Hallemeier, Chris L.; Ball, Brooke E.; Waddle, Mark; Liu, Wei</t>
  </si>
  <si>
    <t>Liu, W (corresponding author), Mayo Clin, Dept Radiat Oncol, 200 1st St SW, Rochester, MN 55905 USA.; Waddle, M (corresponding author), Mayo Clin, Dept Radiat Oncol, 5777 E Mayo Blvd, Phoenix, AZ 85054 USA.</t>
  </si>
  <si>
    <t>Waddle.Mark@mayo.edu; liu.wei@mayo.edu</t>
  </si>
  <si>
    <t>National Cancer Institute (NCI) [R01CA280134]; Eric Wendy Schmidt Fund for AI Research Innovation; Fred C. and Katherine B. Anderson Foundation; Kemper Marley Foundation; Paul Calabresi program in Clinical/Translational Research at the Mayo Clinic Comprehensive Cancer Center [K12CA090628]</t>
  </si>
  <si>
    <t>National Cancer Institute (NCI) (United States Department of Health &amp; Human Services, National Institutes of Health (NIH) - USA, NIH National Cancer Institute (NCI)); Eric Wendy Schmidt Fund for AI Research Innovation; Fred C. and Katherine B. Anderson Foundation; Kemper Marley Foundation; Paul Calabresi program in Clinical/Translational Research at the Mayo Clinic Comprehensive Cancer Center</t>
  </si>
  <si>
    <t>We thank the nurse practitioners Derek S. Remme, D.N.P., and Jonathan Moonen, D.N.P., as well as the nurses who contributed to this study: Brittainy Johnson, R.N., Shyanne Dobbs, R.N., Brooke Kelly, R.N., and Bailey Krichner, R.N.. This research was supported by National Cancer Institute (NCI) R01CA280134, the Eric Wendy Schmidt Fund for AI Research &amp; Innovation, the Fred C. and Katherine B. Anderson Foundation, and the Kemper Marley Foundation. The authors also acknowledged support from Paul Calabresi program in Clinical/Translational Research at the Mayo Clinic Comprehensive Cancer Center K12CA090628.</t>
  </si>
  <si>
    <t>[Hao, Yuexing; Holmes, Jason; Patel, Samir H.; Yu, Nathan Y.; Liu, Wei] Mayo Clin, Dept Radiat Oncol, 200 1st St SW, Rochester, MN 55905 USA; [Hao, Yuexing] Cornell Univ, Ithaca, NY USA; [Hao, Yuexing] MIT, Dept Elect Engn &amp; Comp Sci, Cambridge, MA USA; [Bennett, Alexandra; Mckone, Elizabeth L.; Ebner, Daniel K.; Routman, David M.; Shiraishi, Satomi; Hallemeier, Chris L.; Ball, Brooke E.; Waddle, Mark] Mayo Clin, Dept Radiat Oncol, 5777 E Mayo Blvd, Phoenix, AZ 85054 USA</t>
  </si>
  <si>
    <t>Mayo Clinic; Cornell University; Massachusetts Institute of Technology (MIT); Mayo Clinic; Mayo Clinic Phoenix</t>
  </si>
  <si>
    <t>Retrospective Comparative Analysis of Prostate Cancer In-Basket Messages: Responses From Closed-Domain Large Language Models Versus Clinical Teams</t>
  </si>
  <si>
    <t>Hao, Yuexing/LKN-7055-2024; Ebner, Daniel/AAJ-4932-2020; Liu, Wei/JYQ-6082-2024</t>
  </si>
  <si>
    <t>Hao, Yuexing/0000-0003-4375-7655; Ebner, Daniel/0000-0001-6053-5865</t>
  </si>
  <si>
    <t>100198</t>
  </si>
  <si>
    <t>10.1016/j.mcpdig.2025.100198</t>
  </si>
  <si>
    <t>http://dx.doi.org/10.1016/j.mcpdig.2025.100198</t>
  </si>
  <si>
    <t>5YI1X</t>
  </si>
  <si>
    <t>40130001</t>
  </si>
  <si>
    <t>WOS:001547248700012</t>
  </si>
  <si>
    <t>Jiang, LG; Jiang, X; Wu, WC; Jiang, FZ</t>
  </si>
  <si>
    <t>Background: Digital tools are reshaping public health education and training, yet evidence on whether large language models (LLMs) can generate specialist ophthalmic teaching materials remains limited. High myopia (HM), a vision-threatening condition with long-term management needs and public health relevance, provides a suitable setting for evaluating this capability. This study compared five LLMs in generating HM-related multiple-choice questions (MCQs) for ophthalmic education. Methods: Five LLMs (ChatGPT-5.4, Gemini 3, DeepSeek, Kimi K2.5, and Doubao) completed 60 predefined HM MCQ generation tasks each, yielding 300 MCQs. A standardized blueprint covered four domains: basic knowledge, clinical cases, diagnosis and treatment decision-making, and screening/follow-up management. Objective evaluation included structural completeness, format compliance, keyed-answer accuracy, output features, and response time. Two ophthalmology experts rated six domains using 5-point Likert scales, and Spearman analyses examined associations among text features, response time, and expert ratings. Results: All models achieved 100.0% initial structural acceptability, structural completeness, and format compliance. Keyed-answer accuracy was highest for ChatGPT-5.4 and Gemini 3 (both 100.0%), followed by DeepSeek (98.3%) and Kimi K2.5 and Doubao (both 95.0%). Significant between-model differences were observed across all output features and response time (all p &lt; 0.001). ChatGPT-5.4 generated the shortest stems, Gemini 3 the shortest explanations and fastest responses, and Kimi K2.5 and Doubao the longest explanations and total outputs. Inter-rater agreement was good (ICC range, 0.835-0.885). Significant differences were found in clarity, distractor quality, and mean subjective score (all p &lt; 0.001), but not in content rigor, educational usefulness, cognitive-level alignment, or overall usability. DeepSeek achieved the highest median mean score, while direct usability was highest for ChatGPT-5.4 (91.7%) and Gemini 3 (90.0%). Content rigor was strongly associated with overall usability (rho = 0.85, p &lt; 0.05), whereas distractor quality was negatively associated with explanation length (rho = -0.43, p &lt; 0.05) and total output length (rho = -0.37, p &lt; 0.05). Conclusion: LLMs can reliably generate structurally valid HM-related MCQs under standardized Chinese prompting conditions. Their value may lie in supporting digital ophthalmic education and public health training, although expert oversight remains necessary because meaningful differences persist in factual accuracy, distractor quality, and direct usability.</t>
  </si>
  <si>
    <t>Jiang, Ligang; Jiang, Xin; Wu, Wencan; Jiang, Fangzheng</t>
  </si>
  <si>
    <t>Jiang, LG; Jiang, FZ (corresponding author), Wenzhou Med Univ, Quzhou Affiliated Hosp, Quzhou Peoples Hosp, Dept Ophthalmol, Quzhou, Zhejiang, Peoples R China.</t>
  </si>
  <si>
    <t>jiangligang@wmu.edu.cn; jfzqz@163.com</t>
  </si>
  <si>
    <t>Quzhou City "Southern Confucianism Elites" Special Training Program; Quzhou City Science and Technology Project [2025K003]; Medical and Health Science Program of Zhejiang Province [2025HY1387]; Summit Advancement Disciplines of Zhejiang Province (Wenzhou Medical University-Pharmaceutics); Guiding Science and Technology Program of Quzhou City [2025ZD012]</t>
  </si>
  <si>
    <t>Quzhou City "Southern Confucianism Elites" Special Training Program; Quzhou City Science and Technology Project; Medical and Health Science Program of Zhejiang Province; Summit Advancement Disciplines of Zhejiang Province (Wenzhou Medical University-Pharmaceutics); Guiding Science and Technology Program of Quzhou City</t>
  </si>
  <si>
    <t>The author(s) declared that financial support was received for this work and/or its publication. This study was supported by funding from 2024 Quzhou City "Southern Confucianism Elites" Special Training Program; Quzhou City Science and Technology Project (No. 2025K003); Medical and Health Science Program of Zhejiang Province (No. 2025HY1387); The Summit Advancement Disciplines of Zhejiang Province (Wenzhou Medical University-Pharmaceutics); Guiding Science and Technology Program of Quzhou City (No. 2025ZD012).</t>
  </si>
  <si>
    <t>[Jiang, Ligang; Jiang, Fangzheng] Wenzhou Med Univ, Quzhou Affiliated Hosp, Quzhou Peoples Hosp, Dept Ophthalmol, Quzhou, Zhejiang, Peoples R China; [Jiang, Xin] Quzhou Coll Technol, Quzhou, Zhejiang, Peoples R China; [Wu, Wencan] Wenzhou Med Univ, Eye Hosp, Sch Ophthalmol &amp; Optometry, Wenzhou 325027, Peoples R China; [Wu, Wencan] Oujiang Lab, Zhejiang Lab Regenerat Med Vis &amp; Brain Hlth, Wenzhou, Zhejiang, Peoples R China; [Wu, Wencan] Univ Chinese Acad Sci, Wenzhou Inst, Wenzhou, Peoples R China</t>
  </si>
  <si>
    <t>Wenzhou Medical University; Wenzhou Medical University; Oujiang Laboratory; Chinese Academy of Sciences; University of Chinese Academy of Sciences, CAS</t>
  </si>
  <si>
    <t>Benchmarking publicly accessible large language models for high-myopia multiple-choice question generation in digital ophthalmic education and public health training</t>
  </si>
  <si>
    <t>artificial intelligence; digital public health education; high myopia; large language models; multiple-choice questions; ophthalmology training</t>
  </si>
  <si>
    <t>1843045</t>
  </si>
  <si>
    <t>10.3389/fpubh.2026.1843045</t>
  </si>
  <si>
    <t>http://dx.doi.org/10.3389/fpubh.2026.1843045</t>
  </si>
  <si>
    <t>ID9RD</t>
  </si>
  <si>
    <t>42163930</t>
  </si>
  <si>
    <t>WOS:001769411600001</t>
  </si>
  <si>
    <t>Basaranoglu, M; Akbay, E; Erdem, E</t>
  </si>
  <si>
    <t>Background Large language models (LLMs) demonstrate increasing potential in healthcare applications, yet their clinical utility in specialized pediatric medicine remains inadequately characterized. This study evaluated LLM performance in pediatric urology to establish evidence-based implementation frameworks. Methods We conducted a two-phase evaluation of thirteen current-generation LLMs between January and April 2025. Phase 1 assessed clinical decision support using 180 standardized cases stratified by complexity (126 routine, 54 complex) based on European Association of Urology pediatric guidelines. Phase 2 evaluated patient education effectiveness across four common pediatric urological conditions. Performance was measured using mathematical similarity metrics and standardized expert evaluation by seven board-certified pediatric urologists employing a validated 100-point scoring system. Results LLMs demonstrated superior performance in routine clinical scenarios compared to complex cases (76% vs. 41% accuracy, respectively). OpenAI's GPT-4o3 achieved the highest performance in complex cases (61.4 +/- 3.1 vs. 51.8 +/- 3.7 for other models, p &lt; 0.001), with significantly lower hallucination rates (0.05 +/- 0.02 vs. 0.18 +/- 0.04, p &lt; 0.001). Patient education materials showed strong content alignment (78% similarity with reference standards) and appropriate readability levels. Diagnostic confidence demonstrated strong correlation with actual performance (r = 0.82, p &lt; 0.001). Conclusions LLMs show promise as supportive tools in pediatric urology, particularly for patient education and routine clinical scenarios. However, significant limitations in complex case management necessitate careful implementation with mandatory physician oversight. A tiered approach prioritizing patient education while restricting complex clinical decision-making represents the most appropriate implementation strategy.</t>
  </si>
  <si>
    <t>Basaranoglu, Mert; Akbay, Erdem; Erdem, Erim</t>
  </si>
  <si>
    <t>Basaranoglu, M (corresponding author), Mersin Univ, Fac Med, Dept Urol, Ciftlikkoy Campus, TR-33343 Mersin, Turkiye.</t>
  </si>
  <si>
    <t>mertbasaranoglu@gmail.com; erimerdem@gmail.com; erdemakbay1959@gmail.com</t>
  </si>
  <si>
    <t>[Basaranoglu, Mert; Akbay, Erdem; Erdem, Erim] Mersin Univ, Fac Med, Dept Urol, Ciftlikkoy Campus, TR-33343 Mersin, Turkiye</t>
  </si>
  <si>
    <t>Mersin University</t>
  </si>
  <si>
    <t>From digital assistants to clinical partners: revolutionizing pediatric urology through large language model-powered decision support and patient education</t>
  </si>
  <si>
    <t>WORLD JOURNAL OF UROLOGY</t>
  </si>
  <si>
    <t>Large language models; Pediatric urology; Clinical decision support; Patient education; Artificial intelligence; Healthcare technology</t>
  </si>
  <si>
    <t>Başaranoğlu, Mert/ADR-0345-2022; Erdem, Erim/LXV-6763-2024; Akbay, Erdem/K-5324-2015</t>
  </si>
  <si>
    <t>Başaranoğlu, Mert/0000-0002-9873-4920</t>
  </si>
  <si>
    <t>0724-4983</t>
  </si>
  <si>
    <t>1433-8726</t>
  </si>
  <si>
    <t>WORLD J UROL</t>
  </si>
  <si>
    <t>World J. Urol.</t>
  </si>
  <si>
    <t>OCT 11 2025</t>
  </si>
  <si>
    <t>606</t>
  </si>
  <si>
    <t>10.1007/s00345-025-05990-x</t>
  </si>
  <si>
    <t>http://dx.doi.org/10.1007/s00345-025-05990-x</t>
  </si>
  <si>
    <t>Urology &amp; Nephrology</t>
  </si>
  <si>
    <t>8MC2M</t>
  </si>
  <si>
    <t>41074935</t>
  </si>
  <si>
    <t>WOS:001591920500001</t>
  </si>
  <si>
    <t>Evangelista, E; Ruba, F; Bukhari, S; Nazir, A; Sharma, R</t>
  </si>
  <si>
    <t>Background: Gestational diabetes mellitus (GDM) is a prevalent chronic condition that affects maternal and fetal health outcomes worldwide, increasingly in underserved populations. While generative artificial intelligence (AI) and large language models (LLMs) have shown promise in health care, their application in GDM management remains underexplored. Objective: This study aimed to investigate whether retrieval-augmented generation techniques, when combined with knowledge graphs (KGs), could improve the contextual relevance and accuracy of AI-driven clinical decision support. For this, we developed and validated a graph-based retrieval-augmented generation (GraphRAG)-enabled local LLM as a clinical support tool for GDM management, assessing its performance against open-source LLM tools. Methods: A prototype clinical AI assistant was developed using a GraphRAG constructed from 1212 peer-reviewed research articles on GDM interventions, retrieved from the Semantic Scholar API (2000-2024). The GraphRAG prototype integrated entity extraction, KG construction using Neo4j, and retrieval-augmented response generation. The performance was evaluated in a simulated environment using clinical and layperson prompts, comparing the outputs of the systems against ChatGPT (OpenAI), Claude (Anthropic), and BioMistral models across 5 common natural language generation metrics. Results: The GraphRAG-enabled local LLM showed higher accuracy in generating clinically relevant responses. It achieved a bilingual evaluation understudy score of 0.99, Jaccard similarity of 0.98, and BERTScore of 0.98, outperforming the benchmark LLMs. The prototype also produced accurate, evidence-based recommendations for clinicians and patients, demonstrating its feasibility as a clinical support tool. Conclusions: GraphRAG-enabled local LLMs show much potential for improving personalized GDM care by integrating domain-specific evidence and contextual retrieval. Our prototype proof-of-concept serves two purposes: (1) the local LLM architecture gives practitioners from underserved locations access to state-of-the-art medical research in the treatment chronic conditions and (2) the KG schema may be feasibly built on peer-reviewed, indexed publications, devoid of hallucinations and contextualized with patient data. We conclude that advanced AI techniques such as KGs, retrieval-augmented generation, and local LLMs improve GDM management decisions and other similar conditions and advance equitable health care delivery in resource-constrained health care environments.</t>
  </si>
  <si>
    <t>Evangelista, Edmund; Ruba, Fathima; Bukhari, Salman; Nazir, Amril; Sharma, Ravishankar</t>
  </si>
  <si>
    <t>Sharma, R (corresponding author), Zayed Univ, Coll Technol Innovat, Abu Dhabi, U Arab Emirates.</t>
  </si>
  <si>
    <t>ravishankar.sharma@zu.ac.ae</t>
  </si>
  <si>
    <t>Zayed University [R22086]</t>
  </si>
  <si>
    <t>Zayed University (Zayed University)</t>
  </si>
  <si>
    <t>This research was supported by the Research Incentive Fund Grant R22086 from Zayed University to AN, RS, and EE.</t>
  </si>
  <si>
    <t>[Evangelista, Edmund; Nazir, Amril; Sharma, Ravishankar] Zayed Univ, Coll Technol Innovat, Abu Dhabi, U Arab Emirates; [Ruba, Fathima] Plaksha Univ, Dept Comp Sci &amp; Artificial Intelligence, Chandigarh, India; [Bukhari, Salman] Capital Univ Sci &amp; Technol, Dept Elect Engn, Islamabad, Pakistan</t>
  </si>
  <si>
    <t>Zayed University; Capital University of Science &amp; Technology</t>
  </si>
  <si>
    <t>GraphRAG-Enabled Local Large Language Model for Gestational Diabetes Mellitus: Development of a Proof-of-Concept</t>
  </si>
  <si>
    <t>JMIR DIABETES</t>
  </si>
  <si>
    <t>artificial intelligence for health care; generative AI; knowledge graph; retrieval augmented generation; large language model; gestational diabetes mellitus; explainable AI in medicine; GDM; artificial intelligence</t>
  </si>
  <si>
    <t>Evangelista, Edmund/AGA-6706-2022</t>
  </si>
  <si>
    <t>2371-4379</t>
  </si>
  <si>
    <t>JMIR Diabetes</t>
  </si>
  <si>
    <t>e76454</t>
  </si>
  <si>
    <t>10.2196/76454</t>
  </si>
  <si>
    <t>http://dx.doi.org/10.2196/76454</t>
  </si>
  <si>
    <t>Health Care Sciences &amp; Services; Endocrinology &amp; Metabolism</t>
  </si>
  <si>
    <t>CL0OV</t>
  </si>
  <si>
    <t>41490382</t>
  </si>
  <si>
    <t>WOS:001668320400001</t>
  </si>
  <si>
    <t>Ito, T; Ishibashi, T; Hayashi, T; Kojima, S; Sogabe, K</t>
  </si>
  <si>
    <t>Background: Mock examinations are widely used in health professional education to assess learning and prepare candidates for national licensure. However, instructor-written multiple-choice items can vary in difficulty, coverage, and clarity. Recently, large language models (LLMs) have achieved high accuracy in medical examinations, highlighting their potential for assisting item-bank development; however, their educational quality remains insufficiently characterized. Objective: This study aimed to (1) identify the most accurate LLM for the Japanese National Examination for Radiological Technologists and (2) use the top model to generate blueprint-aligned multiple-choice questions and evaluate their educational quality. Methods: Four LLMs-OpenAI o3, o4-mini, o4-mini-high (OpenAI), and Gemini 2.5 Flash (Google)-were evaluated on all 200 items of the 77th Japanese National Examination for Radiological Technologists in 2025. Accuracy was analyzed for overall items and for 173 nonimage items. The best-performing model (o3) then generated 192 original items across 14 subjects by matching the official blueprint (image-based items were excluded). Subject-matter experts (&gt;= 5 y as coordinators and routine mock examination authors) independently rated each generated item on five criteria using a 5-point scale (1=unacceptable, 5=adoptable): item difficulty, factual accuracy, accuracy of content coverage, appropriateness of wording, and instructional usefulness. Cochran Q with Bonferroni-adjusted McNemar tests compared model accuracies, and one-sided Wilcoxon signed-rank tests assessed whether the median ratings exceeded 4. Results: OpenAI o3 achieved the highest accuracy overall (90.0%; 95% CI 85.1%-93.4%) and on nonimage items (92.5%; 95% CI 87.6%-95.6%), significantly outperforming o4-mini on the full set (P=.02). Across models, accuracy differences on the non-image subset were not significant (Cochran Q, P=.10). Using o3, the 192 generated items received high expert ratings for item difficulty (mean, 4.29; 95% CI 4.11-4.46), factual accuracy (4.18; 95% CI 3.98-4.38), and content coverage (4.73; 95% CI 4.60-4.86). Ratings were comparatively lower for appropriateness of wording (3.92; 95% CI 3.73-4.11) and instructional usefulness (3.60; 95% CI 3.41-3.80). For these two criteria, the tests did not support a median rating &gt;4 (one-sided Wilcoxon, P=.45 and P &gt;=.99, respectively). Representative low-rated examples (ratings 1-2) and the rationale for those scores-such as ambiguous phrasing or generic explanations without linkage to stem cues-are provided in the supplementary materials. Conclusions: OpenAI o3 can generate radiological licensure items that align with national standards in terms of difficulty, factual correctness, and blueprint coverage. However, wording clarity and the pedagogical specificity of explanations were weaker and did not meet an adoptable threshold without further editorial refinement. These findings support a practical workflow in which LLMs draft syllabus-aligned items at scale, while faculty perform targeted edits to ensure clarity and formative feedback. Future studies should evaluate image-inclusive generation, use Application Programming Interface (API)-pinned model snapshots to increase reproducibility, and develop guidance to improve explanation quality for learner remediation.</t>
  </si>
  <si>
    <t>Ito, Toshimune; Ishibashi, Toru; Hayashi, Tatsuya; Kojima, Shinya; Sogabe, Kazumi</t>
  </si>
  <si>
    <t>Ito, T (corresponding author), Teikyo Univ, Fac Med Technol, Dept Radiol Technol, 2-11-1 Kaga,Itabashi Ku, Tokyo 1738605, Japan.</t>
  </si>
  <si>
    <t>toito@med.teikyo-u.ac.jp</t>
  </si>
  <si>
    <t>[Ito, Toshimune; Ishibashi, Toru; Hayashi, Tatsuya; Kojima, Shinya; Sogabe, Kazumi] Teikyo Univ, Fac Med Technol, Dept Radiol Technol, 2-11-1 Kaga,Itabashi Ku, Tokyo 1738605, Japan; [Ito, Toshimune; Hayashi, Tatsuya; Kojima, Shinya] Teikyo Univ, Grad Sch Med Technol, Dept Med Radiol, Tokyo, Japan; [Ito, Toshimune] Kyorin Univ, Fac Hlth Sci, Dept Med Radiol Technol, Tokyo, Japan; [Kojima, Shinya] Tokyo Womens Med Univ, Adachi Med Ctr, Dept Radiol, Tokyo, Japan; [Sogabe, Kazumi] Ibaraki Prefectural Univ Hlth Sci, Sch Hlth Sci, Dept Radiol Sci, Ibaraki, Japan</t>
  </si>
  <si>
    <t>Teikyo University; Teikyo University; Kyorin University; Tokyo Women's Medical University</t>
  </si>
  <si>
    <t>Large Language Models for the National Radiological Technologist Licensure Examination in Japan: Cross-Sectional Comparative Benchmarking and Evaluation of Model-Generated Items Study</t>
  </si>
  <si>
    <t>large language models; licensing exam; radiology; educational evaluation; medical education; item generation</t>
  </si>
  <si>
    <t>Hayashi, Tatsuya/IQT-7829-2023</t>
  </si>
  <si>
    <t>Kojima, Shinya/0000-0001-6199-9784; Sogabe, Kazumi/0009-0002-4457-536X; Ishibashi, Toru/0009-0001-8114-5097; Ito, Toshimune/0000-0001-5613-2801; Hayashi, Tatsuya/0000-0001-5269-4081</t>
  </si>
  <si>
    <t>e81807</t>
  </si>
  <si>
    <t>10.2196/81807</t>
  </si>
  <si>
    <t>http://dx.doi.org/10.2196/81807</t>
  </si>
  <si>
    <t>J9606</t>
  </si>
  <si>
    <t>41232030</t>
  </si>
  <si>
    <t>WOS:001628073100001</t>
  </si>
  <si>
    <t>Siam, MK; Varela, A; Faruk, MJH; Cheng, JQ; Gu, HY; Al Maruf, A; Aung, Z</t>
  </si>
  <si>
    <t>Artificial intelligence (AI) is transforming healthcare by assisting with intricate clinical reasoning and diagnosis. Recent research demonstrates that large language models (LLMs), such as ChatGPT and DeepSeek, possess considerable potential in medical comprehension. This study meticulously evaluates the clinical reasoning capabilities of four advanced LLMs, including ChatGPT, DeepSeek, Grok, and Qwen, utilizing the United States Medical Licensing Examination (USMLE) as a standard benchmark. We assess 376 publicly accessible USMLE sample exam questions (Step 1, Step 2 CK, Step 3) from the most recent booklet released in July 2023. We analyze model performance across four question categories: text-only, text with image, text with mathematical reasoning, and integrated text-image-mathematical reasoning and measure model accuracy at three USMLE steps. Our findings show that DeepSeek and ChatGPT consistently outperform Grok and Qwen, with DeepSeek reaching 93% on Step 2 CK. Error analysis revealed that universal failures were rare (\documentclass[12pt]{minimal} \usepackage{amsmath} \usepackage{wasysym} \usepackage{amsfonts} \usepackage{amssymb} \usepackage{amsbsy} \usepackage{mathrsfs} \usepackage{upgreek} \setlength{\oddsidemargin}{-69pt} \begin{document}$$\le$$\end{document}1.60%) and concentrated in multimodal and quantitative reasoning tasks, suggesting both ensemble potential and shared blind spots. Compared to the baseline ChatGPT-3.5 Turbo, newer models demonstrate substantial gains, though possible training-data exposure to USMLE content limits generalizability. Despite encouraging accuracy, models exhibited overconfidence and hallucinations, underscoring the need for human oversight. Limitations include reliance on sample questions, the small number of multimodal items, and lack of real-world datasets. Future work should expand benchmarks, integrate physician feedback, and improve reproducibility through shared prompts and configurations. Overall, these results highlight both the promise and the limitations of LLMs in medical testing: strong accuracy and complementarity, but persistent risks requiring innovation, benchmarking, and clinical oversight.</t>
  </si>
  <si>
    <t>Siam, Md Kamrul; Varela, Angel; Faruk, Md Jobair Hossain; Cheng, Jerry Q.; Gu, Huanying; Al Maruf, Abdullah; Aung, Zeyar</t>
  </si>
  <si>
    <t>Siam, MK (corresponding author), New York Inst Technol, Comp Sci, New York, NY 10023 USA.</t>
  </si>
  <si>
    <t>ksiam01@nyit.edu</t>
  </si>
  <si>
    <t>[Siam, Md Kamrul; Faruk, Md Jobair Hossain; Cheng, Jerry Q.; Gu, Huanying] New York Inst Technol, Comp Sci, New York, NY 10023 USA; [Varela, Angel] Colegio Maria Cano IED, Bogota, Colombia; [Al Maruf, Abdullah] Bangladesh Univ Business &amp; Technol, Dhaka, Bangladesh; [Aung, Zeyar] Khalifa Univ, Elect Engn &amp; Comp Sci, Abu Dhabi, U Arab Emirates</t>
  </si>
  <si>
    <t>New York Institute Technology; Bangladesh University of Business &amp; Technology (BUBT); Khalifa University of Science &amp; Technology</t>
  </si>
  <si>
    <t>Benchmarking large language models on the United States medical licensing examination for clinical reasoning and medical licensing scenarios</t>
  </si>
  <si>
    <t>Large language models (LLMs); Clinical reasoning; USMLE; Medical licensing examination; Diagnostic decision support</t>
  </si>
  <si>
    <t>Hossain Faruk, Jobair/GLU-5285-2022; Siam, Md Kamrul/JQX-2608-2023; Aung, Zeyar/P-5800-2019</t>
  </si>
  <si>
    <t>Hossain Faruk, Jobair/0000-0002-6316-5334</t>
  </si>
  <si>
    <t>DEC 3 2025</t>
  </si>
  <si>
    <t>1387</t>
  </si>
  <si>
    <t>10.1038/s41598-025-31010-4</t>
  </si>
  <si>
    <t>http://dx.doi.org/10.1038/s41598-025-31010-4</t>
  </si>
  <si>
    <t>AZ3LU</t>
  </si>
  <si>
    <t>41339739</t>
  </si>
  <si>
    <t>WOS:001660355800003</t>
  </si>
  <si>
    <t>Eminovic, S; Schmidt, R; Levita, B; Lindholz, M; Haack, AM; Burdenski, A; Bui, M; Schobert, IT; Dell'Orco, A; Nawabi, J; Penzkofer, T</t>
  </si>
  <si>
    <t>Background: Radiology trainees require efficient, accurate, and accessible resources to master complex imaging techniques and identify findings that guide clinical decision-making. Large language models (LLMs) are emerging as promising tools for medical education and clinical workflows, offering the potential to enhance learning by providing instant feedback, aiding in diagnostic accuracy, and offering personalized learning experiences. However, systematic comparisons of LLMs for radiology education and clinical support remain limited, particularly regarding differences across subspecialties and resident experience levels. Objective: This study aimed to evaluate and compare the response quality of 2 state-of-the-art reasoning-based LLMs, namely DeepSeek-R1 and ChatGPT-o1, as clinical and radiology residency support tools, comparing performance across clinical and didactic dimensions, including text-and image-based responses. Methods: Overall, 27 radiology questions covering 9 radiological subspecialties were answered by both LLMs. Additionally, 6 image-based questions were presented only to ChatGPT-o1 due to its image processing capabilities. Responses were independently rated by 7 radiology residents (postgraduate years 2-5) across 9 rating criteria grouped into 3 dimensions (factual accuracy, clinical practicality, and didactic value), using a 5-point Likert scale. Statistics compared LLMs, reader experience, and response types for text-as well as image-based for ChatGPT-o1 queries. Results: DeepSeek-R1 consistently outperformed ChatGPT-o1 across all rating dimensions, with highly significant differences across all criteria (mean ratings: DeepSeek-R1 4.51, SD 0.73 vs ChatGPT-o1 3.73, SD 0.98; P&lt;.001). In an exploratory subspecialty-level analysis, DeepSeek-R1 descriptively outperformed ChatGPT-o1 across all subspecialties. For both LLMs accumulated, junior residents tended to rate slightly higher than seniors in 7 of 9 criteria, although differences were not statistically significant. However, for ChatGPT-o1, junior residents rated significantly higher in overall score across all criteria (juniors 3.81, SD 0.64 vs seniors 3.63, SD 0.65; P=.02). Image-based responses by ChatGPT-o1 scored significantly lower than text-based (mean 3.19, SD 1.42; P=.007), particularly in factual accuracy (mean 2.75, SD 1.45; P&lt;.001) and clinical practicality (mean 3.11, SD 1.47; P=.03). Conclusions: Both DeepSeek-R1 and ChatGPT-o1 demonstrate promising potential on simulated radiology question sets designed for educational and clinical contexts, with DeepSeek-R1 outperforming ChatGPT-o1 across all evaluated criteria. These results emphasize the value of open-source models for educational use and provide early evidence that LLMs may support radiology resident training under controlled conditions; however, their real-world educational and clinical effects require further investigation. Future research should prospectively evaluate how LLMs can be integrated into radiology training, assess their impact alongside conventional teaching methods, and investigate multimodal capabilities to better reflect realistic clinical scenarios.</t>
  </si>
  <si>
    <t>Eminovic, Semil; Schmidt, Robin; Levita, Bogdan; Lindholz, Maximilian; Haack, Anna-Maria; Burdenski, Alina; Bui, Maurice; Schobert, Isabel Theresa; Dell'Orco, Andrea; Nawabi, Jawed; Penzkofer, Tobias</t>
  </si>
  <si>
    <t>Eminovic, S (corresponding author), Charite Univ Med Berlin, Dept Radiol, Augustenburger Pl 1, D-13353 Berlin, Germany.</t>
  </si>
  <si>
    <t>semil.eminovic@charite.de</t>
  </si>
  <si>
    <t>[Eminovic, Semil; Schmidt, Robin; Levita, Bogdan; Lindholz, Maximilian; Haack, Anna-Maria; Burdenski, Alina; Bui, Maurice; Schobert, Isabel Theresa; Penzkofer, Tobias] Charite Univ Med Berlin, Dept Radiol, Augustenburger Pl 1, D-13353 Berlin, Germany; [Lindholz, Maximilian; Nawabi, Jawed; Penzkofer, Tobias] Charite Univ Med Berlin, Berlin Inst Hlth, Berlin, Germany; [Dell'Orco, Andrea; Nawabi, Jawed] Charite Univ Med Berlin, Dept Neuroradiol, Berlin, Germany</t>
  </si>
  <si>
    <t>Free University of Berlin; Humboldt University of Berlin; Charite Universitatsmedizin Berlin; Free University of Berlin; Humboldt University of Berlin; Charite Universitatsmedizin Berlin; Berlin Institute of Health; Free University of Berlin; Humboldt University of Berlin; Charite Universitatsmedizin Berlin</t>
  </si>
  <si>
    <t>Supporting Radiology Resident Education and Clinical Decision-Making With Large Language Models: Comparative Study of Reasoning Models DeepSeek-R1 and ChatGPT-o1</t>
  </si>
  <si>
    <t>education; medicine; radiology; artificial intelligence; deep learning; large language models</t>
  </si>
  <si>
    <t>Penzkofer, Tobias/AAW-8839-2020; Dell'Orco, Andrea/PKG-3267-2026</t>
  </si>
  <si>
    <t>Bui, Maurice-Quang Loc/0009-0003-1972-9459</t>
  </si>
  <si>
    <t>e86974</t>
  </si>
  <si>
    <t>10.2196/86974</t>
  </si>
  <si>
    <t>http://dx.doi.org/10.2196/86974</t>
  </si>
  <si>
    <t>KS2WQ</t>
  </si>
  <si>
    <t>42361338</t>
  </si>
  <si>
    <t>WOS:001814399500001</t>
  </si>
  <si>
    <t>Li, RK; Zhao, AG; Peng, L; Shi, HJ; Zhao, JD; Li, ZL; Liang, R; Wang, HF</t>
  </si>
  <si>
    <t>Background. Large language models (LLMs) have gained prominence in medical applications, yet their performance in specialized clinical tasks remains underexplored. Prostate cancer, a complex malignancy requiring guideline-based management, presents a rigorous testbed for evaluating artificial intelligence (AI)-assisted decision-making. This study compared the clinical accuracy, reasoning ability, and language quality of DeepSeek-R1 and ChatGPT variants in addressing prostate cancer diagnosis and treatment. Methods. A dataset of 98 prostate cancer multiple-choice questions from MedQA, MedMCQA, and China's National Medical Licensing Examination was constructed, alongside three real-world clinical cases. Responses were generated by five LLMs (DeepSeek-V3, DeepSeek-R1, ChatGPT-4o, -o3, -o4-mini) and evaluated for accuracy across three repeated runs. For case-based simulations, only R1 and o3 were compared with practicing urologists. A Clinical Decision Quality Assessment Scale (CDQAS) assessed outputs across four domains: readability, medical knowledge accuracy, diagnostic test appropriateness, and logical coherence. Blinded scoring was performed by senior urologic oncologists. Statistical analyses used one-way ANOVA with GraphPad Prism v10.1.2, Boston, Massachusetts, USA. Results. DeepSeek-R1 achieved the highest accuracy (96.60 %) on multiple-choice tasks, significantly outperforming the other models (p &lt; 0.05 to &lt;0.0001). In simulated case evaluations, both R1 and o3 performed comparably with physicians in overall readability and diagnostic appropriateness. Whereas R1 demonstrated superior guideline compliance and evidence-based reasoning, o3 showed advantages in workflow clarity, sequencing, and response fluency. However, o3 generated fewer explicit errors than R1. Human clinicians maintained strengths in terminology precision and logical reasoning. Conclusion. DeepSeek-R1 and ChatGPT-o3 exhibit complementary strengths in prostate cancer clinical decision-making, with R1 favoring factual accuracy and o3 excelling in expressive clarity. Although both models approach human-level performance in structured evaluations, human oversight and continued domain-specific optimization remain essential for their safe and effective integration into clinical workflows.</t>
  </si>
  <si>
    <t>Li, Rongkang; Zhao, Anguo; Peng, Lei; Shi, Hongjin; Zhao, Jiadong; Li, Zhilin; Liang, Rui; Wang, Haifeng</t>
  </si>
  <si>
    <t>Liang, R; Wang, HF (corresponding author), Kunming Med Univ, Affiliated Hosp 2, Dept Urol, Yunnan Inst Urol, Kunming, Yunnan, Peoples R China.</t>
  </si>
  <si>
    <t>18326900957@163.com; wanghaifeng@kmmu.edu.cn</t>
  </si>
  <si>
    <t>Scientific Research Fund Project of Education Department of Yunnan Province</t>
  </si>
  <si>
    <t>This study was partially supported by the Scientific Research Fund Project of Education Department of Yunnan Province (grant no. 2024Y231).</t>
  </si>
  <si>
    <t>[Li, Rongkang; Peng, Lei; Shi, Hongjin; Zhao, Jiadong; Li, Zhilin; Liang, Rui; Wang, Haifeng] Kunming Med Univ, Affiliated Hosp 2, Dept Urol, Yunnan Inst Urol, Kunming, Yunnan, Peoples R China; [Li, Rongkang; Peng, Lei] Lanzhou Univ, Dept Urol, Hosp 2, Lanzhou, Peoples R China; [Zhao, Anguo] Soochow Univ, Med Ctr, Suzhou Dushu Lake Hosp, Dept Urol,Affiliated Hosp 4, Suzhou, Peoples R China</t>
  </si>
  <si>
    <t>Kunming Medical University; Lanzhou University; Soochow University - China</t>
  </si>
  <si>
    <t>Evaluating the Clinical Competence of Large Language Models in Prostate Cancer Management: A Comparative Study of DeepSeek-R1 and ChatGPT</t>
  </si>
  <si>
    <t>ANNALS OF SURGICAL ONCOLOGY</t>
  </si>
  <si>
    <t>Large language models (LLMs); Prostate cancer; Clinical decision-making; DeepSeek-R1; ChatGPT</t>
  </si>
  <si>
    <t>1068-9265</t>
  </si>
  <si>
    <t>1534-4681</t>
  </si>
  <si>
    <t>ANN SURG ONCOL</t>
  </si>
  <si>
    <t>Ann. Surg. Oncol.</t>
  </si>
  <si>
    <t>1858</t>
  </si>
  <si>
    <t>1869</t>
  </si>
  <si>
    <t>10.1245/s10434-025-18492-2</t>
  </si>
  <si>
    <t>http://dx.doi.org/10.1245/s10434-025-18492-2</t>
  </si>
  <si>
    <t>Oncology; Surgery</t>
  </si>
  <si>
    <t>AO7YX</t>
  </si>
  <si>
    <t>41094286</t>
  </si>
  <si>
    <t>WOS:001595116500001</t>
  </si>
  <si>
    <t>Meshram, HS; Bhagat, C; Puri, S; Gadireddy, SR; Modasia, B; Batheja, V; Mathur, RP</t>
  </si>
  <si>
    <t>Background Infections are the predominant etiologies of post-transplant mortality in India, yet a structured infectious disease curriculum for nephrology fellows is limited. We evaluated whether large language model (LLM)-augmented clinical reasoning could improve diagnostic accuracy, clinical completeness, and clinical efficiency in managing complex transplant infection scenarios. Methods This was a prospective, single-center, pre (LLM-unaided)-post (LLM-aided)-study (washout period of 7 days). We investigated 1200 responses generated on 30 expert-validated kidney transplant infectious disease vignettes (50 sub-questions). 12 final-year nephrology fellows participated voluntarily in the study. Intervention was Open AI ChatGPT-4o generated exemplar responses. Responses were scored for accuracy (0-100%), completeness (0-3 scale), and time-to-answer by blinded assessors. Inter-rater reliability and paired differences were also analyzed. Findings Median accuracy increased from 72% (65 &amp; centerdot;5-78 &amp; centerdot;5) in the unaided arm to 85 &amp; centerdot;5% (79 &amp; centerdot;0-91 &amp; centerdot;0) in the aided arm with Delta = + 13 &amp; centerdot;0%, p-value &lt; 0 &amp; centerdot;001. Completeness improved from 1 &amp; centerdot;9 (1 &amp; centerdot;6-2 &amp; centerdot;1) to 2 &amp; centerdot;5 (2 &amp; centerdot;3-2 &amp; centerdot;8) (p-value &lt; 0 &amp; centerdot;001). Median time-to-answer decreased from 7.1 (5.9-8.4) to 5.9 (4.8-7.1) minutes (p = 0.002). The most significant gains occurred in fungal (+ 19 &amp; centerdot;2%) and viral (+ 17 &amp; centerdot;5%) infections, especially in immunosuppressant modulation and antifungal treatment protocols. Minimal or no benefit was observed in dual infection scenarios and niche dose-duration knowledge. Only a single clinically significant hallucination (3 &amp; centerdot;3%) occurred. Conclusion Our findings primarily support the role of LLM-generated outputs as structured educational tools to enhance clinical reasoning training among nephrology fellows. Real-world clinical deployment requires additional validation, safety safeguards, and prospective outcome studies.</t>
  </si>
  <si>
    <t>Meshram, Hari Shankar; Bhagat, Chandani; Puri, Saurabh; Gadireddy, Sreenivas Rao; Modasia, Bhavin; Batheja, Vishal; Mathur, Rajendra Prasad</t>
  </si>
  <si>
    <t>Meshram, HS (corresponding author), ILBS Vasant Kunj, Dept Nephrol, New Delhi, India.</t>
  </si>
  <si>
    <t>hsnephrology@gmail.com</t>
  </si>
  <si>
    <t>[Meshram, Hari Shankar; Bhagat, Chandani; Puri, Saurabh; Gadireddy, Sreenivas Rao; Modasia, Bhavin; Batheja, Vishal; Mathur, Rajendra Prasad] ILBS Vasant Kunj, Dept Nephrol, New Delhi, India</t>
  </si>
  <si>
    <t>Institute of Liver &amp; Biliary Sciences (ILBS)</t>
  </si>
  <si>
    <t>Effect of large language model on diagnostic accuracy and clinical completeness among nephrology fellows managing transplant infection</t>
  </si>
  <si>
    <t>INTERNATIONAL UROLOGY AND NEPHROLOGY</t>
  </si>
  <si>
    <t>Large language model; Solid organ transplantation; Infections</t>
  </si>
  <si>
    <t>0301-1623</t>
  </si>
  <si>
    <t>1573-2584</t>
  </si>
  <si>
    <t>INT UROL NEPHROL</t>
  </si>
  <si>
    <t>Int. Urol. Nephrol.</t>
  </si>
  <si>
    <t>10.1007/s11255-026-05118-z</t>
  </si>
  <si>
    <t>http://dx.doi.org/10.1007/s11255-026-05118-z</t>
  </si>
  <si>
    <t>FP5EP</t>
  </si>
  <si>
    <t>41888321</t>
  </si>
  <si>
    <t>WOS:001724319900001</t>
  </si>
  <si>
    <t>Butler, JJ; Harrington, MC; Tong, YX; Rosenbaum, AJ; Samsonov, AP; Walls, RJ; Kennedy, JG</t>
  </si>
  <si>
    <t>Background: The purpose of this study was to evaluate the efficacy of an Artificial Intelligence Large Language Model (AI-LLM) at improving the readability foot and ankle orthopedic radiology reports. Methods: The radiology reports from 100 foot or ankle X-Rays, 100 computed tomography (CT) scans and 100 magnetic resonance imaging (MRI) scans were randomly sampled from the institution's database. The following prompt command was inserted into the AI-LLM: "Explain this radiology report to a patient in layman's terms in the second person: [Report Text]". The mean report length, Flesch reading ease score (FRES) and Flesch-Kincaid reading level (FKRL) were evaluated for both the original radiology report and the AI-LLM generated report. The accuracy of the information contained within the AI-LLM report was assessed via a 5-point Likert scale. Additionally, any "hallucinations" generated by the AI-LLM report were recorded. Results: There was a statistically significant improvement in mean FRES scores in the AI-LLM generated X-Ray report (33.8 +/- 6.8 to 72.7 +/- 5.4), CT report (27.8 +/- 4.6 to 67.5 +/- 4.9) and MRI report (20.3 +/- 7.2 to 66.9 +/- 3.9), all p &lt; 0.001. There was also a statistically significant improvement in mean FKRL scores in the AI-LLM generated X-Ray report (12.2 +/- 1.1 to 8.5 +/- 0.4), CT report (15.4 +/- 2.0 to 8.4 +/- 0.6) and MRI report (14.1 +/- 1.6 to 8.5 +/- 0.5), all p &lt; 0.001. Superior FRES scores were observed in the AI-LLM generated X-Ray report compared to the AI-LLM generated CT report and MRI report, p &lt; 0.001. The mean Likert score for the AI-LLM generated X-Ray report, CT report and MRI report was 4.0 +/- 0.3, 3.9 +/- 0.4, and 3.9 +/- 0.4, respectively. The rate of hallucinations in the AI-LLM generated X-Ray report, CT report and MRI report was 4%, 7% and 6%, respectively. Conclusion: AI-LLM was an efficacious tool for improving the readability of foot and ankle radiological reports across multiple imaging modalities. Superior FRES scores together with superior Likert scores were observed in the X-Ray AI-LLM reports compared to the CT and MRI AI-LLM reports. This study demonstrates the potential use of AI-LLMs as a new patient-centric approach for enhancing patient understanding of their foot and ankle radiology reports. Jel Classifications: IV. (c) 2024 European Foot and Ankle Society. Published by Elsevier Ltd. All rights reserved.</t>
  </si>
  <si>
    <t>Butler, James J.; Harrington, Michael C.; Tong, Yixuan; Rosenbaum, Andrew J.; Samsonov, Alan P.; Walls, Raymond J.; Kennedy, John G.</t>
  </si>
  <si>
    <t>Kennedy, JG (corresponding author), 171 Delancey St,2nd Floor, New York, NY 10002 USA.</t>
  </si>
  <si>
    <t>Ohnell Family Foundation</t>
  </si>
  <si>
    <t>John G. Kennedy is a consultant for Arteriocyte, In2Bones and Arthrex. John G. Kennedy receives financial support from the Ohnell Family Foundation, Mr Winston Fischer and Ms Tatiana Rybak.</t>
  </si>
  <si>
    <t>[Butler, James J.; Tong, Yixuan; Samsonov, Alan P.; Walls, Raymond J.; Kennedy, John G.] NYU Langone Hlth, Dept Orthopaed Surg, Foot &amp; Ankle Div, 171 Delancey St,2nd Floor, New York, NY 10002 USA; [Harrington, Michael C.; Rosenbaum, Andrew J.] Albany Med Ctr, Dept Orthoped Surg, Albany, NY USA</t>
  </si>
  <si>
    <t>From jargon to clarity: Improving the readability of foot and ankle radiology reports with an artificial intelligence large language model</t>
  </si>
  <si>
    <t>FOOT AND ANKLE SURGERY</t>
  </si>
  <si>
    <t>Artificial Intelligence; Large language models; Chat-GPT; Radiology reports</t>
  </si>
  <si>
    <t>Tong, Yixuan/0000-0002-4971-6718</t>
  </si>
  <si>
    <t>1268-7731</t>
  </si>
  <si>
    <t>1460-9584</t>
  </si>
  <si>
    <t>FOOT ANKLE SURG</t>
  </si>
  <si>
    <t>Foot Ankle Surg.</t>
  </si>
  <si>
    <t>331</t>
  </si>
  <si>
    <t>10.1016/j.fas.2024.01.008</t>
  </si>
  <si>
    <t>http://dx.doi.org/10.1016/j.fas.2024.01.008</t>
  </si>
  <si>
    <t>D3E5J</t>
  </si>
  <si>
    <t>38336501</t>
  </si>
  <si>
    <t>WOS:001295050300001</t>
  </si>
  <si>
    <t>Thaker, NG; Redjal, N; Dicker, A; Loaiza-Bonilla, A; Royce, T; Subbiah, V; Law, A; Deendyal, V; Gabriel, JR; Shetty, N; Choudhri, A; Thaker, GH</t>
  </si>
  <si>
    <t>PURPOSE Large language models (LLMs) show promise in assisting knowledge-intensive fields such as oncology, where up-to-date information and multidisciplinary expertise are critical. Traditional LLMs risk hallucinations and reliance on static, possibly outdated data that lack domain-specific context. Retrieval-augmented generation (RAG) has emerged as a strategy to address these issues by incorporating domain-specific information from external knowledge repositories. METHODS We evaluated 15 LLMs, including Meta Llama-2/3, generative pretrained transformer (GPT)-3.5/4/4o variants, Claude-3, Gemini-2.0, and DeepSeek-R1. In a zero-shot workflow, each LLM answered 298 scorable questions from the 2021 American College of Radiology in-training examination. We implemented a RAG pipeline (Iridium Model) that transforms user prompts into vector embeddings, queries a specialized radiation oncology database, and merges relevant text with the original prompt to form an augmented query. We compared zero-shot versus RAG-augmented performance. RESULTS Larger-parameter LLMs had higher zero-shot accuracy, with six models outscoring graduating residents (P &lt; .01). Top scorers were reasoning models GPT-4o1, o3-mini, and DeepSeek-R1, which achieved 91.6%, 86.6%, and 91.6% without RAG, respectively. Gemini-2.0 improved 6.7% (to 79.2%), Llama-3-70b 8.4% (to 75.8%), and GPT-4o 5.7% (to 85.6%) with RAG. Top scoring reasoning models surpassed graduating resident averages by 17.7%-20% (P &lt; .01), but had no improvement or detriment with RAG. Domain-specific gains occurred in clinical, biology, and physics. Majority voting boosted aggregate accuracy when individual model performance exceeded 50%. RAG workflows and reasoning models incurred higher computational costs. CONCLUSION Radiation-oncology-specific retrieval-augmented generation pipeline enhances nonreasoning LLM performance in radiation oncology by integrating domain-specific evidence, whereas it does not improve performance of reasoning models. These findings demonstrate that RAG can elevate clinical decision support by enabling simpler, cost-effective nonreasoning models to tackle complex tasks through retrieval capabilities-an efficient alternative to extensive model training that also yields citable, evidence-based explanations.</t>
  </si>
  <si>
    <t>Thaker, Nikhil Gautam; Redjal, Navid; Dicker, Adam; Loaiza-Bonilla, Arturo; Royce, Trevor; Subbiah, Vivek; Law, Aaron; Deendyal, Vikash; Gabriel, Jonathan R.; Shetty, Neena; Choudhri, Ajay; Thaker, Gautam H.</t>
  </si>
  <si>
    <t>Thaker, NG (corresponding author), Capital Hlth, Pennington, NJ 08534 USA.</t>
  </si>
  <si>
    <t>NThaker@capitalhealth.org</t>
  </si>
  <si>
    <t>[Thaker, Nikhil Gautam; Redjal, Navid; Deendyal, Vikash; Shetty, Neena; Choudhri, Ajay] Capital Hlth, Pennington, NJ 08534 USA; [Thaker, Nikhil Gautam] Bayta Syst, Newtown, PA USA; [Dicker, Adam] Thomas Jefferson, Philadelphia, PA USA; [Loaiza-Bonilla, Arturo] St Lukes Univ Hlth Network, Easton, PA USA; [Loaiza-Bonilla, Arturo] Massive Bio, New York, NY USA; [Royce, Trevor] Atrium Hlth Wake Forest Baptist, Winston Salem, NC USA; [Subbiah, Vivek] Sarah Cannon Res Inst, Nashville, TN USA; [Law, Aaron] Lockheed Martin, Philadelphia, PA USA; [Gabriel, Jonathan R.] Univ Arizona, Tucson, AZ USA; [Thaker, Gautam H.] Lockheed Martin, Cherry Hill, NJ USA</t>
  </si>
  <si>
    <t>Thomas Jefferson University; Sarah Cannon Research Institute; Lockheed Martin; University of Arizona; Lockheed Martin</t>
  </si>
  <si>
    <t>RadOncRAG: A Novel Retrieval-Augmented Generation Framework Improves Large Language Model Benchmark Performance in Radiation Oncology</t>
  </si>
  <si>
    <t>Loaiza-Bonilla, Arturo/L-1284-2019; Subbiah, Vivek/O-3347-2019</t>
  </si>
  <si>
    <t>Loaiza-Bonilla, Arturo/0000-0002-3655-9602; Subbiah, Vivek/0000-0002-6064-6837; Dicker, Adam/0000-0003-0733-3337</t>
  </si>
  <si>
    <t>e2500220</t>
  </si>
  <si>
    <t>10.1200/CCI-25-00220</t>
  </si>
  <si>
    <t>http://dx.doi.org/10.1200/CCI-25-00220</t>
  </si>
  <si>
    <t>9JF3X</t>
  </si>
  <si>
    <t>41237352</t>
  </si>
  <si>
    <t>WOS:001607652000001</t>
  </si>
  <si>
    <t>Fan, HY; Ma, ZB; Ma, YX; Wang, LL; Pang, ZF; Cao, ZY; Liu, LY</t>
  </si>
  <si>
    <t>Background: Large language models (LLMs) hold potential value in medical decision support, yet empirical studies systematically comparing multiple models for femoroacetabular impingement (FAI) within Chinese clinical contexts remain scarce. Objective: This study aimed to compare the classification performance, decision consistency, and decision confidence of four mainstream LLMs (GPT-5, Gemini 2.5 Pro, DeepSeek-R1, Grok-4) in FAI treatment decision-making tasks for FAI based on real-world hospitalized cases, and to evaluate their clinical adaptability and limitations. Methods: We retrospectively included 26 hospitalized FAI cases from our institution (13 surgical group, 13 conservative group), all of which had ethically approved and informed consented. Case information was standardized into two input formats: structured radiology reports only (Group A), and structured radiology reports combined with structured medical records-referred to as multi-source structured text input in this study (Group B). Under both conditions, four LLMs were tasked with providing binary treatment decisions ("surgical" or "conservative") and indicating decision confidence on a scale from 0 to 100%. Primary evaluation metrics included accuracy, precision, sensitivity, specificity, F-1 score, and Cohen's kappa. Spearman correlation analysis was used to examine the relationship between LLM decision confidence and accuracy. A hierarchical analysis process (AHP) was employed to derive composite scores through multi-criteria weighting, enabling comprehensive comparison of LLM performance. Results: Under Group B conditions (incorporating structured medical record information), GPT-5 demonstrated optimal performance, with accuracy of 88%, precision of 92%, sensitivity of 85%, specificity of 92%, F-1 score of 0.88, and kappa of 0.77, indicating high alignment between its decisions and real-world outcomes. Under the same conditions, the other models showed inferior performance (Gemini 2.5 Pro: 62% accuracy; DeepSeek-R1: 58%; Grok-4: 42%). Across both input modes, GPT-5 exhibited a significant positive correlation between decision confidence and accuracy (Group A: Spearman's r = 0.54; Group B: r = 0.55, both P &lt; 0.01). The confidence-accuracy correlations for the other models were inconsistent and unstable. In the AHP-based composite scoring, GPT-5 achieved the highest Group B score (0.79) and ranked first overall. Overall results indicate that integrating structured radiology reports with structured medical record information (i.e., multi-source structured text information, which simulates a multimodal approach in this study) significantly enhances LLM performance in FAI treatment decision support tasks. Conclusion: In this exploratory, retrospective single-center study with a small sample size, GPT-5 outperformed the other evaluated models in FAI treatment decision support tasks based on Chinese structured clinical information and demonstrated, to some extent, calibrated decision confidence. These preliminary findings suggest the feasibility of LLMs in orthopedic decision support, however, validation in larger, multi-center, prospective studies is required before broader clinical application. Future studies should adopt multi-center, prospective designs to enhance evaluations of model reproducibility, interpretability, and clinical safety, thereby further validating broader applicability.</t>
  </si>
  <si>
    <t>Fan, Huayu; Ma, Zebing; Ma, Yongxin; Wang, Linlin; Pang, Zhifeng; Cao, Zhiyuan; Liu, Liyun</t>
  </si>
  <si>
    <t>Liu, LY (corresponding author), Luoyang Orthoped Hosp Henan Prov, Orthoped Hosp Henan Prov, Dept Hip Injuries 2, Zhengzhou, Henan, Peoples R China.</t>
  </si>
  <si>
    <t>liuliyunbs@126.com</t>
  </si>
  <si>
    <t>Henan Provincial Special Project for Traditional Chinese Medicine Research [2024ZY3062]</t>
  </si>
  <si>
    <t>Henan Provincial Special Project for Traditional Chinese Medicine Research</t>
  </si>
  <si>
    <t>The author(s) declared that financial support was received for this work and/or its publication. Henan Provincial Special Project for Traditional Chinese Medicine Research (2025ZY3083); Henan Provincial Special Project for Traditional Chinese Medicine Research (2024ZY3062).</t>
  </si>
  <si>
    <t>[Fan, Huayu] Henan Univ Chinese Med, Grad Sch, Zhengzhou, Peoples R China; [Fan, Huayu; Wang, Linlin; Liu, Liyun] Luoyang Orthoped Hosp Henan Prov, Orthoped Hosp Henan Prov, Dept Hip Injuries 2, Zhengzhou, Henan, Peoples R China; [Ma, Zebing] Hunan Univ Chinese Med, Grad Sch, Changsha, Peoples R China; [Ma, Yongxin] Henan Univ Chinese Med, Sch Nursing, Nursing Sch Smart Healthcare Ind, Zhengzhou, Peoples R China; [Pang, Zhifeng; Cao, Zhiyuan] Henan Univ, Sch Math &amp; Stat, Kaifeng, Peoples R China</t>
  </si>
  <si>
    <t>Henan University of Traditional Chinese Medicine; Hunan University of Chinese Medicine; Henan University of Traditional Chinese Medicine; Henan University</t>
  </si>
  <si>
    <t>A comparative study of four large language models in treatment decision-making for Hip impingement syndrome based on real-world data</t>
  </si>
  <si>
    <t>FRONTIERS IN SPORTS AND ACTIVE LIVING</t>
  </si>
  <si>
    <t>AI; artificial intelligence; clinical decision support; femoroacetabular impingement; large language models</t>
  </si>
  <si>
    <t>2624-9367</t>
  </si>
  <si>
    <t>FRONT SPORTS ACT LIV</t>
  </si>
  <si>
    <t>Front. Sports Act. Living</t>
  </si>
  <si>
    <t>JUN 19 2026</t>
  </si>
  <si>
    <t>1775462</t>
  </si>
  <si>
    <t>10.3389/fspor.2026.1775462</t>
  </si>
  <si>
    <t>http://dx.doi.org/10.3389/fspor.2026.1775462</t>
  </si>
  <si>
    <t>Sport Sciences</t>
  </si>
  <si>
    <t>KO5QG</t>
  </si>
  <si>
    <t>42404336</t>
  </si>
  <si>
    <t>WOS:001811868400001</t>
  </si>
  <si>
    <t>Zhou, MY; Gui, F; Ai, C; Ling, L; Zhang, X; Lu, YL; Han, DM; Zhao, B; Zhong, F; Liu, J; Zhu, ZY; Li, JY; Huang, F; Lin, CY; Liu, WF; Xiong, J</t>
  </si>
  <si>
    <t>Purpose To systematically evaluate and compare the performance of four leading large language models (LLMs) in generating medical literature reviews across topics of varying research maturity, thereby providing insights for their effective and responsible application in academic writing. Methods In this comparative study, using standardized prompts, we instructed four leading LLMs (GPT-4, Gemini 2.5 Pro, Grok-3, and DeepSeek R1) to generate literature reviews on nine topics related to small incision lenticule extraction (SMILE) surgery. These topics were categorized into three groups by research maturity: well-researched, controversial, and open. Seven ophthalmology experts evaluated the generated content across four dimensions: quality, accuracy, bias, and relevance, while all references were verified for authenticity. Performance differences among models were evaluated using group comparison tests followed by post-hoc analysis. Results Significant performance variations were identified across all four models and dimensions (p &lt; 0.001). Specifically, Gemini ranked highest in content quality, accuracy, and bias control. In contrast, DeepSeek, despite its high-quality score, received the lowest relevance score. Grok-3 demonstrated the highest reference authenticity (p &lt; 0.001), whereas GPT-4's was the lowest (p &lt; 0.001). All models showed diminished performance on open topics and exhibited severe reference fabrication ("hallucinations"). Conclusion Rather than excelling universally, LLMs exhibit distinct and task-specific strengths that mandate a task-driven, hybrid strategy in tool selection. Reference fabrication was found to be a pervasive issue across all models, regardless of the task topic, elevating human verification from a best practice to an essential safeguard for academic integrity.</t>
  </si>
  <si>
    <t>Zhou, Mengyun; Gui, Fu; Ai, Chong; Ling, Ling; Zhang, Xian; Lu, Yalin; Han, Dongmei; Zhao, Bin; Zhong, Fei; Liu, Jie; Zhu, Zeyu; Li, Jiayu; Huang, Fei; Lin, Chuyang; Liu, Weifeng; Xiong, Jian</t>
  </si>
  <si>
    <t>Liu, WF; Xiong, J (corresponding author), Nanchang Univ, Affiliated Hosp 2, Jiangxi Med Coll, Ophthalm Ctr, Nanchang 330000, Peoples R China.</t>
  </si>
  <si>
    <t>18970040725@163.com; 894040417@qq.com</t>
  </si>
  <si>
    <t>Science and Technology Program of Jiangxi Provincial Health Commission [202210631]; National Natural Science Foundation of China [82260214]</t>
  </si>
  <si>
    <t>Science and Technology Program of Jiangxi Provincial Health Commission; National Natural Science Foundation of China (National Natural Science Foundation of China (NSFC))</t>
  </si>
  <si>
    <t>This work was supported by grants from the National Natural Science Foundation of China (82260214), and the Science and Technology Program of Jiangxi Provincial Health Commission (202210631).</t>
  </si>
  <si>
    <t>[Zhou, Mengyun; Gui, Fu; Ai, Chong; Lu, Yalin; Huang, Fei; Lin, Chuyang; Liu, Weifeng; Xiong, Jian] Nanchang Univ, Affiliated Hosp 2, Jiangxi Med Coll, Ophthalm Ctr, Nanchang 330000, Peoples R China; [Zhou, Mengyun] Sun Yat Sen Univ, Zhongshan Ophthalm Ctr, Guangzhou 510060, Peoples R China; [Ling, Ling; Zhang, Xian] Nanchang Bright Eye Hosp, Nanchang 330000, Peoples R China; [Han, Dongmei; Zhao, Bin] Shanghai Heping Eye Hosp, Shanghai 200030, Peoples R China; [Zhong, Fei] Gannan Med Univ, Affiliated Hosp 1, Dept Ophthalmol, Ganzhou 341000, Peoples R China; [Liu, Jie] Xiaogan Cent Hosp, Xiaogan 432000, Peoples R China; [Zhu, Zeyu] Heyou Int Hosp, Shenzhen 518000, Peoples R China; [Li, Jiayu] Xi An Jiao Tong Univ, Affiliated Hosp 1, Xian 710089, Peoples R China</t>
  </si>
  <si>
    <t>Nanchang University; Sun Yat Sen University; Gannan Medical University; Xi'an Jiaotong University</t>
  </si>
  <si>
    <t>Comparing the performance of four mainstream large language models on medical literature review generation: a human expert evaluation in SMILE surgery</t>
  </si>
  <si>
    <t>GRAEFES ARCHIVE FOR CLINICAL AND EXPERIMENTAL OPHTHALMOLOGY</t>
  </si>
  <si>
    <t>Large language models; SMILE surgery; Medical content generation; Literature review; AI evaluation</t>
  </si>
  <si>
    <t>zeyu, zhu/IAM-6883-2023; Zhou, Mengyun/LWI-4456-2024</t>
  </si>
  <si>
    <t>0721-832X</t>
  </si>
  <si>
    <t>1435-702X</t>
  </si>
  <si>
    <t>GRAEF ARCH CLIN EXP</t>
  </si>
  <si>
    <t>Graefes Arch. Clin. Exp. Ophthalmol.</t>
  </si>
  <si>
    <t>264</t>
  </si>
  <si>
    <t>1481</t>
  </si>
  <si>
    <t>1488</t>
  </si>
  <si>
    <t>10.1007/s00417-025-07092-1</t>
  </si>
  <si>
    <t>http://dx.doi.org/10.1007/s00417-025-07092-1</t>
  </si>
  <si>
    <t>GR7XD</t>
  </si>
  <si>
    <t>41484266</t>
  </si>
  <si>
    <t>WOS:001653182200001</t>
  </si>
  <si>
    <t>Pobudejski, P; Tos, M; Nyczka, K; Duda, K; Chmiela, T; Siuda, J</t>
  </si>
  <si>
    <t>Motor complications become increasingly prominent as Parkinson's disease (PD) progresses. Although device-aided therapies (DAT) improve symptoms control in advanced PD, referral practices remain inconsistent, partly due to unequal access to specialist centers. Screening tools such as MANAGE-PD help identify patients who may benefit from DAT, while large language models (LLMs) are emerging as scalable clinical decision-support tools. To assess the screening performance and clinical safety of LLM-based triage in identifying PD patients eligible for DAT and to compare LLMs classifications with specialist assessments and MANAGE-PD. This retrospective single-center study included 279 DAT-na &amp; iuml;ve PD patients referred for advanced therapy evaluation. Clinical data covering motor complications, treatment burden, functional impairment and non-motor symptoms were transformed into standardized narrative case summaries. Seven commercially available LLMs were evaluated in a zero-shot setting, and model outputs were compared with specialist qualification decisions used as the reference standard, and with MANAGE-PD classifications. Sensitivity, specificity, predictive values, accuracy and agreement statistics were analyzed. The best-performing model (gemini-2.5-flash) achieved 100% sensitivity with no false-negative classifications. Specificity reached 69.2%, and overall accuracy was 78.5%. Agreement with specialist decisions was similar for LLM-based screening and MANAGE-PD (kappa approximate to 0.575 vs. 0.567), with no significant differences in Cohen's kappa (p = 0.81) or discordant classifications (McNemar p = 1.0). LLM-based triage achieved high-sensitivity screening performance comparable to an established clinical screening tool. These findings support a potential role for LLMs as scalable support systems within DAT referral pathways, complementing rather than replacing specialist clinical assessment.</t>
  </si>
  <si>
    <t>Pobudejski, Pawel; Tos, Mateusz; Nyczka, Krzysztof; Duda, Krzysztof; Chmiela, Tomasz; Siuda, Joanna</t>
  </si>
  <si>
    <t>Pobudejski, P (corresponding author), Med Univ Silesia, Dept Neurol &amp; Stroke Subunit, Kornel Gibinski Univ Clin Ctr, Katowice, Poland.</t>
  </si>
  <si>
    <t>p.pobudejski99@gmail.com</t>
  </si>
  <si>
    <t>[Pobudejski, Pawel; Tos, Mateusz; Duda, Krzysztof; Chmiela, Tomasz; Siuda, Joanna] Med Univ Silesia, Dept Neurol &amp; Stroke Subunit, Kornel Gibinski Univ Clin Ctr, Katowice, Poland; [Tos, Mateusz; Chmiela, Tomasz; Siuda, Joanna] Med Univ Silesia, Fac Med Sci Katowice, Dept Neurol, Katowice, Poland; [Nyczka, Krzysztof] Univ Wroclaw, Inst Comp Sci, Fac Math &amp; Comp Sci, Wroclaw, Poland</t>
  </si>
  <si>
    <t>Medical University of Silesia; University of Wroclaw</t>
  </si>
  <si>
    <t>Large language models as a screening tool for the qualification of patients with Parkinson's disease for device-aided therapies</t>
  </si>
  <si>
    <t>JOURNAL OF NEURAL TRANSMISSION</t>
  </si>
  <si>
    <t>Parkinson's disease; Device-aided therapies; Large language models; Artificial intelligence</t>
  </si>
  <si>
    <t>CARBIDOPA INTESTINAL GEL; PROGRESSION; INFUSION</t>
  </si>
  <si>
    <t>Toś, Mateusz/IUM-1563-2023; Siuda, Joanna/KDM-9872-2024</t>
  </si>
  <si>
    <t>Pobudejski, Paweł/0009-0005-2722-9790</t>
  </si>
  <si>
    <t>0300-9564</t>
  </si>
  <si>
    <t>1435-1463</t>
  </si>
  <si>
    <t>J NEURAL TRANSM</t>
  </si>
  <si>
    <t>J. Neural Transm.</t>
  </si>
  <si>
    <t>10.1007/s00702-026-03243-8</t>
  </si>
  <si>
    <t>http://dx.doi.org/10.1007/s00702-026-03243-8</t>
  </si>
  <si>
    <t>Clinical Neurology; Neurosciences</t>
  </si>
  <si>
    <t>Neurosciences &amp; Neurology</t>
  </si>
  <si>
    <t>LN1NZ</t>
  </si>
  <si>
    <t>42489906</t>
  </si>
  <si>
    <t>WOS:001828542900001</t>
  </si>
  <si>
    <t>Kim, MG; Hwang, G; Chang, J; Chang, S; Roh, HW; Park, RW</t>
  </si>
  <si>
    <t>Background: Large language models (LLMs) have emerged as promising tools for addressing global disparities in mental health care. However, cloud-based proprietary models raise concerns about data privacy and limited adaptability to local health care systems. In contrast, open-source LLMs offer several advantages, including enhanced data security, the ability to operate offline in resource-limited settings, and greater adaptability to non-English clinical environments. Nevertheless, their performance in psychiatric applications involving non-English language inputs remains largely unexplored. Objective: This study aimed to systematically evaluate the clinical reasoning capabilities and diagnostic accuracy of a locally deployable open-source LLM in both Korean and English psychiatric contexts. Methods: The openbuddy-mistral-7b-v13.1 model, fine-tuned from Mistral 7B to enable conversational capabilities in Korean, was selected. A total of 200 deidentified psychiatric interview notes, documented during initial assessments of emergency department patients, were randomly selected from the electronic medical records of a tertiary hospital in South Korea. The dataset included 50 cases each of schizophrenia, bipolar disorder, depressive disorder, and anxiety disorder. The model translated the Korean notes into English and was prompted to extract 5 clinically meaningful diagnostic clues and generate the 2 most likely diagnoses using both the original Korean and translated English inputs. The hallucination rate and clinical relevance of the generated clues were manually evaluated. Top-1 and top-2 diagnostic accuracy were assessed by comparing the model's prediction with the ground truth labels. Additionally, the model's performance on a structured diagnostic task was evaluated using the psychiatry section of the Korean Medical Licensing Examination and its English-translated version. Results: The model generated 997 clues from Korean interview notes and 1003 clues from English-translated notes. Hallucinations were more frequent with Korean input (n=301, 30.2%) than with English (n=134, 13.4%). Diagnostic relevance was also higher in English (n=429, 42.8%) compared to Korean (n=341, 34.2%). The model showed significantly higher top-1 diagnostic accuracy with English input (74.5% vs 59%; P&lt;.001), while top-2 accuracy was comparable (89.5% vs 90%; P=.56). Across 115 questions from the medical licensing examination, the model performed better in English (n=53, 46.1%) than in Korean (n=37, 32.2%), with superior results in 7 of 11 diagnostic categories. Conclusions: This study provides an in-depth evaluation of an open-source LLM in multilingual psychiatric settings. The model's performance varied notably by language, with English input consistently outperforming Korean. These findings highlight the importance of assessing LLMs in diverse linguistic and clinical contexts. To ensure equitable mental health artificial intelligence, further development of high-quality psychiatric datasets in underrepresented languages and culturally adapted training strategies will be essential.</t>
  </si>
  <si>
    <t>Kim, Min-Gyu; Hwang, Gyubeom; Chang, Junhyuk; Chang, Seheon; Roh, Hyun Woong; Park, Rae Woong</t>
  </si>
  <si>
    <t>Park, RW (corresponding author), Ajou Univ, Sch Med, Dept Biomed Informat, 206 World Cup Ro, Suwon 16499, South Korea.</t>
  </si>
  <si>
    <t>rwpark99@gmail.com</t>
  </si>
  <si>
    <t>Korea Health Technology R&amp;D Project through the Korea Health Industry Development Institute - Ministry of Health &amp; Welfare, Republic of Korea [RS-2024 - 00335936]</t>
  </si>
  <si>
    <t>Korea Health Technology R&amp;D Project through the Korea Health Industry Development Institute - Ministry of Health &amp; Welfare, Republic of Korea</t>
  </si>
  <si>
    <t>This research was funded by a grant from the Korea Health Technology R&amp;D Project through the Korea Health Industry Development Institute, funded by the Ministry of Health &amp; Welfare, Republic of Korea (grant RS-2024 - 00335936) . During the preparation of this manuscript, the authors used ChatGPT to assist with improving readability and correcting grammatical errors. After using this tool, the authors reviewed and edited the content as needed and take full responsibility for the content of the publication.</t>
  </si>
  <si>
    <t>[Kim, Min-Gyu; Hwang, Gyubeom; Chang, Junhyuk; Park, Rae Woong] Ajou Univ, Sch Med, Dept Biomed Informat, 206 World Cup Ro, Suwon 16499, South Korea; [Kim, Min-Gyu; Hwang, Gyubeom; Chang, Junhyuk; Park, Rae Woong] Ajou Univ, Ctr Biomed Informat Res, Med Cencer, Suown, South Korea; [Kim, Min-Gyu; Hwang, Gyubeom; Park, Rae Woong] Ajou Univ, Dept Med Sci, Grad Sch, Suwon, South Korea; [Chang, Junhyuk; Park, Rae Woong] BK21 R&amp;E Initiat Adv Precis Med, Suwon, South Korea; [Chang, Junhyuk] Ajou Univ, Grad Sch Med, Dept Biomed Sci, Suwon, South Korea; [Chang, Seheon] Univ Texas Austin, Dept Comp Sci, Austin, TX USA; [Roh, Hyun Woong] Ajou Univ, Sch Med, Dept Psychiat, Suwon, South Korea</t>
  </si>
  <si>
    <t>Ajou University; Ajou University; Ajou University; Ajou University; University of Texas System; University of Texas Austin; Ajou University</t>
  </si>
  <si>
    <t>Performance of Open-Source Large Language Models in Psychiatry: Usability Study Through Comparative Analysis of Non-English Records and English Translations</t>
  </si>
  <si>
    <t>large language model; open-source; mental health; psychiatry; multilingual; translation; reasoning; diagnosis; accuracy; examination</t>
  </si>
  <si>
    <t>Park, Rae Woong/K-8097-2013</t>
  </si>
  <si>
    <t>Chang, Junhyuk/0000-0001-9622-0232; Chang, Seheon/0009-0005-2778-5383; Hwang, Gyubeom/0000-0002-2293-4555; Park, Rae Woong/0000-0003-4989-3287</t>
  </si>
  <si>
    <t>e69857</t>
  </si>
  <si>
    <t>10.2196/69857</t>
  </si>
  <si>
    <t>http://dx.doi.org/10.2196/69857</t>
  </si>
  <si>
    <t>6LC2P</t>
  </si>
  <si>
    <t>40825309</t>
  </si>
  <si>
    <t>WOS:001555932000007</t>
  </si>
  <si>
    <t>Bayala, YLT; Kaboré, F; Sougué, C; Ouedraogo, A; Zongo, YE; Tiendrebeogo, WJSZ; Ouedraogo, DD</t>
  </si>
  <si>
    <t>Background Large language models (LLMs) have demonstrated promising capabilities in medical diagnostic reasoning, yet their performance in specialized clinical domains such as rheumatology remains incompletely characterized. While diagnostic accuracy has been evaluated, critical dimensions including calibration, reasoning quality, and temporal stability have not been systematically assessed across contemporary models. Objectives This study aimed to comprehensively evaluate and compare the diagnostic accuracy, certainty expression, reasoning quality, and hallucination rates of four state-of-the-art LLMs ChatGPT-4, Claude 3.5, DeepSeek-V3, and Gemini 1.5 Pro in complex rheumatologic case scenarios. Design A cross-sectional, analytical, and comparative study was conducted following STARD and TRIPOD guidelines, adapted for LLM evaluation. Nine complex rheumatologic cases from published case reports were evaluated at three time points (Days 1, 5, and 10) between July 1 and September 18,2025. Methods Standardized clinical vignettes were submitted to each LLM under controlled experimental conditions. Two blinded senior rheumatologists independently assessed diagnostic accuracy, reasoning quality across five analytical dimensions using Likert scales, and hallucination frequency. Certainty expression and temporal stability were quantified using intraclass correlation coefficients. Correlation analyses examined relationships between reasoning quality and confidence expression. Results All models achieved near-perfect diagnostic accuracy, with ChatGPT, Claude and Gemini correctly identifying the primary diagnosis in 100% of cases and DeepSeek in 88.9%. However, Spearman correlation analysis revealed uniformly weak and non-significant associations between reasoning quality and expressed certainty across all models (rho range: -0.156 to 0.215, all p&gt;0.05), indicating fundamental miscalibration. ChatGPT demonstrated the highest reasoning score (3.89 +/- 0.23) and lowest hallucination rate (7.4%), while Gemini showed the highest hallucination frequency (18.5%). Temporal stability was excellent for ChatGPT (ICC=0.84) and good for DeepSeek (ICC=0.79). Conclusion Despite exceptional diagnostic accuracy, current LLMs exhibit critical limitations in confidence calibration and variable hallucination rates, representing significant barriers to safe clinical deployment in rheumatology.</t>
  </si>
  <si>
    <t>Bayala, Yannick Laurent Tchenadoyo; Kabore, Fulgence; Sougue, Charles; Ouedraogo, Aboubakar; Zongo, Yamyelle Enselme; Tiendrebeogo, Wendlassida Joelle Stephanie Zabsonre; Ouedraogo, Dieu-Donne</t>
  </si>
  <si>
    <t>Bayala, YLT (corresponding author), Bogodogo Univ Hosp Ctr, Dept Rheumatol, Ouagadougou, Burkina Faso.</t>
  </si>
  <si>
    <t>bayalayannick7991@gmail.com</t>
  </si>
  <si>
    <t>[Bayala, Yannick Laurent Tchenadoyo; Kabore, Fulgence; Ouedraogo, Aboubakar; Zongo, Yamyelle Enselme; Tiendrebeogo, Wendlassida Joelle Stephanie Zabsonre; Ouedraogo, Dieu-Donne] Bogodogo Univ Hosp Ctr, Dept Rheumatol, Ouagadougou, Burkina Faso; [Sougue, Charles] Sourou Sanou Univ Hosp Ctr, Dept Internal Med, Bobo Dioulasso, Burkina Faso; [Bayala, Yannick Laurent Tchenadoyo] Bogodogo Univ Hosp Ctr, Dept Rheumatol, 14 BP 371, Ouagadougou, Burkina Faso</t>
  </si>
  <si>
    <t>Assessing the clinical reasoning of large language models on complex rheumatology cases: A multidimensional evaluation of four artificial intelligence</t>
  </si>
  <si>
    <t>HEALTH INFORMATICS JOURNAL</t>
  </si>
  <si>
    <t>large language models; artificial intelligence; diagnostic reasoning; rheumatology; clinical decision support; calibration</t>
  </si>
  <si>
    <t>BAYALA, Yannick/MHR-3131-2025</t>
  </si>
  <si>
    <t>ZABSONRE/TIENDREBEOGO, W. Joelle/0000-0001-8098-2697</t>
  </si>
  <si>
    <t>1460-4582</t>
  </si>
  <si>
    <t>1741-2811</t>
  </si>
  <si>
    <t>HEALTH INFORM J</t>
  </si>
  <si>
    <t>Health Inform. J.</t>
  </si>
  <si>
    <t>14604582261448687</t>
  </si>
  <si>
    <t>10.1177/14604582261448687</t>
  </si>
  <si>
    <t>http://dx.doi.org/10.1177/14604582261448687</t>
  </si>
  <si>
    <t>HH4WI</t>
  </si>
  <si>
    <t>42055714</t>
  </si>
  <si>
    <t>WOS:001754160100001</t>
  </si>
  <si>
    <t>Lu, J; Huang, J; Guo, Y; Wu, Q; Jiang, ZY; Yang, T; Bian, JJ; Bo, LL</t>
  </si>
  <si>
    <t>Background While large language models (LLMs) show promise in healthcare, their reliability in high-stakes perioperative management for elderly patients with multimorbidity remains critically underexplored. Methods This benchmarking study evaluated five general-purpose LLMs (ChatGPT, Gemini, DeepSeek, Claude, Kimi) and one domain-optimized model (New Youth Anesthesia Artificial Intelligence Assistant, NYAAI) using a novel three dimensional framework assessing guideline compliance, clinical applicability, and safety redundancy. A simulated case of an 84-year-old male with femoral fracture and multimorbidity was developed. Two blinded anesthesiologists scored anonymized outputs via a 5-point Likert scale. Additionally, to account for the rapid evolution of AI models, a supplementary analysis was conducted to evaluate the robustness and sensitivity of current model versions. Results NYAAI achieved the highest total score (12/15), excelling in clinical applicability (5/5) through domain-optimized parameterization. However, it exhibited selective guideline adherence, omitting temperature management and delirium protocols. General-purpose models demonstrated moderate guideline compliance (ChatGPT:4/5; Gemini:3/5) but generated contextually inappropriate recommendations. Safety redundancy emerged as a universal failure-no model addressed extreme-event protocols (aortic rupture management). Conclusion This study evaluated six LLMs for perioperative decision support in a geriatric patient with multimorbidity. The findings confirm that LLMs are useful as structured protocol generators, but they are not sufficient as autonomous clinical agents. Domain-optimized models enhance operational feasibility, yet they heighten the tension between safety redundancy and contextual adaptability. General-purpose models, despite their broad knowledge, are prone to generating inaccurate or hallucinations. To maximize efficiency without jeopardizing medical safety, LLMs should be positioned as as extensions of expert systems rather than independent decision-makers.</t>
  </si>
  <si>
    <t>Lu, Jun; Huang, Jie; Guo, Yu; Wu, Qi; Jiang, Zhengyu; Yang, Tao; Bian, Jinjun; Bo, Lulong</t>
  </si>
  <si>
    <t>Bian, JJ; Bo, LL (corresponding author), Naval Med Univ, Changhai Hosp, Dept Anesthesiol, Shanghai 200433, Peoples R China.</t>
  </si>
  <si>
    <t>jinjunbian@smmu.edu.cn; bartbo@smmu.edu.cn</t>
  </si>
  <si>
    <t>[Lu, Jun; Huang, Jie; Guo, Yu; Wu, Qi; Jiang, Zhengyu; Yang, Tao; Bian, Jinjun; Bo, Lulong] Naval Med Univ, Changhai Hosp, Dept Anesthesiol, Shanghai 200433, Peoples R China</t>
  </si>
  <si>
    <t>Naval Medical University</t>
  </si>
  <si>
    <t>Comparative analysis of six large language models in perioperative decision support for geriatric patients with multimorbidity: a three-dimensional evaluation framework</t>
  </si>
  <si>
    <t>Large language models; Perioperative management; Geriatric patients; Multimorbidity; Guideline compliance; Safety redundancy</t>
  </si>
  <si>
    <t>Jiang, Zhengyu/KXR-2646-2024; Bo, Lulong/MVT-7945-2025</t>
  </si>
  <si>
    <t>Lu, Jun/0009-0004-3625-1976</t>
  </si>
  <si>
    <t>JAN 8 2026</t>
  </si>
  <si>
    <t>10.1186/s12871-025-03605-x</t>
  </si>
  <si>
    <t>http://dx.doi.org/10.1186/s12871-025-03605-x</t>
  </si>
  <si>
    <t>DE2AN</t>
  </si>
  <si>
    <t>41501659</t>
  </si>
  <si>
    <t>WOS:001681310700001</t>
  </si>
  <si>
    <t>Yau, JYS; Saadat, S; Hsu, ED; Murphy, LSL; Roh, JS; Suchard, J; Tapia, A; Wiechman, W; Langdorf, M</t>
  </si>
  <si>
    <t>Background: Recent surveys indicate that 48% of consumers actively use generative artificial intelligence (AI) for health-related inquiries. Despite widespread adoption and the potential to improve health care access, scant research examines the performance of AI chatbot responses regarding emergency care advice. Objective: We assessed the quality of AI chatbot responses to common emergency care questions. We sought to determine qualitative differences in responses from 4 free-access AI chatbots, for 10 different serious and benign emergency conditions. Methods: We created 10 emergency care questions that we fed into the free-access versions of ChatGPT 3.5 (OpenAI), Google Bard, Bing AI Chat (Microsoft), and Claude AI (Anthropic) on November 26, 2023. Each response was graded by 5 board-certified emergency medicine (EM) faculty for 8 domains of percentage accuracy, presence of dangerous information, factual accuracy, clarity, completeness, understandability, source reliability, and source relevancy. We determined the correct, complete response to the 10 questions from reputable and scholarly emergency medical references. These were compiled by an EM resident physician. For the readability of the chatbot responses, we used the Flesch-Kincaid Grade Level of each response from readability statistics embedded in Microsoft Word. Differences between chatbots were determined by the chi-square test. Results: Each of the 4 chatbots' responses to the 10 clinical questions were scored across 8 domains by 5 EM faculty, for 400 assessments for each chatbot. Together, the 4 chatbots had the best performance in clarity and understandability (both 85%), intermediate performance in accuracy and completeness (both 50%), and poor performance (10%) for source relevance and reliability (mostly unreported). Chatbots contained dangerous information in 5% to 35% of responses, with no statistical difference between chatbots on this metric (P=.24). ChatGPT, Google Bard, and Claud AI had similar performances across 6 out of 8 domains. Only Bing AI performed better with more identified or relevant sources (40%; the others had 0%-10%). Flesch-Kincaid Reading level was 7.7-8.9 grade for all chatbots, except ChatGPT at 10.8, which were all too advanced for average emergency patients. Responses included both dangerous (eg, starting cardiopulmonary resuscitation with no pulse check) and generally inappropriate advice (eg, loosening the collar to improve breathing without evidence of airway compromise). Conclusions: AI chatbots, though ubiquitous, have significant deficiencies in EM patient advice, despite relatively consistent performance. Information for when to seek urgent or emergent care is frequently incomplete and inaccurate, and patients may be unaware of misinformation. Sources are not generally provided. Patients who use AI to guide health care decisions assume potential risks. AI chatbots for health should be subject to further research, refinement, and regulation. We strongly recommend proper medical consultation to prevent potential adverse outcomes.</t>
  </si>
  <si>
    <t>Yau, Jonathan Yi-Shin; Saadat, Soheil; Hsu, Edmund; Murphy, Linda Suk-Ling; Roh, Jennifer S.; Suchard, Jeffrey; Tapia, Antonio; Wiechman, Warren; Langdorf, Mark, I</t>
  </si>
  <si>
    <t>Langdorf, M (corresponding author), Univ Calif Irvine, Dept Emergency Med, 101 City Dr,Route 128-01, Orange, CA 92868 USA.</t>
  </si>
  <si>
    <t>[Yau, Jonathan Yi-Shin] Univ Calif Riverside, Coll Nat &amp; Agr Sci, Riverside, CA USA; [Saadat, Soheil; Hsu, Edmund; Suchard, Jeffrey; Tapia, Antonio; Wiechman, Warren; Langdorf, Mark, I] Univ Calif Irvine, Dept Emergency Med, 101 City Dr,Route 128-01, Orange, CA 92868 USA; [Murphy, Linda Suk-Ling] Univ Calif Irvine Lib, Reference Dept, Irvine, CA USA; [Roh, Jennifer S.] Univ Calif Los Angeles, Harbor UCLA Med Ctr, Dept Emergency Med, Torrance, CA USA</t>
  </si>
  <si>
    <t>University of California System; University of California Riverside; University of California Irvine; University of California System; University of California Irvine; University of California System; University of California Irvine; University of California System; University of California Los Angeles; University of California Los Angeles Medical Center</t>
  </si>
  <si>
    <t>Accuracy of Prospective Assessments of 4 Large Language ModelChatbot Responses to Patient Questions About Emergency Care:Experimental Comparative Study</t>
  </si>
  <si>
    <t>artificial intelligence; AI; chatbots; generative AI; natural language processing; consumer health information; patient education;literacy; emergency care information; chatbot; misinformation; health care; medical consultation</t>
  </si>
  <si>
    <t>HEALTH INFORMATION; QUALITY</t>
  </si>
  <si>
    <t>Murphy, Linda/D-9591-2013</t>
  </si>
  <si>
    <t>Suchard, Jeffrey/0000-0001-8162-5878; Langdorf, Mark/0000-0002-9019-2047; , Jonathan Yau/0009-0007-8067-883X; Wiechmann, Warren/0000-0002-3701-4356; Roh, Jennifer/0009-0007-3436-7694</t>
  </si>
  <si>
    <t>NOV 4 2024</t>
  </si>
  <si>
    <t>e60291</t>
  </si>
  <si>
    <t>10.2196/60291</t>
  </si>
  <si>
    <t>http://dx.doi.org/10.2196/60291</t>
  </si>
  <si>
    <t>N1Z4B</t>
  </si>
  <si>
    <t>39496149</t>
  </si>
  <si>
    <t>WOS:001362394500001</t>
  </si>
  <si>
    <t>Liu, JL; Liu, SR; Wright, A</t>
  </si>
  <si>
    <t>Background: Large language models (LLMs) show promise for enhancing diagnostic accuracy and clinical decision-making. However, prevailing evaluations rely on examination-based benchmarks such as MedQA. Furthermore, the internal mecha-nisms driving both correct and incorrect reasoning in LLMs remain poorly understood, limiting opportunities for targeted improvement.&lt;br /&gt; Objective: This study aimed to investigate failure modes of reasoning-based LLMs in medicine by (1) auditing the integrity of the MedQA benchmark, (2) developing a clinically informed taxonomy of reasoning errors across multiple major LLMs, and (3) testing a mechanistic intervention using sparse autoencoders (SAEs) to modulate reasoning characteristics and improve accuracy in medical question answering benchmarks.&lt;br /&gt; Methods: We evaluated OpenAI ol on the MedQA and cross-referenced incorrect answers against original source platforms to identify benchmark flaws including missing figures and postrelease ambiguity corrections. For the 37 confirmed model failures remaining after exclusion of flawed items, we developed a reasoning error taxonomy through iterative inductive coding by 2 independent reviewers (JL and SL) and validated it on three major LLMs (ie, OpenAI GPT-4.5, OpenAI 03-mini, and DeepSeek-R1). We then trained an SAE on the DeepSeek-R1-Distill-Llama-8B model using MedQA-derived reasoning traces. Reasoning-specific features were identified using ReasonScore and subjected to activation steering at 2 strengths. Model accuracy, reasoning trace length, and hallucination metrics were measured across MedQA, MedMCQA, and PubMedQA. Hallucinations were evaluated using an LLM-as-a-judge (OpenAI GPT-5-mini) and validated on a stratified manual sample of 100 claims.&lt;br /&gt; Results Forty-one percent of initial OpenAI ol errors reflected benchmark problems, including missing figures (22%) and ambiguities subsequently corrected on the source platforms (19%). Neither OpenAl of nor OpenAI 03-mini explicitly flagged these flawed items, while GPT-5.2 identified a small subset, suggesting that question-integrity recognition remains limited and model-dependent. Among the 37 confirmed errors, our taxonomy classified failures into four categories: Information Synthesis Errors, Therapeutic Decision Errors, Diagnostic Reasoning Errors, and Foundational Principle Errors. Activation steering of reasoning-specific SAE features improved accuracy on MedQA and PubMedQA, with a consistent positive trend on MedMCQA. The greatest gains were observed at steering strength 2 (MedQA: 0.568-0.597 and PubMedQA: 0.708-0.739). Steering also increased reasoning-trace length substantially, with no significant correlation between verbosity and accuracy. Five functional feature categories were identified, with alignments to the error taxonomy. Conclusions: These findings reveal two distinct sources of unreliability in medical LLM evaluation: benchmark-level integrity gaps that misattribute model failure and recurrent model-level reasoning patterns potentially amenable to mechanistic correction. Notably, the benchmark issues identified here do not reflect static flaws in the original source platforms, which have since corrected many problematic items, but rather a failure to propagate those corrections to derived benchmarks. The alignment between SAE-identified feature categories and the error taxonomy further suggests that reasoning failures reflect structured internal processes that can be targeted at the feature level.</t>
  </si>
  <si>
    <t>Liu, Jialin; Liu, Siru; Wright, Adam</t>
  </si>
  <si>
    <t>Liu, SR (corresponding author), Vanderbilt Univ, Med Ctr, Dept Biomed Informat, 2525 West End Ave, Nashville, TN 37203 USA.</t>
  </si>
  <si>
    <t>National Institutes of Health (NIH) [R00LM014097-02]</t>
  </si>
  <si>
    <t>National Institutes of Health (NIH) (United States Department of Health &amp; Human Services, National Institutes of Health (NIH) - USA)</t>
  </si>
  <si>
    <t>Funding This work was supported by the National Institutes of Health (NIH) grant R00LM014097-02. The NIH had no role in the design and conduct of the study; the collection, management, analysis, and interpretation of the data; the preparation, review, or approval of the paper; and the decision to submit the paper for publication. Acknowledgments The authors used generative artificial intelligence solely to identify key citations in the literature review. These systems were not involved in data collection, data analysis, study design, or paper drafting. The authors have reviewed the paper and accept full responsibility for it.</t>
  </si>
  <si>
    <t>[Liu, Jialin] Sichuan Univ, West China Hosp, Dept Med Informat, Chengdu, Sichuan, Peoples R China; [Liu, Jialin] Sichuan Univ, West China Hosp, Dept Otolaryngol Head &amp; Neck Surg, Chengdu, Sichuan, Peoples R China; [Liu, Siru; Wright, Adam] Vanderbilt Univ, Med Ctr, Dept Biomed Informat, 2525 West End Ave, Nashville, TN 37203 USA; [Liu, Siru] Vanderbilt Univ, Dept Comp Sci, Nashville, TN USA; [Wright, Adam] Vanderbilt Univ, Med Ctr, Dept Med, Nashville, TN USA</t>
  </si>
  <si>
    <t>Sichuan University; Sichuan University; Vanderbilt University; Vanderbilt University; Vanderbilt University</t>
  </si>
  <si>
    <t>Benchmark Integrity and Reasoning-Trace Errors in Medical Question Answering With Large Language Models: Mixed Methods Study With Sparse Autoencoders</t>
  </si>
  <si>
    <t>large language model; medical question answering; sparse autoencoders; benchmark evaluation; reasoning errors; clinical decision support; mechanistic interpretability; activation steering; hallucination; artificial intelligence in medicine</t>
  </si>
  <si>
    <t>e90061</t>
  </si>
  <si>
    <t>10.2196/90061</t>
  </si>
  <si>
    <t>http://dx.doi.org/10.2196/90061</t>
  </si>
  <si>
    <t>KA9QX</t>
  </si>
  <si>
    <t>WOS:001802649100002</t>
  </si>
  <si>
    <t>Bernstein, E; Ramsamooj, A; Millar, KL; Lum, ZC</t>
  </si>
  <si>
    <t>Background: Since the release of ChatGPT and other large language models (LLMs), there has been a significant increase in academic publications exploring their capabilities and implications across various fields, such as medicine, education, and technology. Objective: This study aims to identify the most influential academic works on LLMs published in the past year, categorize their research types and thematic focuses, within different professional fields. The study also evaluates the ability of artificial intelligence (AI) tools, such as ChatGPT, to accurately classify academic research. Methods: We conducted a bibliometric analysis using Clarivate's Web of Science (WOS) to extract the top 100 most cited papers on LLMs. Papers were manually categorized by field, journal, author, and research type. ChatGPT-4 was used generate categorizations for the same papers, and its performance was compared to human classifications. We summarized distribution of research fields and assessed the concordance between AI-generated and manual classifications. Results: Medicine emerged as the predominant field among the top 100 most cited papers, accounting for 43 (43%), followed by education 26 (26%) and technology 15 (15%). Medical literature primarily focused on clinical applications of LLMs, limitations of AI in health care, and the role of AI in medical education. In education, research was centered around ethical concerns and potential applications of AI for teaching and learning. ChatGPT demonstrated variable concordance with human reviewers, achieving an agreement rating of 47% for research types and 92% for fields of study. Conclusions: While LLMs such as ChatGPT exhibit considerable potential in aiding research categorization, human oversight remains essential to address issues such as hallucinations, outdated information, and biases in AI-generated outputs. This study highlights the transformative potential of LLMs across multiple sectors and emphasizes the importance of continuous ethical evaluation and iterative improvement of AI systems to maximize their benefits while minimizing risks.</t>
  </si>
  <si>
    <t>Bernstein, Ethan; Ramsamooj, Anya; Millar, Kelsey L.; Lum, Zachary C.</t>
  </si>
  <si>
    <t>Lum, ZC (corresponding author), Univ Calif Davis, Med Ctr, Dept Orthopaed Surg, 4860 Y St,Suite 1700, Sacramento, CA 95817 USA.</t>
  </si>
  <si>
    <t>zlum@health.ucdavis.edu</t>
  </si>
  <si>
    <t>[Bernstein, Ethan; Ramsamooj, Anya] Calif Northstate Univ, Coll Med, Elk Grove, CA USA; [Millar, Kelsey L.; Lum, Zachary C.] Univ Calif Davis, Med Ctr, Dept Orthopaed Surg, 4860 Y St,Suite 1700, Sacramento, CA 95817 USA</t>
  </si>
  <si>
    <t>University of California System; University of California Davis</t>
  </si>
  <si>
    <t>Identification and Categorization of the Top 100 Articles and the Future of Large Language Models: Thematic Analysis Using Bibliometric Analysis</t>
  </si>
  <si>
    <t>large language models; ChatGPT; Web of Science; medicine; education; technology; research categorization; artificial intelligence</t>
  </si>
  <si>
    <t>CHATGPT; EDUCATION; THREATS</t>
  </si>
  <si>
    <t>Lum, Zachary/J-2833-2019</t>
  </si>
  <si>
    <t>Bernstein, Ethan/0009-0007-7510-2246; Ramsamooj, Anya/0009-0001-0453-8807; Lum, Zachary/0000-0002-5871-8539; Millar, Kelsey/0000-0002-3559-9864</t>
  </si>
  <si>
    <t>e68603</t>
  </si>
  <si>
    <t>10.2196/68603</t>
  </si>
  <si>
    <t>http://dx.doi.org/10.2196/68603</t>
  </si>
  <si>
    <t>7CV8E</t>
  </si>
  <si>
    <t>40864888</t>
  </si>
  <si>
    <t>WOS:001567995900002</t>
  </si>
  <si>
    <t>Kuculmez, O; Usen, A; Ahi, ED</t>
  </si>
  <si>
    <t>This study compared language models' responses to open-ended questions on regenerative therapy guidelines for chronic pain, assessing their accuracy, reliability, usefulness, readability, semantic similarity, and hallucination rates. This cross-sectional study used 16 open-ended questions based on the American Society of Pain and Neuroscience's regenerative therapy guidelines for chronic pain. Questions were answered by ChatGPT-4o, Gemini 2.5 Flash, and Claude 4 Opus. Responses were rated on a 7-point Likert scale for usability and reliability, and a 5-point scale for accuracy. Hallucinogenicity, readability (FKRE, FKGL), and similarity (USE, ROUGE-L) were also assessed. Statistical comparisons were made, with significance set at p &lt; 0.05. Claude Opus 4 showed the highest reliability (5.19 +/- 1.11), usefulness (5.06 +/- 1.0), and clinical accuracy (4.06 +/- 0.68), outperforming ChatGPT-4o (4.13 +/- 0.96; 3.94 +/- 0.85; 3.38 +/- 0.72) and Gemini 2.5 (4.19 +/- 0.98; 4.06 +/- 0.93; 3.38 +/- 0.62). Claude had the lowest reference hallucinations (RHS 4.44 +/- 3.18) vs. ChatGPT-4o (8.38 +/- 1.86) and Gemini 2.5 (8.75 +/- 1.73). In semantic similarity, Claude (0.68 +/- 0.08) and Gemini (0.65 +/- 0.07) surpassed ChatGPT-4o (0.60 +/- 0.09). Gemini led in ROUGE-L F1 (0.12 +/- 0.03) vs. Claude (0.10 +/- 0.02) and ChatGPT-4o (0.07 +/- 0.03). Readability was similar, though Gemini had a higher FKGL (11.3 +/- 1.06) than Claude (10.3 +/- 2.09). Claude Opus 4 showed superior accuracy, reliability, and usefulness, with significantly fewer hallucinations. Readability scores were similar across models. Further research is recommended.</t>
  </si>
  <si>
    <t>Kuculmez, Ozlem; Usen, Ahmet; Ahi, Emine Dundar</t>
  </si>
  <si>
    <t>Usen, A (corresponding author), Medipol Univ, Fac Med, Dept Phys Med &amp; Rehabil, Goztepe Neighbourhood, Ataturk St 1, TR-34815 Istanbul, Turkiye.</t>
  </si>
  <si>
    <t>eminedundarahi@gmail.com; akanozlem07@gmail.com; ahmetusen1@hotmail.com</t>
  </si>
  <si>
    <t>[Kuculmez, Ozlem] Baskent Univ, Dept Phys Med &amp; Rehabil, Oba neighbourhood, Alanya Hosp, Alanya,Cevreyolu St 79, TR-07400 Antalya, Turkiye; [Usen, Ahmet] Medipol Univ, Fac Med, Dept Phys Med &amp; Rehabil, Goztepe Neighbourhood, Ataturk St 1, TR-34815 Istanbul, Turkiye; [Ahi, Emine Dundar] Kocaeli Hlth &amp; Technol Univ, Dept Phys Med &amp; Rehabil, Fatih Neighborhood, Kadioglu St,Alizepark Complex,Block D1,1 Basiskele, Kocaeli, Turkiye</t>
  </si>
  <si>
    <t>Baskent University; Alanya State Hospital; Istanbul Medipol University; Kocaeli Health &amp; Technology University</t>
  </si>
  <si>
    <t>Referential hallucination and clinical reliability in large language models: a comparative analysis using regenerative medicine guidelines for chronic pain</t>
  </si>
  <si>
    <t>Artificial intelligence; Guideline; Pain; Regeneration; Stem cell</t>
  </si>
  <si>
    <t>Dundar Ahi, Emine/PJA-5043-2026; Kuculmez, Ozlem/AAM-4037-2021; Usen, Ahmet/AFH-9174-2022</t>
  </si>
  <si>
    <t>Kuculmez, Ozlem/0000-0002-8900-0060; Usen, Ahmet/0000-0002-2754-1232; dundar ahi, emine/0000-0001-6417-5406</t>
  </si>
  <si>
    <t>SEP 27 2025</t>
  </si>
  <si>
    <t>240</t>
  </si>
  <si>
    <t>10.1007/s00296-025-05996-z</t>
  </si>
  <si>
    <t>http://dx.doi.org/10.1007/s00296-025-05996-z</t>
  </si>
  <si>
    <t>7YS8N</t>
  </si>
  <si>
    <t>41014370</t>
  </si>
  <si>
    <t>WOS:001582834100001</t>
  </si>
  <si>
    <t>Salkhanova, A; Nabigazinova, E; Kaldybay, A; Omirbekova, A; Sabit, M; Baikonsova, L; Yergeshbayeva, R; Knyazbay, A; Chuiko, T; Yermakova, I; Bekzhanova, A; Tyulebekova, G; Niyetkaliyeva, D; Serikova, N; Sharman, A</t>
  </si>
  <si>
    <t>Background/Objectives: Suboptimal dietary patterns are among the leading modifiable contributors to global morbidity and mortality, particularly in cardiovascular disease, type 2 diabetes mellitus (T2DM), obesity, metabolic syndrome, and hypertension. Digital nutrition platforms have emerged to improve adherence to evidence-based dietary strategies; however, many systems lack structured optimization, processing-aware nutrient profiling, and explainable artificial intelligence (AI) mechanisms. The integration of large language models (LLMs) into digital health introduces conversational personalization but also risks hallucination and unsafe outputs without constraint enforcement. This study aimed to describe the system development, architecture, database infrastructure, optimization algorithms, explainability enforcement, and digital health implications of NutriSteppe-AI, a chatbot-first LLM-driven system for personalized health menu generation constrained by deterministic nutrient logic and processing-aware scoring. Methods: NutriSteppe-AI integrates: (1) a multi-source structured nutrient database of 20,000 food products with up to 130 tracked nutrients; (2) energy requirement estimation using the revised Harris-Benedict equation; (3) linear programming-based multi-objective optimization; (4) a Healthy Food Index (HFI; 0.5-5.0 scale) incorporating NOVA processing classification penalties; (5) traffic-light nutrient gating; and (6) a constrained LLM orchestration layer governed by structured API contracts. Algorithmic validation was performed using 10,000 simulated user profiles spanning diverse age, anthropometric, activity, dietary exclusion, and budget parameters. Results: The system achieved 96.8% full constraint satisfaction with macronutrient mean absolute errors of 11.60% (energy), 18.86% (protein), 16.26% (fat), and 20.91% (carbohydrates). Incorporating NOVA processing penalties reduced ultra-processed food HFI scores by 0.73 points (p &lt; 0.001). Median optimized menu HFI improved from 3.6 to 4.3. Median system latency was 1.8 s. Explainability validation confirmed 100% deterministic alignment with zero hallucinated numeric claims. Conclusions: NutriSteppe-AI demonstrates that LLM-driven nutrition chatbots can achieve deterministic, explainable, and clinically aligned performance when governed by structured optimization, processing-aware scoring, and explainability enforcement. This architecture provides scalable digital health infrastructure for cardiometabolic disease prevention in diverse populations.</t>
  </si>
  <si>
    <t>Salkhanova, Akkumis; Nabigazinova, Elnura; Kaldybay, Aliya; Omirbekova, Ayaulym; Sabit, Madina; Baikonsova, Laura; Yergeshbayeva, Raushan; Knyazbay, Asyl; Chuiko, Timur; Yermakova, Irina; Bekzhanova, Aisulu; Tyulebekova, Gulnara; Niyetkaliyeva, Danagul; Serikova, Nursaya; Sharman, Almaz</t>
  </si>
  <si>
    <t>Sharman, A (corresponding author), Kazakh Acad Nutr, 66 Klochkov St, Alma Ata 050008, Kazakhstan.</t>
  </si>
  <si>
    <t>asalkhanova@academypm.org; laura_omarovna@mail.ru; almaz@sharman.pro; m.sabit@academypm.org; asyl.k@academypm.org; bekzhanova@academypm.org; ttimkoni2005@gmail.com; dananiyetka@gmail.com; raushanbogdanovna21@gmail.com; a.omirbekova@academypm.org; yermakova@academypm.org; akaldybai@academypm.org; elnura@academynutrition.kz; tyulebekova@academypm.org; nursayanurzhankyzy07@gmail.com</t>
  </si>
  <si>
    <t>Ministry of Science and Higher Education of the Republic of Kazakhstan [AP26102783]</t>
  </si>
  <si>
    <t>Ministry of Science and Higher Education of the Republic of Kazakhstan (Government of the Republic of Kazakhstan, Ministry of Science &amp; Higher Education of the Republic of Kazakhstan)</t>
  </si>
  <si>
    <t>This research was funded by the Ministry of Science and Higher Education of the Republic of Kazakhstan, grant number AP26102783.</t>
  </si>
  <si>
    <t>[Salkhanova, Akkumis; Nabigazinova, Elnura; Kaldybay, Aliya; Omirbekova, Ayaulym; Sabit, Madina; Knyazbay, Asyl; Sharman, Almaz] Kazakh Acad Nutr, 66 Klochkov St, Alma Ata 050008, Kazakhstan; [Baikonsova, Laura] South Kazakhstan Med Acad, 1 Al-Farabi Sq, Shymkent 160019, Kazakhstan; [Yergeshbayeva, Raushan] Kazakh Natl Med Univ, Sch Publ Hlth, 94 Tole Bi St, Alma Ata 050012, Kazakhstan; [Chuiko, Timur; Niyetkaliyeva, Danagul; Serikova, Nursaya] SDU Univ, Sch Informat Technol &amp; Appl Math, 1-1 Abylai Khan St, Kaskelen 040900, Kazakhstan; [Yermakova, Irina; Bekzhanova, Aisulu; Tyulebekova, Gulnara] Kazakhstan Acad Prevent Med, 66 Klochkov St, Alma Ata 050008, Kazakhstan</t>
  </si>
  <si>
    <t>NutriSteppe-AI: Development, Architecture, and Explainable Design of a Large Language Model-Driven Chatbot for Personalized Health Menu Generation</t>
  </si>
  <si>
    <t>NUTRIENTS</t>
  </si>
  <si>
    <t>artificial intelligence; large language models; nutrition; personalized diet; chatbots; clinical decision support systems; digital health; explainable AI; linear programming optimization; food databases</t>
  </si>
  <si>
    <t>ULTRA-PROCESSED FOODS; MEDICINE; ADULTS</t>
  </si>
  <si>
    <t>Salkhanova, Akkumis/ADB-3872-2022</t>
  </si>
  <si>
    <t>2072-6643</t>
  </si>
  <si>
    <t>Nutrients</t>
  </si>
  <si>
    <t>2228</t>
  </si>
  <si>
    <t>10.3390/nu18142228</t>
  </si>
  <si>
    <t>http://dx.doi.org/10.3390/nu18142228</t>
  </si>
  <si>
    <t>Nutrition &amp; Dietetics</t>
  </si>
  <si>
    <t>LT8ZZ</t>
  </si>
  <si>
    <t>42514297</t>
  </si>
  <si>
    <t>WOS:001833122800001</t>
  </si>
  <si>
    <t>Urquhart, E; Ryan, J; Hartigan, S; Nita, C; Hanley, C; Moran, P; Bates, J; Jooste, R; Judge, C; Laffey, JG; Madden, MG; Mcnicholas, BA</t>
  </si>
  <si>
    <t>BackgroundArtificial intelligence, through improved data management and automated summarisation, has the potential to enhance intensive care unit (ICU) care. Large language models (LLMs) can interrogate and summarise large volumes of medical notes to create succinct discharge summaries. In this study, we aim to investigate the potential of LLMs to accurately and concisely synthesise ICU discharge summaries.MethodsAnonymised clinical notes from ICU admissions were used to train and validate a prompting structure in three separate LLMs (ChatGPT, GPT-4 API and Llama 2) to generate concise clinical summaries. Summaries were adjudicated by staff intensivists on ability to identify and appropriately order a pre-defined list of important clinical events as well as readability, organisation, succinctness, and overall rank.ResultsIn the development phase, text from five ICU episodes was used to develop a series of prompts to best capture clinical summaries. In the testing phase, a summary produced by each LLM from an additional six ICU episodes was utilised for evaluation. Overall ability to identify a pre-defined list of important clinical events in the summary was 41.5 +/- 15.2% for GPT-4 API, 19.2 +/- 20.9% for ChatGPT and 16.5 +/- 14.1% for Llama2 (p = 0.002). GPT-4 API followed by ChatGPT had the highest score to appropriately order a pre-defined list of important clinical events in the summary as well as readability, organisation, succinctness, and overall rank, whilst Llama2 scored lowest for all. GPT-4 API produced minor hallucinations, which were not present in the other models.ConclusionDifferences exist in large language model performance in readability, organisation, succinctness, and sequencing of clinical events compared to others. All encountered issues with narrative coherence and omitted key clinical data and only moderately captured all clinically meaningful data in the correct order. However, these technologies suggest future potential for creating succinct discharge summaries.</t>
  </si>
  <si>
    <t>Urquhart, Emma; Ryan, John; Hartigan, Sean; Nita, Ciprian; Hanley, Ciara; Moran, Peter; Bates, John; Jooste, Rachel; Judge, Conor; Laffey, John G.; Madden, Michael G.; Mcnicholas, Bairbre A.</t>
  </si>
  <si>
    <t>Mcnicholas, BA (corresponding author), Univ Hosp Galway, Dept Anaesthesia &amp; Intens Care Med, Galway H91YR71, Ireland.; Mcnicholas, BA (corresponding author), Univ Galway, Sch Med, Anaesthesia &amp; Intens Care Med, Galway, Ireland.</t>
  </si>
  <si>
    <t>bmcnicholas@universityofgalway.ie</t>
  </si>
  <si>
    <t>[Ryan, John; Hartigan, Sean; Nita, Ciprian; Hanley, Ciara; Moran, Peter; Bates, John; Jooste, Rachel; Laffey, John G.; Mcnicholas, Bairbre A.] Univ Hosp Galway, Dept Anaesthesia &amp; Intens Care Med, Galway H91YR71, Ireland; [Urquhart, Emma; Madden, Michael G.] Univ Galway, Sch Comp Sci, Galway, Ireland; [Laffey, John G.; Mcnicholas, Bairbre A.] Univ Galway, Sch Med, Anaesthesia &amp; Intens Care Med, Galway, Ireland; [Judge, Conor] Univ Galway, Sch Med, Galway, Ireland</t>
  </si>
  <si>
    <t>Ollscoil na Gaillimhe-University of Galway; Ollscoil na Gaillimhe-University of Galway; Ollscoil na Gaillimhe-University of Galway; Ollscoil na Gaillimhe-University of Galway</t>
  </si>
  <si>
    <t>A pilot feasibility study comparing large language models in extracting key information from ICU patient text records from an Irish population</t>
  </si>
  <si>
    <t>INTENSIVE CARE MEDICINE EXPERIMENTAL</t>
  </si>
  <si>
    <t>Large language models; Medical summaries; Intensive care medicine; Artificial intelligence</t>
  </si>
  <si>
    <t>McNicholas, Bairbre/HJG-5351-2022; Judge, Conor/L-7422-2018; Madden, Michael/C-7113-2011</t>
  </si>
  <si>
    <t>McNicholas, Bairbre/0000-0001-9524-4021; Judge, Conor/0000-0001-9473-2920; Laffey, John/0000-0002-1246-9573; Madden, Michael/0000-0002-4443-7285</t>
  </si>
  <si>
    <t>2197-425X</t>
  </si>
  <si>
    <t>INTENS CARE MED EXP</t>
  </si>
  <si>
    <t>Int. Care Med. Exp.</t>
  </si>
  <si>
    <t>AUG 16 2024</t>
  </si>
  <si>
    <t>10.1186/s40635-024-00656-1</t>
  </si>
  <si>
    <t>http://dx.doi.org/10.1186/s40635-024-00656-1</t>
  </si>
  <si>
    <t>C7O7X</t>
  </si>
  <si>
    <t>39147878</t>
  </si>
  <si>
    <t>WOS:001291235300001</t>
  </si>
  <si>
    <t>Keçeci, T; Karagöz, B</t>
  </si>
  <si>
    <t>Background Artificial intelligence (AI)-based large language models (LLM) are increasingly used in healthcare education. However, the accuracy, readability, and reliability of their medical outputs remain a concern. This study aimed to compare the quality of responses generated by ChatGPT-4o and DeepSeek AI regarding the diagnosis and treatment of clavicle fractures, based on the 2022 AAOS Clinical Practice Guidelines (CPG). Methods Fourteen clinical questions were formulated based on the AAOS CPG for clavicle fractures. Each question was independently submitted to ChatGPT-4o and DeepSeek AI. Responses were evaluated using standardized scoring tools, including DISCERN, PEMAT-P, CLEAR, Flesch-Kincaid Grade Level, Flesch Reading Ease, and Gunning-Fog Index. Two orthopedic surgeons independently rated the responses, and inter-rater scores were averaged. Statistical comparison between the two AI models was conducted using the Mann-Whitney U test. Results DeepSeek AI generated responses with a significantly higher word count (median: 572, IQR: 258.25 vs. 438.5, IQR: 229; p = 0.016), CLEAR score (median: 18, IQR: 0.75 vs. 16, IQR: 0.75; p &lt; 0.001). No statistically significant differences were found in PEMAT understandability (median: 77.7 vs. 77.7; p = 0.519), PEMAT actionability (median: 0 vs. 0; p = 1.000), or PEMAT total score (median: 57.2 vs. 58; p &gt; 0.05). Similarly, no statistically significant differences were observed in DISCERN (52.1 vs. 51.6; p &gt; 0.05), readability indices, binary accuracy (ChatGPT: 0.93, DeepSeek: 0.89; p &gt; 0.05), or weighted accuracy (ChatGPT: 0.83, DeepSeek: 0.79; p &gt; 0.05). Both models demonstrated generally high accuracy levels. Conclusion Both ChatGPT-4o and DeepSeek AI generated coherent and clinically relevant responses to guideline-based questions on clavicle fracture management. However, neither model achieved meaningful scores in PEMAT actionability, and occasional inaccuracies and hallucinations were observed. While DeepSeek produced longer responses, verbosity did not correspond to superior quality. These findings suggest that LLMs may serve as supplementary tools for medical education and reference, but they cannot replace evidence-based clinical judgment, underscoring the need for supervised integration and ongoing validation. Finally, the number of prompts analyzed (14) was limited, reflecting the scope of a single guideline; this sample size restricts statistical power and generalizability, and larger multi-guideline datasets will be needed in future studies.</t>
  </si>
  <si>
    <t>Kececi, Tolga; Karagoz, Bekir</t>
  </si>
  <si>
    <t>Keçeci, T (corresponding author), Ordu Univ Training &amp; Res Hosp, Ordu, Turkiye.</t>
  </si>
  <si>
    <t>tolgakececi@hotmail.com</t>
  </si>
  <si>
    <t>[Kececi, Tolga] Ordu Univ Training &amp; Res Hosp, Ordu, Turkiye; [Karagoz, Bekir] Eskisehir City Hosp, Eskisehir, Turkiye</t>
  </si>
  <si>
    <t>Ordu University</t>
  </si>
  <si>
    <t>Can large language models follow guidelines? A comparative study of ChatGPT-4o and DeepSeek AI in clavicle fracture management based on AAOS recommendations</t>
  </si>
  <si>
    <t>Artificial intelligence; Clavicle fracture; ChatGPT-4o; DeepSeek AI; Clinical practice guideline; DISCERN; PEMAT; Readability; Orthopedic education</t>
  </si>
  <si>
    <t>Karagoz, Bekir/IYS-5769-2023; keçeci, tolga/LRT-3620-2024</t>
  </si>
  <si>
    <t>keçeci, tolga/0000-0001-7313-0920</t>
  </si>
  <si>
    <t>SEP 29 2025</t>
  </si>
  <si>
    <t>350</t>
  </si>
  <si>
    <t>10.1186/s12911-025-03202-5</t>
  </si>
  <si>
    <t>http://dx.doi.org/10.1186/s12911-025-03202-5</t>
  </si>
  <si>
    <t>8DP3G</t>
  </si>
  <si>
    <t>41023674</t>
  </si>
  <si>
    <t>WOS:001586144800016</t>
  </si>
  <si>
    <t>Zhang, HR; Wang, AL; He, CP; Qiu, S; An, ZL</t>
  </si>
  <si>
    <t>Background: The growing prevalence of polypharmacy and time constraints pose significant challenges for pharmacists in managing drug-drug interactions during outpatient consultations. While large language models (LLMs) show potential in various medical applications, their practical utility in real-world pharmaceutical services particularly in providing accurate, context-aware drug-drug interaction advice, remains underexplored. Objectives: This study aims to evaluate the performance of LLMs in responding to real-world drug-drug interaction consultation queries. The goal is to assess their feasibility as assistive tools for pharmacists in delivering evidence-based, patient-specific medication guidance. Methods: A total of 165 nonredundant drug-drug interaction queries were extracted from outpatient pharmacy consultations at Beijing Chao-Yang Hospital from January to May 2023. Responses from 4 LLMs were compared against answers provided by pharmacists. A scoring framework was applied to evaluate accuracy, depth of analysis, and practicality of administration advice. Results: The LLMs demonstrated high consistency with pharmacists' responses, with rates of 84.85%-89.09%. Discrepancies arose primarily from incomplete pharmacist documentation, LLM drug misidentification, and differences in practical medication use advice. In scored evaluations, DeepSeek R1 achieved the highest score, achieving 3-4-point scores in 137 queries by integrating multi-perspective drug analysis and actionable administration strategies. Conclusion: LLMs, particularly those with advanced reasoning and internet retrieval capabilities, have the potential to support pharmacists in drug-drug interaction management by delivering accurate, context-specific recommendations. However, limitations such as potential hallucination and operational delays remain. LLMs should serve as complementary tools under pharmacist supervision to enhance consultation quality and efficiency, not as replacements for professional judgment. Further validation using clinical metrics is warranted before widespread adoption. (c) 2026 American Pharmacists Association (R). Published by Elsevier Inc. All rights are reserved, including those for text and data mining, AI training, and similar technologies.</t>
  </si>
  <si>
    <t>Zhang, Haoran; Wang, Anlin; He, Cuiping; Qiu, Shuang; An, Zhuoling</t>
  </si>
  <si>
    <t>Zhang, HR (corresponding author), Capital Med Univ, Beijing Chao Yang Hosp, Dept Pharm, 8 Gongti South Rd, Beijing 100020, Peoples R China.</t>
  </si>
  <si>
    <t>haoranzhang@stu.cpu.edu.cn</t>
  </si>
  <si>
    <t>[Zhang, Haoran; Wang, Anlin; He, Cuiping; Qiu, Shuang; An, Zhuoling] Capital Med Univ, Beijing Chao Yang Hosp, Dept Pharm, 8 Gongti South Rd, Beijing 100020, Peoples R China</t>
  </si>
  <si>
    <t>Capital Medical University</t>
  </si>
  <si>
    <t>Performance validation of large language models for drug-drug interaction consultations: Potential pharmacist assistant in outpatient pharmaceutical services</t>
  </si>
  <si>
    <t>JOURNAL OF THE AMERICAN PHARMACISTS ASSOCIATION</t>
  </si>
  <si>
    <t>ASPIRIN; STATIN</t>
  </si>
  <si>
    <t>1544-3191</t>
  </si>
  <si>
    <t>1544-3450</t>
  </si>
  <si>
    <t>J AM PHARM ASSOC</t>
  </si>
  <si>
    <t>J. Am. Pharm. Assoc.</t>
  </si>
  <si>
    <t>MAY-JUN 2026</t>
  </si>
  <si>
    <t>103077</t>
  </si>
  <si>
    <t>10.1016/j.japh.2026.103077</t>
  </si>
  <si>
    <t>http://dx.doi.org/10.1016/j.japh.2026.103077</t>
  </si>
  <si>
    <t>GT6PX</t>
  </si>
  <si>
    <t>41864615</t>
  </si>
  <si>
    <t>WOS:001744780500001</t>
  </si>
  <si>
    <t>Esen, Ç; Gül, M; Karayürek, F</t>
  </si>
  <si>
    <t>This study aimed to evaluate the clinical safety, informational completeness, and patient-centered language of responses generated by four large language model (LLM)-based systems to standardized periodontal complaint-based queries. Seven standardized symptom-based periodontal queries were developed based on commonly reported patient complaints and submitted in Turkish to Copilot, Gemini, Claude, and ChatGPT. Responses were evaluated using a structured rule-based framework consisting of a Content Coverage Score (CCS), Risk of Harm Score (RHS), and Patient Language Score (PLS). Assessments were performed by two blinded human reviewers and one blinded AI-based evaluator. Human consensus, AI consensus, and combined evaluator scores were calculated. Agreement between evaluators was assessed using intraclass correlation coefficients (ICC), while human-AI differences and inter-model comparisons were analyzed using non-parametric statistical tests. Excellent agreement was observed between human reviewers, repeated AI evaluations, and human-AI consensus scores (ICC range: 0.911-0.925; p &lt; 0.001). No significant difference was found between overall human and AI consensus scores (p = 0.985). Across the four AI systems, no statistically significant differences were observed in CCS or PLS scores in the human, AI, or combined evaluator analyses (all p &gt; 0.05). PLS scores were generally high across models, indicating good linguistic accessibility for patients. No clearly harmful guidance was identified by the human reviewers. Overall, LLM-based systems generated clinically safe, reasonably comprehensive, and generally patient-accessible responses to common periodontal complaint-based queries. Although these systems may serve as supplementary sources of periodontal health information, they cannot replace individualized clinical evaluation and professional dental consultation.</t>
  </si>
  <si>
    <t>Esen, Cagri; Gul, Mehmet; Karayurek, Fatih</t>
  </si>
  <si>
    <t>Esen, Ç (corresponding author), Nevsehir Haci Bektas Veli Univ, Fac Dent, Dept Periodontol, 2000 Evler Mahallesi, Zubeyde Hanim Caddesi, TR-50300 Nevsehir, Turkiye.</t>
  </si>
  <si>
    <t>cagriesen@nevsehir.edu.tr; fatihkarayurek@nevsehir.edu.tr; mehmetgul@nevsehir.edu.tr</t>
  </si>
  <si>
    <t>[Esen, Cagri; Gul, Mehmet; Karayurek, Fatih] Nevsehir Haci Bektas Veli Univ, Fac Dent, Dept Periodontol, 2000 Evler Mahallesi, Zubeyde Hanim Caddesi, TR-50300 Nevsehir, Turkiye</t>
  </si>
  <si>
    <t>Nevsehir Haci Bektas Veli University</t>
  </si>
  <si>
    <t>Clinical safety, content coverage, and patient-centered language of AI responses to periodontal complaint-based queries: a comparative study of four large language models</t>
  </si>
  <si>
    <t>ODONTOLOGY</t>
  </si>
  <si>
    <t>Artificial intelligence; Natural language processing; Periodontal diseases; Health communication; Health literacy</t>
  </si>
  <si>
    <t>CLASSIFICATION; QUALITY</t>
  </si>
  <si>
    <t>Esen, Çağrı/KFQ-3622-2024; Gül, Mehmet/O-5188-2014; karayürek, fatih/AEK-8187-2022</t>
  </si>
  <si>
    <t>1618-1247</t>
  </si>
  <si>
    <t>1618-1255</t>
  </si>
  <si>
    <t>Odontology</t>
  </si>
  <si>
    <t>10.1007/s10266-026-01498-x</t>
  </si>
  <si>
    <t>http://dx.doi.org/10.1007/s10266-026-01498-x</t>
  </si>
  <si>
    <t>KR3SH</t>
  </si>
  <si>
    <t>42412385</t>
  </si>
  <si>
    <t>WOS:001813777200001</t>
  </si>
  <si>
    <t>Farías, H; Aroca, JG; Ortiz, D</t>
  </si>
  <si>
    <t>Knee osteoarthritis (KOA) is a prevalent condition globally, leading to significant pain and disability, particularly in individuals over the age of 40. While exercise has been shown to reduce symptoms and improve physical function and quality of life in patients with KOA, long-term adherence to exercise programs remains a challenge due to the lack of ongoing support. To address this, a chatbot was developed using large language models (LLMs) to provide evidence-based guidance and promote adherence to treatment. A systematic review conducted under the PRISMA framework identified relevant clinical guidelines that served as the foundational knowledge base for the chatbot. The Mistral 7B model, optimized with Parameter-Efficient Fine-Tuning (PEFT) and Mixture-of-Experts (MoE) techniques, was integrated to ensure computational efficiency and mitigate hallucinations, a critical concern in medical applications. Additionally, the chatbot employs Self-Reflective Retrieval-Augmented Generation (SELF-RAG) combined with Chain of Thought (CoT) reasoning, enabling dynamic query reformulation and the generation of accurate, evidence-based responses tailored to patient needs. The chatbot was evaluated by comparing pre- and post-improvement versions and against a reference model (ChatGPT), using metrics of accuracy, relevance, and consistency. The results demonstrated significant improvements in response quality and conversational coherence, emphasizing the potential of integrating advanced LLMs with retrieval and reasoning methods to address critical challenges in healthcare. This approach not only enhances treatment adherence but also strengthens patient-provider interactions in managing chronic conditions like KOA.</t>
  </si>
  <si>
    <t>Farias, Humberto; Aroca, Joaquin Gonzalez; Ortiz, Daniel</t>
  </si>
  <si>
    <t>Farías, H (corresponding author), Univ La Serena, Vice Rectorate Res, La Serena 1700000, Chile.</t>
  </si>
  <si>
    <t>joaquin.gonzalez@userena.cl; hfarias@userena.cl; dortiz@userena.cl</t>
  </si>
  <si>
    <t>FIULS project, Universidad de La Serena, Chile</t>
  </si>
  <si>
    <t>This research was funded by the FIULS project, Universidad de La Serena, Chile.</t>
  </si>
  <si>
    <t>[Farias, Humberto; Ortiz, Daniel] Univ La Serena, Vice Rectorate Res, La Serena 1700000, Chile; [Aroca, Joaquin Gonzalez] Univ La Serena, MSKD, Res Grp Bridging Sci &amp; Practice Musculoskeletal Di, La Serena 1700000, Chile; [Ortiz, Daniel] Inst Ecol &amp; Biodivers IEB, Las Palmeras 3425, Santiago 7750000, Chile</t>
  </si>
  <si>
    <t>Universidad de La Serena; Universidad de La Serena</t>
  </si>
  <si>
    <t>Chatbot Based on Large Language Model to Improve Adherence to Exercise-Based Treatment in People with Knee Osteoarthritis: System Development</t>
  </si>
  <si>
    <t>TECHNOLOGIES</t>
  </si>
  <si>
    <t>knee osteoarthritis; adherence; artificial intelligence; chatbot</t>
  </si>
  <si>
    <t>HIP; BURDEN</t>
  </si>
  <si>
    <t>Gonzalez Aroca, Joaquin/MIN-7058-2025</t>
  </si>
  <si>
    <t>Ortiz Maturana, Daniel/0000-0003-1319-5743; Gonzalez Aroca, Joaquin/0000-0002-2926-1103</t>
  </si>
  <si>
    <t>2227-7080</t>
  </si>
  <si>
    <t>Technologies</t>
  </si>
  <si>
    <t>APR 4 2025</t>
  </si>
  <si>
    <t>140</t>
  </si>
  <si>
    <t>10.3390/technologies13040140</t>
  </si>
  <si>
    <t>http://dx.doi.org/10.3390/technologies13040140</t>
  </si>
  <si>
    <t>1VA2C</t>
  </si>
  <si>
    <t>WOS:001474312700001</t>
  </si>
  <si>
    <t>Liu, T; Qi, XL; Guo, MH; Ye, XF; Fan, LN; Yang, DG</t>
  </si>
  <si>
    <t>Objectives Large language models (LLMs) show promise for interpreting laboratory reports, yet real-world validation remains limited. This study evaluated five advanced LLMs in interpreting urinalysis reports for kidney diseases using real-world clinical data, providing empirical evidence for the utility of LLM-assisted result interpretation. Methods We retrospectively collected 120 urinalysis reports from patients with primary glomerular diseases and secondary nephropathies. The testing platforms included the Sysmex UF5000 and Mindray EU8600. Five LLMs (ChatGPT-5, Claude-4.5, Gemini-2.5, DeepSeek-V3.1, Qwen-3) were tasked with interpreting reports across five functional dimensions. Four certified laboratory technologists and four licensed physicians evaluated outputs using a 5-point Likert scale across six quality dimensions. Statistical analyses employed Friedman and Wilcoxon signed-rank tests. Results All five LLMs demonstrated clinical utility in interpreting urinalysis reports. Proprietary LLMs achieved higher overall scores (Claude-4.5: 4.78 +/- 0.47; ChatGPT-5: 4.73 +/- 0.50; Gemini-2.5: 4.69 +/- 0.54) compared to open-source LLMs (DeepSeek-V3.1: 4.58 +/- 0.66; Qwen-3: 4.57 +/- 0.69). Across functional dimensions, the models performed proficiently in identifying abnormal parameters and analyzing their correlations, but suboptimally in interpreting instrument flags. Instrument-dependent variability was observed (Sysmex vs. Mindray, p&lt;0.001). In quality assessments, Claude-4.5 exhibited the best overall performance, ChatGPT-5 excelled in accuracy and clarity, and Gemini-2.5 demonstrated strong practicality. Regarding safety, Claude-4.5 exhibited the lowest hallucination rate (7.5 %). Common hallucinations included misinterpretation, definition errors, and over-interpretation. Conclusions LLMs demonstrate significant capability in urinalysis interpretation, though proprietary models currently excel in reasoning and hallucination resistance. Instrument-specific flag interpretation and hallucination mitigation remain critical challenges requiring Retrieval-Augmented Generation (RAG) integration and human oversight.</t>
  </si>
  <si>
    <t>Liu, Tao; Qi, Xinglun; Guo, Mohui; Ye, Xianfei; Fan, Lina; Yang, Dagan</t>
  </si>
  <si>
    <t>Yang, DG (corresponding author), Zhejiang Univ, Affiliated Hosp 1, Sch Med, Dept Lab Med, Hangzhou, Zhejiang, Peoples R China.</t>
  </si>
  <si>
    <t>yangdagan@zju.edu.cn</t>
  </si>
  <si>
    <t>National Key R&amp;D Program of China [2022YFC3602302]</t>
  </si>
  <si>
    <t>National Key R&amp;D Program of China (National Key Research &amp; Development Program of China)</t>
  </si>
  <si>
    <t>This work was supported by the National Key R&amp;D Program of China (Grant number: 2022YFC3602302).</t>
  </si>
  <si>
    <t>[Liu, Tao] Yongkang Matern &amp; Child Care Hosp, Dept Clin Lab, Yongkang, Zhejiang, Peoples R China; [Liu, Tao] Zhejiang Chinese Med Univ, Coll Med Technol &amp; Informat Engn, Hangzhou, Zhejiang, Peoples R China; [Qi, Xinglun; Ye, Xianfei; Fan, Lina; Yang, Dagan] Zhejiang Univ, Affiliated Hosp 1, Sch Med, Dept Lab Med, Hangzhou, Zhejiang, Peoples R China; [Guo, Mohui] Zhejiang Chinese Med Univ, Sch Clin Med 1, Hangzhou, Zhejiang, Peoples R China</t>
  </si>
  <si>
    <t>Zhejiang Chinese Medical University; Zhejiang University; Zhejiang Chinese Medical University</t>
  </si>
  <si>
    <t>Performance evaluation of five large language models for assisting in the interpretation of urinalysis reports for kidney diseases: a real-world study</t>
  </si>
  <si>
    <t>CLINICAL CHEMISTRY AND LABORATORY MEDICINE</t>
  </si>
  <si>
    <t>large language models; urinalysis; kidney diseases; result interpretation; performance evaluation; real-world study</t>
  </si>
  <si>
    <t>Ye, Xianfei/KHC-3423-2024</t>
  </si>
  <si>
    <t>WALTER DE GRUYTER GMBH</t>
  </si>
  <si>
    <t>GENTHINER STRASSE 13, D-10785 BERLIN, GERMANY</t>
  </si>
  <si>
    <t>1434-6621</t>
  </si>
  <si>
    <t>1437-4331</t>
  </si>
  <si>
    <t>CLIN CHEM LAB MED</t>
  </si>
  <si>
    <t>Clin. Chem. Lab. Med.</t>
  </si>
  <si>
    <t>JUL 24 2026</t>
  </si>
  <si>
    <t>1826</t>
  </si>
  <si>
    <t>1837</t>
  </si>
  <si>
    <t>10.1515/cclm-2026-0435</t>
  </si>
  <si>
    <t>http://dx.doi.org/10.1515/cclm-2026-0435</t>
  </si>
  <si>
    <t>Medical Laboratory Technology</t>
  </si>
  <si>
    <t>KK5LH</t>
  </si>
  <si>
    <t>42033087</t>
  </si>
  <si>
    <t>WOS:001748703700001</t>
  </si>
  <si>
    <t>Lee, KH; Jang, S; Kim, GJ; Park, S; Kim, D; Kwon, OJ; Lee, JH; Kim, YH</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</si>
  <si>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trialsx8 LLMsx5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</si>
  <si>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Lee, Kye Hwa; Jang, Sujung; Kim, Grace Juyun; Park, Sukyoung; Kim, Doeun; Kwon, Oh Jin; Lee, Jae-Ho; Kim, Young-Hak</t>
  </si>
  <si>
    <t>Lee, KH (corresponding author), Univ Ulsan, Asan Med Ctr, Dept Informat Med, Dept Digital Med,Coll Med, 88 Olympic Ro 43 Gil, Seoul 05505, South Korea.</t>
  </si>
  <si>
    <t>eva@amc.seoul.kr</t>
  </si>
  <si>
    <t>Korea Health Technology R&amp;D Project through the Korea Health Industry Development Institute (KHIDI) - Ministry of Health &amp; Welfare, Republic of Korea [HR21C0198]; Asan Institute for Life Sciences, Asan Medical Center, Seoul, Korea [2024IP0015-1]</t>
  </si>
  <si>
    <t>Korea Health Technology R&amp;D Project through the Korea Health Industry Development Institute (KHIDI) - Ministry of Health &amp; Welfare, Republic of Korea; Asan Institute for Life Sciences, Asan Medical Center, Seoul, Korea</t>
  </si>
  <si>
    <t>This research was supported by a grant of the Korea Health Technology R&amp;D Project through the Korea Health Industry Development Institute (KHIDI) funded by the Ministry of Health &amp; Welfare, Republic of Korea (grant number: HR21C0198) and 2024IP0015-1 from the Asan Institute for Life Sciences, Asan Medical Center, Seoul, Korea. We would like to express our sincere gratitude to Dr. Lee Ji-Soo and Dr. Baek Ga-Kyoung for their valuable contributions to this paper.</t>
  </si>
  <si>
    <t>[Lee, Kye Hwa] Univ Ulsan, Asan Med Ctr, Dept Informat Med, Dept Digital Med,Coll Med, 88 Olympic Ro 43 Gil, Seoul 05505, South Korea; [Jang, Sujung; Park, Sukyoung; Kim, Doeun] Univ Ulsan, Coll Med, Asan Med Ctr, Dept Biomed Engn,AMIST, Seoul, South Korea; [Kim, Grace Juyun; Kwon, Oh Jin] Asan Med Ctr, Asan Inst Life Sci, Big Data Res Ctr, Seoul, South Korea; [Lee, Jae-Ho] Univ Ulsan, Asan Med Ctr, Dept Emergency Med, Dept Informat Med,Coll Med, Seoul, South Korea; [Kim, Young-Hak] Univ Ulsan, Asan Med Ctr, Dept Informat Med, Div Cardiol,Coll Med, Seoul, South Korea</t>
  </si>
  <si>
    <t>University of Ulsan; Asan Medical Center; University of Ulsan; Asan Medical Center; University of Ulsan; Asan Medical Center; Asan Medical Center; University of Ulsan; Asan Medical Center; Asan Medical Center; University of Ulsan; Asan Medical Center</t>
  </si>
  <si>
    <t>Large Language Models for Automating Clinical Trial Criteria Conversion to Observational Medical Outcomes Partnership Common Data Model Queries: Validation and Evaluation Study</t>
  </si>
  <si>
    <t>clinical trials; eligibility criteria; natural language processing; large language models; hallucination; Observational Medical Outcomes Partnership Common Data Model; OMOP CDM; SQL generation; feasibility assessment</t>
  </si>
  <si>
    <t>REAL-WORLD DATA; OPPORTUNITIES</t>
  </si>
  <si>
    <t>Lee, Jae-Ho/B-8724-2014</t>
  </si>
  <si>
    <t>Lee, Kye Hwa/0000-0002-7593-7020; kwon, ohjin/0009-0003-4150-6630; Jang, Sujung/0009-0005-2596-5444; Lee, Jae-Ho/0000-0003-2619-1231; Kim, Grace Juyun/0000-0002-4610-4994</t>
  </si>
  <si>
    <t>e71252</t>
  </si>
  <si>
    <t>10.2196/71252</t>
  </si>
  <si>
    <t>http://dx.doi.org/10.2196/71252</t>
  </si>
  <si>
    <t>9EN7O</t>
  </si>
  <si>
    <t>41100527</t>
  </si>
  <si>
    <t>WOS:001604462300001</t>
  </si>
  <si>
    <t>Cittadino, J; Traulsen, P; Schmahl, T; Wewetzer, L; Cummerow, J; Flägel, K; Strumann, C; Goetz, K; Steinhäuser, J</t>
  </si>
  <si>
    <t>Background: The Archive of German-Language General Practice (ADAM) stores about 500 paper-based doctoral theses published from 1965 to today. Although they have been grouped in different categories, no deeper systematic process of information extraction (IE) has been performed yet. Recently developed large language models (LLMs) like ChatGPT have been attributed the potential to help in the IE of medical documents. However, there are concerns about LLM hallucinations. Furthermore, there have not been reports regarding their usage in nonrecent doctoral theses yet. Objective: The aim of this study is to analyze if LLMs can help to extract information from doctoral theses by using GPT-4o and Gemini-1.5-Flash for paper-based doctoral theses in ADAM. Methods: We randomly selected 10 doctoral theses published between 1965 and 2022. After preprocessing, we used two different LLM pipelines, using models by OpenAI and Google. Pipelines were used to extract dissertation characteristics and generate uniform abstracts. Furthermore, one pooled human-generated abstract was written for comparison. Furthermore, blinded raters were asked to evaluate LLM-generated abstracts in comparison to the human-generated ones. Bidirectional encoder representations from transformers scores were calculated as the evaluation metric. Results: Relevant dissertation characteristics and keywords could be extracted for all theses (n=10): institute name and location, thesis title, author name(s), and publication year. For all except one doctoral thesis, an abstract could be generated using GPT-4o, while Gemini-1.5-Flash provided abstracts in all cases (n=10). The modality of abstract generation showed no influence in raters' evaluation using the nonparametric Kruskal-Wallis test for independent groups (P=.44). The creation of LLM-generated abstracts was estimated to be 24-36 times faster than creation by humans. Evaluation metrics showed moderate-to-high semantic similarity (mean bidirectional encoder representations from transformers F1-score, GPT-4o: 0.72 and Gemini: 0.71). Translation from German into English did not result in a loss of information (n=10). Conclusions: An accumulating body of unpublished doctoral theses makes it difficult to extract relevant evidence. Recent advances in LLMs like ChatGPT have raised expectations in text mining, but they have not yet been used in the IE of "historic" medical documents. This feasibility study suggests that both models (GPT-4o and Gemini-1.5-Flash) helped to accurately simplify and condense doctoral theses into relevant information, while LLM-generated abstracts were perceived as similar to human-generated ones, were semanticly similar, and took about 30 times less time to create. This pilot study demonstrates the feasibility of a regular office-scanning workflow and use of general-purpose LLMs to extract relevant information and produce accurate abstracts from ADAM doctoral theses. Taken together, this information could help researchers to better search the family medicine scientific literature over the last 60 years, helping to develop current research questions.</t>
  </si>
  <si>
    <t>Cittadino, Jonas; Traulsen, Pia; Schmahl, Teresa; Wewetzer, Larisa; Cummerow, Julia; Flagel, Kristina; Strumann, Christoph; Goetz, Katja; Steinhauser, Jost</t>
  </si>
  <si>
    <t>Cittadino, J (corresponding author), Univ Hosp Schleswig Holstein, Inst Family Med, Maria Goeppert St 9A, D-23538 Lubeck, Germany.</t>
  </si>
  <si>
    <t>jonas.cittadino@uni-luebeck.de</t>
  </si>
  <si>
    <t>Foundation Perspektive Hausaerztinnen und Hausaerzte of the German General Practitioners' Association</t>
  </si>
  <si>
    <t>Funding was provided by the Foundation Perspektive Hausaerztinnen und Hausaerzte of the German General Practitioners' Association (German: Stiftung Perspektive Hausarzt des Deutschen Hausaerztinnen- und Hausaerzteverbands e.V.) .</t>
  </si>
  <si>
    <t>[Cittadino, Jonas; Traulsen, Pia; Schmahl, Teresa; Wewetzer, Larisa; Cummerow, Julia; Flagel, Kristina; Strumann, Christoph; Goetz, Katja; Steinhauser, Jost] Univ Hosp Schleswig Holstein, Inst Family Med, Maria Goeppert St 9A, D-23538 Lubeck, Germany</t>
  </si>
  <si>
    <t>University of Kiel; Schleswig Holstein University Hospital</t>
  </si>
  <si>
    <t>Information Extraction of Doctoral Theses Using Two Different Large Language Models vs Health Services Researchers: Development and Usability Study</t>
  </si>
  <si>
    <t>ChatGPT; family medicine; doctoral thesis; GPT-4o; Gemini; artificial intelligence; AI</t>
  </si>
  <si>
    <t>Steinhaeuser, Jost/D-8283-2012; Strumann, Christoph/H-3408-2019; Goetz, Katja/D-9079-2012</t>
  </si>
  <si>
    <t>Cittadino, Jonas/0009-0007-0456-2667; Strumann, Christoph/0000-0003-2725-6543; Traulsen, Pia/0009-0005-5358-7778</t>
  </si>
  <si>
    <t>e77707</t>
  </si>
  <si>
    <t>10.2196/77707</t>
  </si>
  <si>
    <t>http://dx.doi.org/10.2196/77707</t>
  </si>
  <si>
    <t>41370789</t>
  </si>
  <si>
    <t>WOS:001639344900042</t>
  </si>
  <si>
    <t>PURPOSEThe purpose of our study was to (1) use a large language model (LLM) to identify goals-of-care (GOC) conversations in a large volume of notes, and (2) explore the potential of LLMs for a novel summarization task.METHODSWe included patients diagnosed with advanced cancer between April 1, 2024, and June 30, 2024. A validated LLM prompt for GOC was applied to electronic health records (EHRs) using a Health Insurance Portability and Accountability Act (HIPPA)-secure version of GPT-4o, a LLM developed by OpenAI. Output included (1) presence or absence of GOC documentation, (2) explanations with source text used to inform the LLM's determination, and (3) a hallucination score, indicating proportion of source text generated by the LLM that did not perfectly match text in the EHR. Two LLM prompts were designed to generate structured and unstructured GOC summaries. We randomly selected five patients and applied the summarization task to notes flagged by LLM as containing GOC. We reviewed LLM summaries to examine for relevant information.RESULTSAmong 326 patients associated with nearly 1,400 clinical notes, LLM flagged approximately 40% of notes for GOC documentation. Subsequent review of explanation text identified that 128 patients (nearly 40% of the total patient population) had GOC documentation. The hallucination index for explanations was low, suggesting that the LLM did not produce text that was not found in EHRs. LLM prompts produced accurate summaries in less than 2 minutes per patient.CONCLUSIONLLMs can capture GOC at scale and generate clinically useful summaries. Future directions include real-time implementation in the clinical setting.</t>
  </si>
  <si>
    <t>Lindvall, C (corresponding author), Harvard Med Sch, Boston, MA 02115 USA.; Lindvall, C (corresponding author), Dana Farber Canc Inst, Boston, MA 02215 USA.; Lindvall, C (corresponding author), Brigham &amp; Womens Hosp, Boston, MA 02115 USA.</t>
  </si>
  <si>
    <t>CHARLOTTA_LINDVALL@DFCI.HARVARD.EDU</t>
  </si>
  <si>
    <t>Dana-Farber Cancer Institute</t>
  </si>
  <si>
    <t>Dana-Farber Cancer Institute (Harvard University)</t>
  </si>
  <si>
    <t>Supported by Dana-Farber Cancer Institute.</t>
  </si>
  <si>
    <t>[Agaronnik, Nicole D.; Manz, Christopher R.; Tulsky, James A.; Lindvall, Charlotta] Harvard Med Sch, Boston, MA 02115 USA; [Agaronnik, Nicole D.; Davis, Joshua; Manz, Christopher R.; Tulsky, James A.; Lindvall, Charlotta] Dana Farber Canc Inst, Boston, MA 02215 USA; [Davis, Joshua] Albany Med Coll, Albany, NY USA; [Manz, Christopher R.; Tulsky, James A.; Lindvall, Charlotta] Brigham &amp; Womens Hosp, Boston, MA 02115 USA</t>
  </si>
  <si>
    <t>Feasibility Study for Using Large Language Models to Identify Goals-of-Care Documentation at Scale in Patients With Advanced Cancer</t>
  </si>
  <si>
    <t>JCO ONCOLOGY PRACTICE</t>
  </si>
  <si>
    <t>2688-1527</t>
  </si>
  <si>
    <t>2688-1535</t>
  </si>
  <si>
    <t>JCO ONCOL PRACT</t>
  </si>
  <si>
    <t>JCO Oncol. Pract.</t>
  </si>
  <si>
    <t>10.1200/OP-24-00992</t>
  </si>
  <si>
    <t>http://dx.doi.org/10.1200/OP-24-00992</t>
  </si>
  <si>
    <t>DU6VG</t>
  </si>
  <si>
    <t>40209123</t>
  </si>
  <si>
    <t>WOS:001692493100002</t>
  </si>
  <si>
    <t>Zeng, HM; Liu, GZ; Liu, WJ; Zou, SY; Chen, BF; Yang, RH; Lin, FZ; Peng, J; Gao, Y; Hao, L</t>
  </si>
  <si>
    <t>Objectives: To systematically compare the performance of two mainstream large language models (LLMs), DeepSeek-R1 and ChatGPT-o1, in addressing clinical questions related to multiple chronic conditions (MCCs). Study design: Comparative evaluation study. Methods: Forty-eight clinical questions related to MCCs, covering varying levels of difficulty, were developed based on authoritative clinical guidelines and independently submitted to DeepSeek-R1 and ChatGPT-o1 in three separate rounds. A panel of five experts in clinical medicine and medical informatics conducted blinded evaluations of 288 de-identified responses across four dimensions: accuracy, comprehensiveness, clarity, and relevance. Statistical differences between models were analyzed using the Mann-Whitney U test and the Kruskal-Wallis H test. Inter-rater reliability was assessed with Fleiss' kappa. Results: Inter-rater reliability was high (Fleiss' kappa = 0.878, P &lt; 0.05). While both models avoided major factual errors, ChatGPT-o1 significantly outperformed DeepSeek-R1 in all four evaluation dimensions. DeepSeek-R1, however, showed greater internal consistency across the three rounds of responses (Fleiss' kappa = 0.635, P &lt; 0.05). Conclusions: ChatGPT-o1 demonstrated superior performance in MCC-related clinical tasks, particularly in complex cases. Nevertheless, both models remain susceptible to hallucinations, underscoring the need to enhance clinical accuracy and interpretability. This study provides empirical evidence for the application of LLMs in MCC management and highlights the importance of improving model reliability, standardizing evaluation frameworks, and exploring multi-model integration to support their safe and effective use in clinical settings.</t>
  </si>
  <si>
    <t>Zeng, Haimin; Liu, Guanzhuo; Liu, Wenjun; Zou, Siyu; Chen, Bofan; Yang, Ruhui; Lin, Fangzhen; Peng, Jie; Gao, Yuan; Hao, Liang</t>
  </si>
  <si>
    <t>Hao, L (corresponding author), Nanchang Univ, Affiliated Hosp 2, Jiangxi Med Coll, Dept Orthoped, Nanchang, Jiangxi, Peoples R China.</t>
  </si>
  <si>
    <t>haoliangteam2024@163.com</t>
  </si>
  <si>
    <t>National College Students' Innovative Entrepreneurial Training Plan Program [202410403067]; Innovation and Entrepreneurship Training Program for College Students in Jiangxi Province [S202410403035]</t>
  </si>
  <si>
    <t>National College Students' Innovative Entrepreneurial Training Plan Program; Innovation and Entrepreneurship Training Program for College Students in Jiangxi Province</t>
  </si>
  <si>
    <t>This study was supported by the National College Students' Innovative Entrepreneurial Training Plan Program (Grant numbers 202410403067) , and the Innovation and Entrepreneurship Training Program for College Students in Jiangxi Province (Grant number [S202410403035] ) .</t>
  </si>
  <si>
    <t>[Zeng, Haimin; Liu, Guanzhuo; Liu, Wenjun; Zou, Siyu; Chen, Bofan; Yang, Ruhui; Lin, Fangzhen; Peng, Jie; Gao, Yuan; Hao, Liang] Nanchang Univ, Affiliated Hosp 2, Jiangxi Med Coll, Dept Orthoped, Nanchang, Jiangxi, Peoples R China; [Zeng, Haimin; Liu, Guanzhuo; Liu, Wenjun; Zou, Siyu; Chen, Bofan; Yang, Ruhui; Lin, Fangzhen; Peng, Jie] Nanchang Univ, Clin Med Coll 2, Jiangxi Med Coll, Nanchang, Jiangxi, Peoples R China; [Hao, Liang] Inst Orthoped Jiangxi Prov, Nanchang 330006, Jiangxi, Peoples R China; [Hao, Liang] Jiangxi Prov Key Lab Spine &amp; Spinal Cord Dis, Nanchang 330006, Jiangxi, Peoples R China; [Hao, Liang] Nanchang Univ, Inst Minimally Invas Orthoped, Nanchang 330006, Jiangxi, Peoples R China; [Gao, Yuan] Nanchang Univ, Jiangxi Med Coll, Sch Nursing, Nanchang 330006, Jiangxi, Peoples R China</t>
  </si>
  <si>
    <t>Nanchang University; Nanchang University; Nanchang University; Nanchang University</t>
  </si>
  <si>
    <t>Evaluation of large language models in the clinical management of multiple chronic conditions: A comparative study of DeepSeek-R1 and ChatGPT-o1</t>
  </si>
  <si>
    <t>PUBLIC HEALTH</t>
  </si>
  <si>
    <t>Multiple chronic conditions (MCCs); ChatGPT-o1; DeepSeek-R1; Large language models (LLMs); Open-source model; Proprietary model</t>
  </si>
  <si>
    <t>CARE; AI</t>
  </si>
  <si>
    <t>Hao, Liang/NBX-8636-2025; Zeng, Haimin/OZE-6381-2025; Chen, Bofan/PXX-6020-2026; Yang, Ruhui/QQY-7813-2026</t>
  </si>
  <si>
    <t>Yang, Ruhui/0009-0000-4383-7415; Hao, Liang/0009-0000-7855-3308; Zeng, Haimin/0000-0002-8065-8712</t>
  </si>
  <si>
    <t>W B SAUNDERS CO LTD</t>
  </si>
  <si>
    <t>32 JAMESTOWN RD, LONDON NW1 7BY, ENGLAND</t>
  </si>
  <si>
    <t>0033-3506</t>
  </si>
  <si>
    <t>1476-5616</t>
  </si>
  <si>
    <t>Public Health</t>
  </si>
  <si>
    <t>249</t>
  </si>
  <si>
    <t>106042</t>
  </si>
  <si>
    <t>10.1016/j.puhe.2025.106042</t>
  </si>
  <si>
    <t>http://dx.doi.org/10.1016/j.puhe.2025.106042</t>
  </si>
  <si>
    <t>9ZD6M</t>
  </si>
  <si>
    <t>41223783</t>
  </si>
  <si>
    <t>WOS:001618496600001</t>
  </si>
  <si>
    <t>Altunisik, N; Toplu, SA; Turkmen, D</t>
  </si>
  <si>
    <t>Background: Large language models (LLMs) could accelerate clinical literature searches, but their reliability is compromised by "hallucinations" generating false references. This study compared three general-purpose LLMs using a standardized dermatology literature retrieval prompt for reference accuracy, relevance, and hallucination rates. Methods: A clinical scenario on latent tuberculosis management in psoriasis patients on IL-17/23 inhibitors was defined. To establish a reference standard, references (n=74) from the two most recent and comprehensive systematic reviews on the topic were screened. These two reviews were selected as they represented the most current and complete syntheses of evidence on this clinical question; using their reference lists ensured a focused, expert-validated foundation for evaluating LLM outputs. This process yielded 16 studies directly addressing the scenario. Each LLM (ChatGPT, Gemini, Deepseek-V3.2) was prompted to list 15 recent specific references. The 45 retrieved references were manually validated as: "True and Relevant," "True but Irrelevant/General," or "False/Hallucination." Distributions were compared using Pearson's chi-square test. Results: A significant difference was found between models (p&lt;0.010). ChatGPT listed 80.0% (12/15) correct and relevant references with no hallucinations. Gemini produced 80.0% (12/15) hallucinations, while Deepseek-V3.2 generated 100.0% fictional references. Notably, 4 references ChatGPT found correct were valid articles overlooked in the predefined pool; these were verified as relevant, indicating the reference standard may not have been exhaustive. Conclusion: LLM performance varies considerably with high hallucination risk. Findings highlight caution and independent verification. Future research should test advanced query techniques and hybrid systems integrating LLMs with academic databases.</t>
  </si>
  <si>
    <t>Altunisik, Nihal; Toplu, Sibel Altunisik; Turkmen, Dursun</t>
  </si>
  <si>
    <t>Altunisik, N (corresponding author), Inonu Univ, Fac Med, Dept Dermatol, Malatya, Turkiye.</t>
  </si>
  <si>
    <t>ngold2001@yahoo.com</t>
  </si>
  <si>
    <t>The author(s) reported there is no funding associated with the work featured in this article.</t>
  </si>
  <si>
    <t>[Altunisik, Nihal; Turkmen, Dursun] Inonu Univ, Fac Med, Dept Dermatol, Malatya, Turkiye; [Toplu, Sibel Altunisik] Inonu Univ, Fac Med, Dept Infect Dis &amp; Clin Microbiol, Malatya, Turkiye</t>
  </si>
  <si>
    <t>Inonu University; Inonu University</t>
  </si>
  <si>
    <t>Scenario-based evaluation of large language models for reference accuracy in dermatology: literature retrieval on latent tuberculosis in psoriasis patients on anti-IL-17/23 therapy</t>
  </si>
  <si>
    <t>CUTANEOUS AND OCULAR TOXICOLOGY</t>
  </si>
  <si>
    <t>Large language models; artificial intelligence; dermatology; literature review; hallucinations; psoriasis; latent tuberculosis; ChatGPT; Gemini; Deepseek-V3.2</t>
  </si>
  <si>
    <t>Turkmen, Dursun/ABG-3801-2020; Altunisik, Nihal/ABG-8567-2020; toplu, sibel/ABH-5816-2020</t>
  </si>
  <si>
    <t>1556-9527</t>
  </si>
  <si>
    <t>1556-9535</t>
  </si>
  <si>
    <t>CUTAN OCUL TOXICOL</t>
  </si>
  <si>
    <t>Cutan. Ocul. Toxicol.</t>
  </si>
  <si>
    <t>APR 3 2026</t>
  </si>
  <si>
    <t>145</t>
  </si>
  <si>
    <t>150</t>
  </si>
  <si>
    <t>10.1080/15569527.2026.2656177</t>
  </si>
  <si>
    <t>http://dx.doi.org/10.1080/15569527.2026.2656177</t>
  </si>
  <si>
    <t>Ophthalmology; Toxicology</t>
  </si>
  <si>
    <t>IQ6XM</t>
  </si>
  <si>
    <t>41987670</t>
  </si>
  <si>
    <t>WOS:001742123300001</t>
  </si>
  <si>
    <t>Salbas, A; Buyuktoka, RE</t>
  </si>
  <si>
    <t>Background/Objectives: Multimodal large language models (LLMs) are increasingly used in radiology. However, their ability to recognize fundamental imaging features, including modality, anatomical region, imaging plane, contrast-enhancement status, and particularly specific magnetic resonance imaging (MRI) sequences, remains underexplored. This study aims to evaluate and compare the performance of three advanced multimodal LLMs (ChatGPT-4o, Claude 4 Opus, and Gemini 2.5 Pro) in classifying brain MRI sequences. Methods: A total of 130 brain MRI images from adult patients without pathological findings were used, representing 13 standard MRI series. Models were tested using zero-shot prompts for identifying modality, anatomical region, imaging plane, contrast-enhancement status, and MRI sequence. Accuracy was calculated, and differences among models were analyzed using Cochran's Q test and McNemar test with Bonferroni correction. Results: ChatGPT-4o and Gemini 2.5 Pro achieved 100% accuracy in identifying the imaging plane and 98.46% in identifying contrast-enhancement status. MRI sequence classification accuracy was 97.7% for ChatGPT-4o, 93.1% for Gemini 2.5 Pro, and 73.1% for Claude 4 Opus (p &lt; 0.001). The most frequent misclassifications involved fluid-attenuated inversion recovery (FLAIR) sequences, often misclassified as T1-weighted or diffusion-weighted sequences. Claude 4 Opus showed lower accuracy in susceptibility-weighted imaging (SWI) and apparent diffusion coefficient (ADC) sequences. Gemini 2.5 Pro exhibited occasional hallucinations, including irrelevant clinical details such as "hypoglycemia" and "Susac syndrome." Conclusions: Multimodal LLMs demonstrate high accuracy in basic MRI recognition tasks but vary significantly in specific sequence classification tasks. Hallucinations emphasize caution in clinical use, underlining the need for validation, transparency, and expert oversight.</t>
  </si>
  <si>
    <t>Salbas, Ali; Buyuktoka, Rasit Eren</t>
  </si>
  <si>
    <t>Salbas, A (corresponding author), Izmir Katip Celebi Univ, Ataturk Training &amp; Res Hosp, Dept Radiol, TR-35150 Izmir, Turkiye.</t>
  </si>
  <si>
    <t>rasiterenbuyuktoka@hotmail.com; dralisalbas@gmail.com</t>
  </si>
  <si>
    <t>[Salbas, Ali] Izmir Katip Celebi Univ, Ataturk Training &amp; Res Hosp, Dept Radiol, TR-35150 Izmir, Turkiye; [Buyuktoka, Rasit Eren] Foca State Hosp, Dept Radiol, TR-35680 Izmir, Turkiye</t>
  </si>
  <si>
    <t>Izmir Katip Celebi University; Izmir Ataturk Training &amp; Research Hospital</t>
  </si>
  <si>
    <t>Performance of Large Language Models in Recognizing Brain MRI Sequences: A Comparative Analysis of ChatGPT-4o, Claude 4 Opus, and Gemini 2.5 Pro</t>
  </si>
  <si>
    <t>large language models; magnetic resonance imaging; MRI sequences; hallucination; artificial intelligence; susceptibility-weighted imaging; brain MRI</t>
  </si>
  <si>
    <t>Salbas, Ali/ODM-6417-2025; Büyüktoka, Raşit Eren/HJA-2907-2022</t>
  </si>
  <si>
    <t>Salbas, Ali/0000-0002-6157-6367; Büyüktoka, Raşit Eren/0000-0002-6989-6613</t>
  </si>
  <si>
    <t>JUL 30 2025</t>
  </si>
  <si>
    <t>1919</t>
  </si>
  <si>
    <t>10.3390/diagnostics15151919</t>
  </si>
  <si>
    <t>http://dx.doi.org/10.3390/diagnostics15151919</t>
  </si>
  <si>
    <t>6ED2M</t>
  </si>
  <si>
    <t>40804881</t>
  </si>
  <si>
    <t>WOS:001551194100001</t>
  </si>
  <si>
    <t>Qiu, DC; Wang, QJ; Yan, WL; Yang, SM</t>
  </si>
  <si>
    <t>Background After percutaneous coronary intervention (PCI), patients with acute coronary syndrome (ACS) require long-term medication, risk-factor control, rehabilitation, and symptom recognition. Large language models (LLMs) are increasingly used for health consultation, but their quality, safety, and stability in post-PCI discharge education remain unclear.Methods Twenty-five standardized Chinese discharge questions were submitted to ChatGPT 5.5 Instant and DeepSeek V3. Each model generated three responses per question (150 total). Three cardiovascular experts rated the original Chinese responses across five Likert domains and two binary safety judgments. Comparisons used exact paired permutation tests, question-clustered bootstrap confidence intervals, and Holm adjustment for six quality-score comparisons.Results Overall, 149/150 responses (99.3%; 95% CI, 96.3%-100.0%) met the primary safety criterion: 75/75 for ChatGPT (100.0%; 95% CI, 95.2%-100.0%) and 74/75 for DeepSeek (98.7%; 95% CI, 92.8%-100.0%). The paired risk difference was 1.3 percentage points (95% CI, -1.3 to 2.7; P=1.000). One DeepSeek response contained both a major error and a potentially harmful recommendation. After pairing and Holm adjustment, ChatGPT scored higher in accuracy, guideline concordance, completeness, and total quality (adjusted P=0.015, 0.015, 0.019, and 0.005). Five-domain satisfactory response rates did not differ significantly (100.0% vs 90.7%; P=0.125).Conclusions Both models produced few expert-adjudicated safety flags in this limited question set. ChatGPT received higher ratings in selected quality domains, but sparse safety events and restricted question coverage preclude conclusions of equivalence or clinical safety. LLM-generated discharge information should supplement, not replace, individualized clinical advice.</t>
  </si>
  <si>
    <t>Qiu, Dachang; Wang, Qingjiang; Yan, Wenlong; Yang, Sumin</t>
  </si>
  <si>
    <t>Yang, SM (corresponding author), Qingdao Univ, Affiliated Hosp, Dept Cardiovasc Surg, 16 Jiangsu Rd, Qingdao 266001, Shandong, Peoples R China.</t>
  </si>
  <si>
    <t>yangsumin@qdu.edu.cn</t>
  </si>
  <si>
    <t>[Qiu, Dachang; Wang, Qingjiang; Yan, Wenlong; Yang, Sumin] Qingdao Univ, Affiliated Hosp, Dept Cardiovasc Surg, 16 Jiangsu Rd, Qingdao 266001, Shandong, Peoples R China</t>
  </si>
  <si>
    <t>Qingdao University</t>
  </si>
  <si>
    <t>Evaluation and comparison of large language model responses to common discharge questions from patients with acute coronary syndrome after percutaneous coronary intervention: An expert-rated comparative study</t>
  </si>
  <si>
    <t>DIGITAL HEALTH</t>
  </si>
  <si>
    <t>acute coronary syndrome; percutaneous coronary intervention; large language models; ChatGPT; DeepSeek; patient education; artificial intelligence; safety</t>
  </si>
  <si>
    <t>2055-2076</t>
  </si>
  <si>
    <t>DIGIT HEALTH</t>
  </si>
  <si>
    <t>Digit. Health</t>
  </si>
  <si>
    <t>20552076261481380</t>
  </si>
  <si>
    <t>10.1177/20552076261481380</t>
  </si>
  <si>
    <t>http://dx.doi.org/10.1177/20552076261481380</t>
  </si>
  <si>
    <t>Health Care Sciences &amp; Services; Health Policy &amp; Services; Public, Environmental &amp; Occupational Health; Medical Informatics</t>
  </si>
  <si>
    <t>Health Care Sciences &amp; Services; Public, Environmental &amp; Occupational Health; Medical Informatics</t>
  </si>
  <si>
    <t>MX5GO</t>
  </si>
  <si>
    <t>WOS:001853238100001</t>
  </si>
  <si>
    <t>Sun, YY; Huang, CM; Kang, HY; Wu, KM; Jin, ZY; Chen, CM; Liao, ML; Ou, WM; Wang, B; Chen, X; Zhang, GM</t>
  </si>
  <si>
    <t>Background: Standard echocardiography reports use complex terminology, limiting patient comprehension and exacerbating preconsultation anxiety. Large language models (LLMs) can transform technical data into patient-friendly narratives by incorporating longitudinal comparisons with prior examinations. Objective: This study aims to develop an LLM-based patient-friendly echocardiography reporting system and evaluate its professional safety, patient comprehension, and impact on short-term anxiety. Methods: This study consisted of 2 stages. In the retrospective development stage, 60 patients were included. Clinical diagnosis, hospitalization records, and serial echocardiographic data were integrated as model inputs using DeepSeek-V3.2. Generated reports followed a standardized 4-module structure. Report quality was independently evaluated by 2 clinicians and an external LLM (Kimi 2.5, Moonshot AI) across 4 domains: data accuracy, information completeness, appropriateness of interpretation, and reasonableness of recommendations. In the prospective clinical evaluation stage, 100 patients undergoing echocardiography and 85 family members were enrolled. Participants received both conventional and LLM-generated patient-friendly reports. A 5-point Likert scale assessed helpfulness in understanding results, effectiveness in addressing concerns, helpfulness in improving disease-related knowledge, and anxiety relief. Anxiety was measured using the STAI-6 (6-item short-form State-Trait Anxiety Inventory) at 3 time points: after echocardiography, after conventional report release, and after reading the patient-friendly report. Results: All 60 reports in the retrospective stage were successfully generated. Professional evaluation showed high overall quality scores from both clinicians and the external LLM, with no significant difference between evaluators (mean total scores 18.15, SD 1.36 vs 18.28, SD 1.26; P=.55). One hallucination event was identified. In the prospective stage, all 100 patients received patient-friendly reports. Both patients and family members rated the reports highly, with no significant between-group difference in total scores (17.61, SD 1.60 vs 17.62, SD 1.03; P=.95). Subgroup analyses showed greater perceived benefit among older patients and outpatients (both P&lt;.001); these subgroup findings should be considered exploratory given the lack of adjustment for multiple comparisons. Patients with chronic heart failure, reduced left ventricular ejection fraction (&lt;= 40%), and left ventricular enlargement (&gt;55 mm) reported higher scores for addressing concerns (all P&lt;.001). Anxiety scores increased significantly after conventional report release and decreased significantly after reading the patient-friendly report (both P&lt;.001). Older patients (&gt;60 y) and outpatients showed significantly higher anxiety change rates than their counterparts (both P&lt;.001). The reduction in anxiety was positively correlated with subjective anxiety relief ratings (r=0.531; P&lt;.001). Conclusions: The LLM-based patient-friendly echocardiography reporting system with longitudinal comparison demonstrated good feasibility and promising preliminary clinical usefulness. While maintaining high professional quality, it was associated with improved patient understanding of echocardiographic findings and was associated with reduced short-term anxiety, particularly among older adults and outpatients. Causality cannot be inferred from this nonrandomized sequential design, and longer-term outcomes remain to be evaluated.</t>
  </si>
  <si>
    <t>Sun, Yuanyuan; Huang, Chengmin; Kang, Huiyuan; Wu, Kaimin; Jin, Zhiyuan; Chen, Caimei; Liao, Mulan; Ou, Weimei; Wang, Bin; Chen, Xu; Zhang, Guoming</t>
  </si>
  <si>
    <t>Zhang, GM (corresponding author), Xiamen Univ, Xiamen Chest Pain Qual Control Ctr, Natl Clin Res Ctr Cardiovasc Dis,Sch Med,Fujian Br, 2999 Jinshan Rd Xiamen Cardiovasc Hosp,Emergency D, Xiamen, Fujian 361009, Peoples R China.</t>
  </si>
  <si>
    <t>guomingheart@xmu.edu.cn</t>
  </si>
  <si>
    <t>Natural Science Foundation of Fujian Province [2023J011676]; Natural Science Foundation of Xiamen [3502Z202371050]; Xiamen Medical and Health Guidance Project [3502Z20224ZD1180]</t>
  </si>
  <si>
    <t>Natural Science Foundation of Fujian Province (Natural Science Foundation of Fujian Province); Natural Science Foundation of Xiamen; Xiamen Medical and Health Guidance Project</t>
  </si>
  <si>
    <t>This study was supported by Natural Science Foundation of Fujian Province (2023J011676), Natural Science Foundation of Xiamen (3502Z202371050), and Xiamen Medical and Health Guidance Project (3502Z20224ZD1180). The funders had no role in study design, data collection, analysis, interpretation, or manuscript writing.</t>
  </si>
  <si>
    <t>[Sun, Yuanyuan; Chen, Caimei; Liao, Mulan; Chen, Xu] Xiamen Univ, Xiamen Cardiovasc Hosp, Dept Ultrasound, Xiamen, Fujian, Peoples R China; [Huang, Chengmin; Kang, Huiyuan; Wu, Kaimin; Jin, Zhiyuan; Ou, Weimei] Xiamen Univ, Xiamen Cardiovasc Hosp, Emergency Dept, Xiamen, Fujian, Peoples R China; [Wang, Bin] Xiamen Univ, Xiamen Cardiovasc Hosp, Xiamen, Fujian, Peoples R China; [Zhang, Guoming] Xiamen Univ, Xiamen Chest Pain Qual Control Ctr, Natl Clin Res Ctr Cardiovasc Dis,Sch Med,Fujian Br, 2999 Jinshan Rd Xiamen Cardiovasc Hosp,Emergency D, Xiamen, Fujian 361009, Peoples R China</t>
  </si>
  <si>
    <t>Xiamen University; Xiamen University; Xiamen University; Xiamen University</t>
  </si>
  <si>
    <t>Development and Clinical Evaluation of a Large Language Model-Based System for Generating Patient-Friendly Echocardiography Reports: Two-Stage Retrospective Validation and Prospective Survey Study</t>
  </si>
  <si>
    <t>Jin, Zhiyuan/0000-0002-3208-6692</t>
  </si>
  <si>
    <t>JUL 16 2026</t>
  </si>
  <si>
    <t>e97136</t>
  </si>
  <si>
    <t>10.2196/97136</t>
  </si>
  <si>
    <t>http://dx.doi.org/10.2196/97136</t>
  </si>
  <si>
    <t>LN6FV</t>
  </si>
  <si>
    <t>42462074</t>
  </si>
  <si>
    <t>WOS:001828862300003</t>
  </si>
  <si>
    <t>Ada, O; Dagli, U; Bilen, E; Bayram, E; Inan, AH</t>
  </si>
  <si>
    <t>Objective: To determine whether presenting matched obstetric and gynecologic triage scenarios as patientlanguage prompts rather than clinician-language prompts affects expert-rated clinical confidence and the clinical safety of LLM-generated advice.&lt;br /&gt; Methods: Thirty obstetric and gynecologic scenarios were presented in matched clinician-language and patientlanguage Turkish formats to four LLMs. Five specialists independently evaluated 240 responses, generating 1,200 ratings. The primary outcome was the Global Clinical Confidence Score (GCCS; 0-2); five secondary outcomes were rated on 1-5 scales. Associations were examined using ordinal logistic generalized estimating equations adjusted for model and evaluator. Results: Clinically reliable responses (GCCS = 2) accounted for 89.3% of clinician-language and 91.3% of patientlanguage ratings. Patient-language phrasing was not significantly associated with overall GCCS (cumulative odds ratio 0.78, 95% confidence interval 0.57-1.06; p = 0.115), and the language-by-model interaction was not significant (p = 0.422). Patient-language prompts were associated with fewer GCCS = 0 ratings in a binary generalized estimating equations analysis (odds ratio 0.66, 95% confidence interval 0.46-0.96; p = 0.031), although the exact paired McNemar test was not significant (p = 0.096). After false-discovery-rate correction, patient-language prompts had higher evaluator-level triage appropriateness and clinical applicability scores (both adjusted p = 0.028).&lt;br /&gt; Conclusion: No significant difference in overall expert-rated clinical confidence was detected between patientlanguage and clinician-language prompts.</t>
  </si>
  <si>
    <t>Ada, Onur; Dagli, Ugurcan; Bilen, Egehan; Bayram, Emre; Inan, Abdurrahman Hamdi</t>
  </si>
  <si>
    <t>Ada, O (corresponding author), Izmir Tepecik Training &amp; Res Hosp, Dept Obstet &amp; Gynecol, TR-35100 Izmir, Turkiye.</t>
  </si>
  <si>
    <t>adaonurada@gmail.com</t>
  </si>
  <si>
    <t>[Ada, Onur; Dagli, Ugurcan; Inan, Abdurrahman Hamdi] Izmir Tepecik Training &amp; Res Hosp, Dept Obstet &amp; Gynecol, TR-35100 Izmir, Turkiye; [Bilen, Egehan] Buca Seyfi Demirsoy Training &amp; Res Hosp, Dept Obstet &amp; Gynecol, TR-35390 Izmir, Turkiye; [Bayram, Emre] Izmir City Hosp, Dept Obstet &amp; Gynecol, TR-35540 Izmir, Turkiye</t>
  </si>
  <si>
    <t>Izmir Tepecik Training &amp; Research Hospital</t>
  </si>
  <si>
    <t>Clinical safety of large language model responses to matched patient-language and clinician-language Turkish obstetric and gynecologic triage prompts: a model-blinded paired-scenario study</t>
  </si>
  <si>
    <t>EUROPEAN JOURNAL OF OBSTETRICS &amp; GYNECOLOGY AND REPRODUCTIVE BIOLOGY</t>
  </si>
  <si>
    <t>Artificial intelligence; Large language models; Obstetrics and gynecology; Clinical triage; Patient communication</t>
  </si>
  <si>
    <t>0301-2115</t>
  </si>
  <si>
    <t>1872-7654</t>
  </si>
  <si>
    <t>EUR J OBSTET GYN R B</t>
  </si>
  <si>
    <t>Eur. J. Obstet. Gynecol. Reprod. Biol.</t>
  </si>
  <si>
    <t>326</t>
  </si>
  <si>
    <t>115351</t>
  </si>
  <si>
    <t>10.1016/j.ejogrb.2026.115351</t>
  </si>
  <si>
    <t>http://dx.doi.org/10.1016/j.ejogrb.2026.115351</t>
  </si>
  <si>
    <t>Obstetrics &amp; Gynecology; Reproductive Biology</t>
  </si>
  <si>
    <t>MJ6XR</t>
  </si>
  <si>
    <t>42561577</t>
  </si>
  <si>
    <t>WOS:001843849000001</t>
  </si>
  <si>
    <t>Park, J; Sim, WS; Yu, JY; Park, YR; Lee, YH</t>
  </si>
  <si>
    <t>Radiology reports are essential for medical decision-making, providing crucial data for diagnosing diseases, devising treatment plans, and monitoring disease progression. While large language models (LLMs) have shown promise in processing free-text reports, research on effective prompting techniques for radiologic applications remains limited. To evaluate the effectiveness of LLM-driven classification based on radiology reports in terms of tumor response category (TRC), and to optimize the model through a comparison of four different prompt engineering techniques for effectively performing this classification task in clinical applications, we included 3062 whole-spine contrast-enhanced magnetic resonance imaging (MRI) radiology reports for prompt engineering and validation. TRCs were labeled by two radiologists based on criteria modified from the Response Evaluation Criteria in Solid Tumors (RECIST) guidelines. The Llama3 instruct model was used to classify TRCs in this study through four different prompts: General, In-Context Learning (ICL), Chain-of-Thought (CoT), and ICL with CoT. AUROC, accuracy, precision, recall, and F1-score were calculated against each prompt and model (8B, 70B) with the test report dataset. The average AUROC for ICL (0.96 internally, 0.93 externally) and ICL with CoT prompts (0.97 internally, 0.94 externally) outperformed other prompts. Error increased with prompt complexity, including 0.8% incomplete sentence errors and 11.3% probability-classification inconsistencies. This study demonstrates that context-aware LLM prompts substantially improved the efficiency and effectiveness of classifying TRCs from radiology reports, despite potential intrinsic hallucinations. While further improvements are required for real-world application, our findings suggest that context-aware prompts have significant potential for segmenting complex radiology reports and enhancing oncology clinical workflows.</t>
  </si>
  <si>
    <t>Park, Jiwoo; Sim, Woo Seob; Yu, Jae Yong; Park, Yu Rang; Lee, Young Han</t>
  </si>
  <si>
    <t>Lee, YH (corresponding author), Yonsei Univ, Ctr Clin Imaging Data Sci CCIDS, Res Inst Radiol Sci, Dept Radiol,Coll Med, 50-1 Yonsei Ro, Seoul 03722, South Korea.; Park, YR (corresponding author), Yonsei Univ, Coll Med, Dept Biomed Syst Informat, 50-1 Yonsei Ro, Seoul 03722, South Korea.; Park, YR; Lee, YH (corresponding author), Yonsei Univ, Inst Innovat Digital Healthcare, Seoul, South Korea.</t>
  </si>
  <si>
    <t>yurangpark@yuhs.ac; sando@yuhs.ac</t>
  </si>
  <si>
    <t>NRF grant funded by the Korean government; MCU</t>
  </si>
  <si>
    <t>The authors would like to thank the MCU (Medical informatics Collaborative Unit) members of Yonsei University College of Medicine for their assistance in data analysis.</t>
  </si>
  <si>
    <t>[Park, Jiwoo; Lee, Young Han] Yonsei Univ, Ctr Clin Imaging Data Sci CCIDS, Res Inst Radiol Sci, Dept Radiol,Coll Med, 50-1 Yonsei Ro, Seoul 03722, South Korea; [Sim, Woo Seob; Yu, Jae Yong; Park, Yu Rang] Yonsei Univ, Coll Med, Dept Biomed Syst Informat, 50-1 Yonsei Ro, Seoul 03722, South Korea; [Park, Yu Rang; Lee, Young Han] Yonsei Univ, Inst Innovat Digital Healthcare, Seoul, South Korea</t>
  </si>
  <si>
    <t>Yonsei University; Yonsei University Health System; Yonsei University; Yonsei University Health System; Yonsei University</t>
  </si>
  <si>
    <t>Evaluation of Context-Aware Prompting Techniques for Classification of Tumor Response Categories in Radiology Reports Using Large Language Model</t>
  </si>
  <si>
    <t>Large language model; Natural language processing; Radiologic report; Artificial intelligence; Disease progression</t>
  </si>
  <si>
    <t>Park, Yu Rang/0000-0002-4210-2094; Lee, Young Han/0000-0002-5602-391X</t>
  </si>
  <si>
    <t>2782</t>
  </si>
  <si>
    <t>2793</t>
  </si>
  <si>
    <t>10.1007/s10278-025-01685-2</t>
  </si>
  <si>
    <t>http://dx.doi.org/10.1007/s10278-025-01685-2</t>
  </si>
  <si>
    <t>IX6KX</t>
  </si>
  <si>
    <t>41023521</t>
  </si>
  <si>
    <t>WOS:001583096600001</t>
  </si>
  <si>
    <t>Green Accepted</t>
  </si>
  <si>
    <t>Eminovic, S; Lindholz, M; Dell'Orco, A; Meddeb, A; Baumgärtner, GL; Schulze-Weddige, S; Siebert, E; Wattjes, MP; Penzkofer, T; Nawabi, J</t>
  </si>
  <si>
    <t>Purpose This study evaluates seven open-source Large Language Models (LLMs) in summarizing radiology reports of acute ischemic stroke patients treated with mechanical thrombectomy and predicting angiography-based outcome measures relevant to post-thrombectomy reperfusion. Materials and methods 2000 mechanical thrombectomy reports (findings and summarizing impression section as gold standard) were split into training set (N = 1900) for model fine-tuning and test set (N = 100). A two-step evaluation was performed: (1) Quantitative analyses of seven LLMs with metrics ROUGE-1, -2, -L, METEOR, BERTScore (F1) and BLEU comparing LLM-generated summaries against gold-standard impressions. (2) Qualitative manual evaluation of the four best-performing models by two radiologists, assessing correctness and completeness across key parameters: outcome-relevant scores, vessel information, occlusion side, number of passes, relevant additional information, hallucinations, and grammar quality. Statistical significance was assessed via a two-tailed, four-sample chi(2) test, followed by post hoc pairwise chi(2) comparisons. Results BioMistral-7b scored highest across most quantitative metrics (ROUGE-1: 0.47, ROUGE-2: 0.30, ROUGE-L: 0.43, METEOR: 0.46, BERTScore (F1): 0.82). Manual evaluation revealed gemma-2-9b most frequently documented pass counts (56 out of 100 cases (56%); p &lt; 0.02 vs. Llama-3.1-8b/mistral-7b-instruct), while mistral-7b-instruct described them most often correctly (29 out of 38 mentioned passes (76.32%); p &lt; 0.02 vs. BioMistral-7b and p &lt; 0.01 vs. gemma-2-9b). All four manually evaluated LLMs performed moderately well in predicting "Thrombolysis-In-Cerebral-Ischemia (TICI)" Score (correctness rate ranging from 66 to 71%; p = 0.89). Conclusion All four manually evaluated LLMs effectively summarized thrombectomy reports and demonstrated moderate accuracy predicting TICI scores. Their integration into radiology workflows could enhance efficiency, warranting further clinical validation.</t>
  </si>
  <si>
    <t>Eminovic, Semil; Lindholz, Maximilian; Dell'Orco, Andrea; Meddeb, Aymen; Baumgartner, Georg Lukas; Schulze-Weddige, Sophia; Siebert, Eberhard; Wattjes, Mike P.; Penzkofer, Tobias; Nawabi, Jawed</t>
  </si>
  <si>
    <t>Eminovic, S (corresponding author), Charite Univ Med Berlin, Dept Radiol, Berlin, Germany.; Eminovic, S (corresponding author), Humboldt Univ, Berlin, Germany.; Eminovic, S (corresponding author), Free Univ Berlin, Berlin Inst Hlth, Berlin, Germany.</t>
  </si>
  <si>
    <t>Berlin Institute of Health (Advanced Clinician Scientist Grant, Platform Grant), Ministry of Education and Research (BMBF) [01KX2021, 01KX2121, 01KX2524, 68GX21001A, 01ZZ2315D]; German Research Foundation (DFG) [SFB 1340/2]; European Union [952172]; European Union's Horizon Europe programme [101079894]</t>
  </si>
  <si>
    <t>Berlin Institute of Health (Advanced Clinician Scientist Grant, Platform Grant), Ministry of Education and Research (BMBF) (Federal Ministry of Education &amp; Research (BMBF)); German Research Foundation (DFG) (German Research Foundation (DFG)); European Union (European Union (EU)); European Union's Horizon Europe programme</t>
  </si>
  <si>
    <t>T.P. receives funding from Berlin Institute of Health (Advanced Clinician Scientist Grant, Platform Grant), Ministry of Education and Research (BMBF, 01KX2021 (RACOON), 01KX2121 ("NUM 2.0", RACOON), 01KX2524 (NUM 3.0), 68GX21001A, 01ZZ2315D), German Research Foundation (DFG, SFB 1340/2), European Union (H2020, CHAIMELEON: 952172, DIGITAL, EUCAIM:101100633). J.N. receives funding from the European Union's Horizon Europe programme (COMFORT, 101079894). Open Access funding enabled and organized by Projekt DEAL.</t>
  </si>
  <si>
    <t>[Eminovic, Semil; Lindholz, Maximilian; Baumgartner, Georg Lukas; Schulze-Weddige, Sophia; Penzkofer, Tobias] Charite Univ Med Berlin, Dept Radiol, Berlin, Germany; [Eminovic, Semil; Lindholz, Maximilian; Dell'Orco, Andrea; Meddeb, Aymen; Baumgartner, Georg Lukas; Schulze-Weddige, Sophia; Siebert, Eberhard; Wattjes, Mike P.; Penzkofer, Tobias; Nawabi, Jawed] Humboldt Univ, Berlin, Germany; [Eminovic, Semil; Lindholz, Maximilian; Dell'Orco, Andrea; Meddeb, Aymen; Baumgartner, Georg Lukas; Schulze-Weddige, Sophia; Siebert, Eberhard; Wattjes, Mike P.; Penzkofer, Tobias; Nawabi, Jawed] Free Univ Berlin, Berlin Inst Hlth, Berlin, Germany; [Lindholz, Maximilian; Meddeb, Aymen; Penzkofer, Tobias; Nawabi, Jawed] Charite Univ Med Berlin, Berlin Inst Hlth, Berlin, Germany; [Dell'Orco, Andrea; Meddeb, Aymen; Siebert, Eberhard; Wattjes, Mike P.; Nawabi, Jawed] Charite Univ Med Berlin, Dept Neuroradiol, Berlin, Germany</t>
  </si>
  <si>
    <t>Free University of Berlin; Humboldt University of Berlin; Charite Universitatsmedizin Berlin; Humboldt University of Berlin; Free University of Berlin; Humboldt University of Berlin; Charite Universitatsmedizin Berlin; Berlin Institute of Health; Free University of Berlin; Humboldt University of Berlin; Charite Universitatsmedizin Berlin; Berlin Institute of Health; Free University of Berlin; Humboldt University of Berlin; Charite Universitatsmedizin Berlin</t>
  </si>
  <si>
    <t>Comparing performance of seven fine-tuned open-source large language models in summarizing and predicting outcome-relevant information from mechanical thrombectomy reports in patients with acute ischemic stroke</t>
  </si>
  <si>
    <t>Large language models; Stroke; Thrombectomy</t>
  </si>
  <si>
    <t>NATIONAL TRENDS; STANDARDS</t>
  </si>
  <si>
    <t>Baumgaertner, Georg/KFS-4290-2024; Dell'Orco, Andrea/PKG-3267-2026; Penzkofer, Tobias/AAW-8839-2020</t>
  </si>
  <si>
    <t>Dell'Orco, Andrea/0000-0002-3964-8360; Lindholz, Maximilian/0000-0003-3690-1161; Meddeb, Aymen/0000-0001-6537-9419; Nawabi, Jawed/0000-0002-1137-0643; Penzkofer, Tobias/0000-0001-9591-8575; Siebert, Eberhard/0000-0001-7395-6546; Eminovic, Semil/0009-0001-1871-2976</t>
  </si>
  <si>
    <t>3661</t>
  </si>
  <si>
    <t>3675</t>
  </si>
  <si>
    <t>10.1007/s00330-025-12122-x</t>
  </si>
  <si>
    <t>http://dx.doi.org/10.1007/s00330-025-12122-x</t>
  </si>
  <si>
    <t>GQ6HF</t>
  </si>
  <si>
    <t>41249547</t>
  </si>
  <si>
    <t>WOS:001618134800001</t>
  </si>
  <si>
    <t>Suenghataiphorn, T; Boonpiraks, K; Prasitsumrit, V; Kulthamrongsri, N; Danpanichkul, P</t>
  </si>
  <si>
    <t>Background: Drug-induced liver injury (DILI) presents a significant diagnostic challenge, often leading to delayed detection. Unstructured clinical notes contain comprehensive medication data vital for DILI surveillance but are difficult to analyze systematically. Large language models (LLMs) show promise for automated extraction but require real-world clinical data validation to assess feasibility for clinical applications like DILI surveillance. Methods: We retrospectively validated an LLM system on 100 randomly sampled Medical Information Mart for Intensive Care IV (MIMIC-IV) discharge summaries. Gold standard unique medication lists were derived via manual annotation and manual deduplication based on normalized drug names. LLM outputs underwent identical deduplication. Performance was assessed using precision, recall, and F1-score comparing deduplicated lists. MIMIC-IV data use agreement (DUA) compliance was ensured. Results: Comparison yielded a precision of 0.85, recall of 1.00, and an F1-score of 0.92 for unique medication identification. The 174 false positives resulted from parsing or normalization errors; no medication hallucinations occurred. A subsequent DILI database lookup failed for approximately 6.2% of correctly identified unique medications, evaluated as a separate feasibility measure. Conclusions: The LLM demonstrates high accuracy and perfect recall for unique medication extraction and identification from complex clinical notes, establishing technical feasibility. This represents a feasible and possible integration of LLM towards developing automated tools for enhanced DILI surveillance and improved patient safety.</t>
  </si>
  <si>
    <t>Suenghataiphorn, Thanathip; Boonpiraks, Kanachai; Prasitsumrit, Vitchapong; Kulthamrongsri, Narathorn; Danpanichkul, Pojsakorn</t>
  </si>
  <si>
    <t>Suenghataiphorn, T (corresponding author), Griffin Hosp, Dept Internal Med, Derby 06418, CT USA.</t>
  </si>
  <si>
    <t>Thanathip.sue@gmail.com</t>
  </si>
  <si>
    <t>[Suenghataiphorn, Thanathip] Griffin Hosp, Dept Internal Med, Derby 06418, CT USA; [Boonpiraks, Kanachai] Univ Kansas Med Ctr, Kansas City, KS USA; [Prasitsumrit, Vitchapong; Danpanichkul, Pojsakorn] Texas Tech Univ, Hlth Sci Ctr, Dept Internal Med, Lubbock, TX USA; [Kulthamrongsri, Narathorn] Univ Hawaii, Honolulu, HI USA</t>
  </si>
  <si>
    <t>University of Kansas; University of Kansas Medical Center; Texas Tech University System; Texas Tech University; Texas Tech University Health Sciences Center; University of Hawaii System</t>
  </si>
  <si>
    <t>Enabling Drug-Induced Liver Injury Surveillance Through Automated Medication Extraction From Clinical Notes: A Medical Information Mart for Intensive Care IV Real-World Large Language Models Validation Study</t>
  </si>
  <si>
    <t>GASTROENTEROLOGY RESEARCH</t>
  </si>
  <si>
    <t>Drug-induced liver injury; Artificial intelligence; Large language model; Machine learning</t>
  </si>
  <si>
    <t>Danpanichkul, Pojsakorn/JDM-3289-2023; Suenghataiphorn, Thanathip/LVR-1671-2024</t>
  </si>
  <si>
    <t>Suenghataiphorn, Thanathip/0000-0001-7811-7960</t>
  </si>
  <si>
    <t>ELMER PRESS INC</t>
  </si>
  <si>
    <t>Ontario</t>
  </si>
  <si>
    <t>7030 Woodbine Avenue, Suite 500, Ontario, Markham, CANADA</t>
  </si>
  <si>
    <t>1918-2805</t>
  </si>
  <si>
    <t>1918-2813</t>
  </si>
  <si>
    <t>GASTROENTEROL RES</t>
  </si>
  <si>
    <t>Gasteroenterol. Res.</t>
  </si>
  <si>
    <t>253</t>
  </si>
  <si>
    <t>10.14740/gr2062</t>
  </si>
  <si>
    <t>http://dx.doi.org/10.14740/gr2062</t>
  </si>
  <si>
    <t>8TZ9Q</t>
  </si>
  <si>
    <t>41211069</t>
  </si>
  <si>
    <t>WOS:001597309000004</t>
  </si>
  <si>
    <t>Franc, JM; Med, DS; Hertelendy, AJ; Cheng, L; Hata, R; Verde, M</t>
  </si>
  <si>
    <t>Background: The release of ChatGPT (OpenAI) in November 2022 drastically reduced the barrier to using artificial intelligence by allowing a simple web-based text interface to a large language model (LLM). One use case where ChatGPT could be useful is in triaging patients at the site of a disaster using the Simple Triage and Rapid Treatment (START) protocol. However, LLMs experience several common errors including hallucinations (also called confabulations) and prompt dependency. Objective: This study addresses the research problem: "Can ChatGPT adequately triage simulated disaster patients using the START protocol?" by measuring three outcomes: repeatability, reproducibility, and accuracy. Methods: Nine prompts were developed by 5 disaster medicine physicians. A Python script queried ChatGPT Version 4 for each prompt combined with 391 validated simulated patient vignettes. Ten repetitions of each combination were performed for a total of 35,190 simulated triages. A reference standard START triage code for each simulated case was assigned by 2 disaster medicine specialists (JMF and MV), with a third specialist (LC) added if the first two did not agree. Results were evaluated using a gage repeatability and reproducibility study (gage R and R). Repeatability was defined as variation due to repeated use of the same prompt. Reproducibility was defined as variation due to the use of different prompts on the same patient vignette. Accuracy was defined as agreement with the reference standard. Results: Although 35,102 (99.7%) queries returned a valid START score, there was considerable variability. Repeatability (use of the same prompt repeatedly) was 14% of the overall variation. Reproducibility (use of different prompts) was 4.1% of the overall variation. The accuracy of ChatGPT for START was 63.9% with a 32.9% overtriage rate and a 3.1% undertriage rate. Accuracy varied by prompt with a maximum of 71.8% and a minimum of 46.7%. Conclusions: This study indicates that ChatGPT version 4 is insufficient to triage simulated disaster patients via the START protocol. It demonstrated suboptimal repeatability and reproducibility. The overall accuracy of triage was only 63.9%. Health care professionals are advised to exercise caution while using commercial LLMs for vital medical determinations, given that these tools may commonly produce inaccurate data, colloquially referred to as hallucinations or confabulations. Artificial intelligence-guided tools should undergo rigorous statistical evaluation-using methods such as gage R and R-before implementation into clinical settings.</t>
  </si>
  <si>
    <t>Franc, Jeffrey Micheal; Med, Dip Sport; Hertelendy, Attila Julius; Cheng, Lenard; Hata, Ryan; Verde, Manuela</t>
  </si>
  <si>
    <t>Franc, JM (corresponding author), Univ Alberta, Dept Emergency Med, 736c Univ Terrace,8203-112 St NW, Edmonton, AB T6R2Z6, Canada.</t>
  </si>
  <si>
    <t>jeffrey.franc@ualberta.ca</t>
  </si>
  <si>
    <t>[Franc, Jeffrey Micheal] Univ Alberta, Dept Emergency Med, 736c Univ Terrace,8203-112 St NW, Edmonton, AB T6R2Z6, Canada; [Franc, Jeffrey Micheal; Verde, Manuela] Univ Piemonte Orientale, CRIMEDIM Ctr Res &amp; Training Disaster Med, Humanitarian Aid &amp; Global Hlth, Novara, Italy; [Hertelendy, Attila Julius] Florida Int Univ, Coll Business, Dept Informat Syst &amp; Business Analyt, Miami, FL USA; [Hertelendy, Attila Julius] Harvard Med Sch, Beth Isreal Deaconess Med Ctr, Dept Emergency Med, Teaching Hosp, Boston, MA USA; [Cheng, Lenard] Natl Univ Hlth Syst, Natl Univ Hosp, Emergency Med Dept, Singapore, Singapore; [Hata, Ryan] Indiana Univ Sch Med, Dept Emergency Med, Indianapolis, IN USA</t>
  </si>
  <si>
    <t>University of Alberta; University of Eastern Piedmont Amedeo Avogadro; State University System of Florida; Florida International University; Harvard University; Harvard Medical School; Harvard University Medical Affiliates; Beth Israel Deaconess Medical Center; National University of Singapore; Indiana University System; Indiana University Bloomington</t>
  </si>
  <si>
    <t>Accuracy of a Commercial Large Language Model (ChatGPT) toPerform Disaster Triage of Simulated Patients Using the SimpleTriage and Rapid Treatment (START) Protocol:Gage Repeatabilityand Reproducibility Study</t>
  </si>
  <si>
    <t>disaster medicine; large language models; triage; disaster; emergency; disasters; emergencies; LLM; LLMs; GPT; ChatGPT; language model; language models; NLP; natural language processing; artificial intelligence; repeatability; reproducibility; accuracy;accurate;; reproducible; repeatable</t>
  </si>
  <si>
    <t>Franc, Jeffrey/JAC-0345-2023; Verde, Manuela/GON-4555-2022</t>
  </si>
  <si>
    <t>Franc, Jeffrey/0000-0002-2421-3479; Cheng, Lenard/0000-0002-1588-123X; Verde, Manuela/0000-0003-0476-1723; Hertelendy, Attila/0000-0001-6174-0289</t>
  </si>
  <si>
    <t>SEP 30 2024</t>
  </si>
  <si>
    <t>e55648</t>
  </si>
  <si>
    <t>10.2196/55648</t>
  </si>
  <si>
    <t>http://dx.doi.org/10.2196/55648</t>
  </si>
  <si>
    <t>J1P4A</t>
  </si>
  <si>
    <t>39348189</t>
  </si>
  <si>
    <t>WOS:001334857400004</t>
  </si>
  <si>
    <t>Schwieger, A; Angst, K; de Bardeci, M; Burrer, A; Cathomas, F; Ferrea, S; Grätz, F; Knorr, M; Kronenberg, G; Spiller, T; Troi, D; Seifritz, E; Weber, S; Olbrich, S</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</si>
  <si>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t>
  </si>
  <si>
    <t>Schwieger, Arne; Angst, Katrin; de Bardeci, Mateo; Burrer, Achim; Cathomas, Flurin; Ferrea, Stefano; Gratz, Franziska; Knorr, Marius; Kronenberg, Golo; Spiller, Tobias; Troi, David; Seifritz, Erich; Weber, Samantha; Olbrich, Sebastian</t>
  </si>
  <si>
    <t>Schwieger, A (corresponding author), Psychiat Univ Hosp Zurich PUK, Ctr Depress Anxiety Disorders &amp; Psychotherapy, Lenggstr 31, CH-8008 Zurich, Switzerland.</t>
  </si>
  <si>
    <t>arne.schwieger@uzh.ch</t>
  </si>
  <si>
    <t>[Schwieger, Arne; de Bardeci, Mateo; Cathomas, Flurin; Ferrea, Stefano; Kronenberg, Golo; Seifritz, Erich; Weber, Samantha; Olbrich, Sebastian] Psychiat Univ Hosp Zurich PUK, Ctr Depress Anxiety Disorders &amp; Psychotherapy, Lenggstr 31, CH-8008 Zurich, Switzerland; [Angst, Katrin; Burrer, Achim; Gratz, Franziska; Knorr, Marius; Spiller, Tobias; Troi, David; Seifritz, Erich] Psychiat Univ Hosp Zurich PUK, Dept Psychiat Psychotherapy &amp; Psychosomat, Zurich, Switzerland; [Schwieger, Arne; Angst, Katrin; Burrer, Achim; Cathomas, Flurin; Ferrea, Stefano; Gratz, Franziska; Knorr, Marius; Kronenberg, Golo; Spiller, Tobias; Troi, David; Seifritz, Erich; Weber, Samantha; Olbrich, Sebastian] Univ Zurich UZH, Fac Med, Zurich, Switzerland</t>
  </si>
  <si>
    <t>University of Zurich; University of Geneva</t>
  </si>
  <si>
    <t>Large language models can support generation of standardized discharge summaries - A retrospective study utilizing ChatGPT-4 and electronic health records</t>
  </si>
  <si>
    <t>Artificial intelligence; Discharge summaries; Psychiatric; Electronic health record; Machine learning</t>
  </si>
  <si>
    <t>PHYSICIANS; QUALITY; TIME</t>
  </si>
  <si>
    <t>Kronenberg, Golo/F-8772-2010; Schwieger, Arne/LXB-5452-2024; Burrer, Achim/KIJ-1968-2024; Spiller, Tobias/GRE-8642-2022</t>
  </si>
  <si>
    <t>Weber, Samantha/0000-0002-2689-2938; Schwieger, Arne/0009-0002-2398-8456; Burrer, Achim/0000-0003-2012-5655; Cathomas, Flurin/0000-0002-8274-1317</t>
  </si>
  <si>
    <t>192</t>
  </si>
  <si>
    <t>105654</t>
  </si>
  <si>
    <t>10.1016/j.ijmedinf.2024.105654</t>
  </si>
  <si>
    <t>http://dx.doi.org/10.1016/j.ijmedinf.2024.105654</t>
  </si>
  <si>
    <t>K3Z9M</t>
  </si>
  <si>
    <t>39437512</t>
  </si>
  <si>
    <t>WOS:001343302900001</t>
  </si>
  <si>
    <t>Zeng, C; Zhou, X; Xu, HY; Zhu, XP; Shi, Y; Dai, GL; Deng, ZG; Xu, Y; Xu, L; Xiao, H; Ye, SJ</t>
  </si>
  <si>
    <t>Objective A significant gap exists in medical support for organ transplant patients during out-of-hours (OOH). General large language models (LLMs), affected by AI hallucinations, are unsuitable for complex post-transplant care. We built the first post-transplant AI agent based on LLMs to address these issues. Methods We constructed a specialized "post-transplant AI agent" (named Doctor Xiao Yi) and conducted a mixed-methods study comparing it to a hospital-wide general AI agent (named Nan Xiao Yi). Data included 20,176 real-world logs (June-December 2025) and a cross-sectional survey of 152 transplant patients. We examined patterns of use over time, the types of questions raised, and the factors influencing patient behavior. Results Unlike Nan Xiao Yi, Doctor Xiao Yi remained active during OOH, with a peak at 4:00 AM (P &lt; 0.001). The general agent handled admin tasks like appointments, while the specialist agent provided clinical support such as diet, symptoms, and medication. Survey found 60.5% of OOH use by transplant patients due to reluctance to disturb human doctors. Furthermore, 63.8% of transplant patients were satisfied with the specialist agent's responses, and 48% reported they would decide on further hospital treatment based on AI suggestions. Conclusions The specialist AI agent effectively fills the gap in medical and psychological services during OOH for transplant recipients. Based on the "dual-source knowledge base + GraphRAG + multi-agent framework" architecture, our specialist AI agent offers safe, reliable post-transplant care.</t>
  </si>
  <si>
    <t>Zeng, Cheng; Zhou, Xin; Xu, Hong-yun; Zhu, Xiao-ping; Shi, Yue; Dai, Guang-le; Deng, Zhi-gao; Xu, Yan; Xu, Li; Xiao, Hui; Ye, Shao-jun</t>
  </si>
  <si>
    <t>Ye, SJ (corresponding author), Wuhan Univ, Hubei Prov Clin Res Ctr Nat Polymer Biol Liver,Zho, Natl Qual Control Ctr Donated Organ Procurement,In, Hubei Key Lab Med Technol Transplantat,Transplant, Wuhan 430071, Peoples R China.; Xu, L (corresponding author), Wuhan Univ, Zhongnan Hosp, Outpatient Dept, Wuhan 430071, Peoples R China.; Xiao, H (corresponding author), Wuhan Univ, Zhongnan Hosp, Informat Ctr, Wuhan 430071, Peoples R China.</t>
  </si>
  <si>
    <t>ZN001582@whu.edu.cn; xiaohui@znhospital.com; 923929358@qq.com</t>
  </si>
  <si>
    <t>the General Program of Hubei Provincial Health Science and Technology [WJ2025M062]; the Key Project of Scientific and Technological Achievements Transformation of Zhongnan Hospital, Wuhan University [LCYFZD2024008]; the National Outstanding Youth Physician [National High-level Medical Talent, GJGCC202504]; the National Natural Science Foundation of China [82570781]</t>
  </si>
  <si>
    <t>the General Program of Hubei Provincial Health Science and Technology; the Key Project of Scientific and Technological Achievements Transformation of Zhongnan Hospital, Wuhan University; the National Outstanding Youth Physician; the National Natural Science Foundation of China (National Natural Science Foundation of China (NSFC))</t>
  </si>
  <si>
    <t>This study was supported by the National Outstanding Young Physician (National High-level Medical Talent, No. GJGCC202504), the National Natural Science Foundation of China (No. 82570781), the Key Project of Scientific and Technological Achievements Transformation of Zhongnan Hospital, Wuhan University (No. LCYFZD2024008), and the General Program of Hubei Provincial Health Science and Technology (No. WJ2025M062).</t>
  </si>
  <si>
    <t>[Zeng, Cheng; Zhou, Xin; Deng, Zhi-gao; Xu, Yan; Ye, Shao-jun] Wuhan Univ, Hubei Prov Clin Res Ctr Nat Polymer Biol Liver,Zho, Natl Qual Control Ctr Donated Organ Procurement,In, Hubei Key Lab Med Technol Transplantat,Transplant, Wuhan 430071, Peoples R China; [Xu, Hong-yun] Wuhan Univ, Party Comm Off, Zhongnan Hosp, Wuhan 430071, Peoples R China; [Zhu, Xiao-ping; Xu, Li] Wuhan Univ, Zhongnan Hosp, Outpatient Dept, Wuhan 430071, Peoples R China; [Shi, Yue; Dai, Guang-le; Xiao, Hui] Wuhan Univ, Zhongnan Hosp, Informat Ctr, Wuhan 430071, Peoples R China</t>
  </si>
  <si>
    <t>Wuhan University; Wuhan University; Wuhan University; Wuhan University</t>
  </si>
  <si>
    <t>Real-World Analysis of Organ Transplantation-Specific Agent Based on Large Language Model in Post-Transplant Self-Management During Off-Hours: A Mixed-Methods Study</t>
  </si>
  <si>
    <t>CURRENT MEDICAL SCIENCE</t>
  </si>
  <si>
    <t>Organ transplantation; Large language models (LLM); Out-of-hours care; Artificial intelligence (AI); Patient self-management; Graph-based retrieval-augmented generation (GraphRAG); Mixed-methods study</t>
  </si>
  <si>
    <t>2096-5230</t>
  </si>
  <si>
    <t>2523-899X</t>
  </si>
  <si>
    <t>CURR MED SCI</t>
  </si>
  <si>
    <t>Curr. Med. Sci.</t>
  </si>
  <si>
    <t>10.1007/s11596-026-00219-3</t>
  </si>
  <si>
    <t>http://dx.doi.org/10.1007/s11596-026-00219-3</t>
  </si>
  <si>
    <t>KK7QV</t>
  </si>
  <si>
    <t>42384291</t>
  </si>
  <si>
    <t>WOS:001809290200001</t>
  </si>
  <si>
    <t>Farzaliyeva, A; Ramazanoglu, MN; Oguz, A; Altundag, O; Akcali, Z</t>
  </si>
  <si>
    <t>Background: Large language models (LLMs) are emerging as clinical decision-support tools in oncology, yet their ability to generate reliable treatment recommendations in real-world multidisciplinary tumor board (MTB) settings remains uncertain, particularly for complex colorectal cancer (CRC). Methods: In this retrospective study, 300 consecutive adult CRC cases discussed at a tertiary MTB were evaluated. Standardized de-identified case summaries were independently submitted to Gemini 2.5 (general-purpose, guideline-integrated) and MedGemma 27B (domain-specialized; T = 0.0 and T = 1.0). Concordance with MTB decisions was assessed using weighted Cohen's kappa (kappa), accuracy, F1 score, and recall. Safety was adjudicated by blinded senior MTB members using a three-tier risk framework. Importantly, Gemini 2.5 was evaluated in a guideline-integrated setting, whereas MedGemma operated without external guideline retrieval, introducing a predefined asymmetry in knowledge augmentation. Results: Gemini 2.5 demonstrated substantial agreement (kappa = 0.792, p &lt; 0.001), the highest exact concordance (85.0%), and a clinical safety rate of 83.7%, significantly outperforming MedGemma (p &lt; 0.001). MedGemma showed moderate agreement at T = 0.0 (kappa = 0.566; accuracy = 70.3%) and modest improvement at T = 1.0 (kappa = 0.610; accuracy = 73.5%; p = 0.038), with lower safety rates (62.3% and 62.7%; p &lt; 0.001). Discordance predominantly occurred in clinically complex scenarios, including surgical/interventional planning, active surveillance, recurrent disease management, and patients with compromised performance status. Conclusions: A guideline-integrated general-purpose LLM demonstrated superior concordance and safety compared with a domain-specialized model operating without external retrieval, supporting its adjunctive use within MTBs while preserving expert clinical judgment.</t>
  </si>
  <si>
    <t>Farzaliyeva, Aydan; Ramazanoglu, Mehmet Nezir; Oguz, Arzu; Altundag, Ozden; Akcali, Zafer</t>
  </si>
  <si>
    <t>Farzaliyeva, A (corresponding author), Baskent Univ, Fac Med, Dept Internal Med, Div Med Oncol, TR-06490 Ankara, Turkiye.</t>
  </si>
  <si>
    <t>aydanflv@gmail.com</t>
  </si>
  <si>
    <t>[Farzaliyeva, Aydan; Ramazanoglu, Mehmet Nezir; Oguz, Arzu; Altundag, Ozden; Akcali, Zafer] Baskent Univ, Fac Med, Dept Internal Med, Div Med Oncol, TR-06490 Ankara, Turkiye; [Akcali, Zafer] Baskent Univ, Fac Med, Dept Med Informat, TR-06490 Ankara, Turkiye</t>
  </si>
  <si>
    <t>Baskent University; Baskent University</t>
  </si>
  <si>
    <t>Assessment of Large Language Models in Colorectal Cancer Multidisciplinary Tumor Board Decision-Making: A Retrospective Single-Center Comparison of Guideline-Integrated General-Purpose vs. Domain-Specialized Models</t>
  </si>
  <si>
    <t>CURRENT ONCOLOGY</t>
  </si>
  <si>
    <t>colorectal neoplasms; artificial intelligence; large language models; multidisciplinary tumor board; decision support systems; clinical; gemini; MedGemma</t>
  </si>
  <si>
    <t>Akcali, Zafer/U-7339-2017; Ramazanoğlu, Mehmet Nezir/JVP-1330-2024; Altundag, Ozden/W-9219-2019; Farzaliyeva, Aydan/MGA-0167-2025</t>
  </si>
  <si>
    <t>1198-0052</t>
  </si>
  <si>
    <t>1718-7729</t>
  </si>
  <si>
    <t>CURR ONCOL</t>
  </si>
  <si>
    <t>Curr. Oncol.</t>
  </si>
  <si>
    <t>10.3390/curroncol33060309</t>
  </si>
  <si>
    <t>http://dx.doi.org/10.3390/curroncol33060309</t>
  </si>
  <si>
    <t>KC2VU</t>
  </si>
  <si>
    <t>42346209</t>
  </si>
  <si>
    <t>WOS:001803542500001</t>
  </si>
  <si>
    <t>Ralla, B; Biernath, N; Lichy, I; Kurz, L; Friedersdorff, F; Schlomm, T; Schmidt, J; Plage, H; Jeutner, J</t>
  </si>
  <si>
    <t>Background: Large language models (LLMs) such as ChatGPT, Google Gemini, and Microsoft Copilot are increasingly used by patients seeking medical information online. While these tools provide accessible and conversational explanations, their accuracy and safety in emotionally sensitive scenarios-such as an incidental cancer diagnosis-remain uncertain. Objective: To evaluate the quality, completeness, readability, and safety of responses generated by three state-of-the-art LLMs to common patient questions following the incidental discovery of a kidney tumor. Methods: A standardized use-case scenario was developed: a patient learns of a suspicious renal mass following a computed tomography (CT) scan for back pain. Ten plain-language prompts reflecting typical patient concerns were submitted to ChatGPT-4o, Microsoft Copilot, and Google Gemini 2.5 Pro without additional context. Responses were independently assessed by five board-certified urologists using a validated six-domain rubric (accuracy, completeness, clarity, currency, risk of harm, hallucinations), scored on a 1-5 Likert scale. Two statistical approaches were applied to calculate descriptive scores and inter-rater reliability (Fleiss' Kappa). Readability was analyzed using the Flesch Reading Ease (FRE) and Flesch-Kincaid Grade Level (FKGL) metrics. Results: Google Gemini 2.5 Pro achieved the highest mean ratings across most domains, notably in accuracy (4.3), completeness (4.3), and low hallucination rate (4.6). Microsoft Copilot was noted for empathetic language and consistent disclaimers but showed slightly lower clarity and currency scores. ChatGPT-4o demonstrated strengths in conversational flow but displayed more variability in clinical precision. Overall, 14% of responses were flagged as potentially misleading or incomplete. Inter-rater agreement was substantial across all domains (kappa = 0.68). Readability varied between models: ChatGPT responses were easiest to understand (FRE = 48.5; FKGL = 11.94), while Gemini's were the most complex (FRE = 29.9; FKGL = 13.3). Conclusions: LLMs show promise in patient-facing communication but currently fall short of providing consistently accurate, complete, and guideline-conform information in high-stakes contexts such as incidental cancer diagnoses. While their tone and structure may support patient engagement, they should not be used autonomously for counseling. Further fine-tuning, clinical validation, and supervision are essential for safe integration into patient care.</t>
  </si>
  <si>
    <t>Ralla, Bernhard; Biernath, Nadine; Lichy, Isabel; Kurz, Lukas; Friedersdorff, Frank; Schlomm, Thorsten; Schmidt, Jacob; Plage, Henning; Jeutner, Jonathan</t>
  </si>
  <si>
    <t>Ralla, B (corresponding author), Charite Univ Med Berlin, Dept Urol, Charitepl 1, D-10117 Berlin, Germany.</t>
  </si>
  <si>
    <t>nadine.biernath@charite.de; henning.plage@charite.de; lukas.kurz@charite.de; frank.friedersdorff@charite.de; bernhard.ralla@charite.de; thorsten.schlomm@charite.de; isabel-michaela.lichy@charite.de; jonathan.jeutner@charite.de; till-jacob-valentin.schmidt@charite.de</t>
  </si>
  <si>
    <t>[Ralla, Bernhard] Charite Univ Med Berlin, Dept Urol, Charitepl 1, D-10117 Berlin, Germany; Free Univ Berlin, Charitepl 1, D-10117 Berlin, Germany; Humboldt Univ, Charitepl 1, D-10117 Berlin, Germany</t>
  </si>
  <si>
    <t>Free University of Berlin; Humboldt University of Berlin; Charite Universitatsmedizin Berlin; Free University of Berlin; Humboldt University of Berlin; Charite Universitatsmedizin Berlin; Free University of Berlin; Humboldt University of Berlin; Charite Universitatsmedizin Berlin</t>
  </si>
  <si>
    <t>How Accurate Is AI? A Critical Evaluation of Commonly Used Large Language Models in Responding to Patient Concerns About Incidental Kidney Tumors</t>
  </si>
  <si>
    <t>large language models; incidental kidney tumor; patient communication; ChatGPT; Microsoft Copilot; Google Gemini; AI in healthcare; medical misinformation</t>
  </si>
  <si>
    <t>RENAL TUMORS</t>
  </si>
  <si>
    <t>Schlomm, Thorsten/G-8046-2011; Plage, Henning/LTZ-5848-2024</t>
  </si>
  <si>
    <t>Jeutner, Jonathan/0009-0009-7035-9127; Schmidt, Jacob/0009-0002-0319-5002; Plage, Henning/0000-0002-7680-1870; Ralla, Bernhard/0000-0001-7226-3852; Kurz, Lukas/0000-0001-6145-2877</t>
  </si>
  <si>
    <t>AUG 12 2025</t>
  </si>
  <si>
    <t>5697</t>
  </si>
  <si>
    <t>10.3390/jcm14165697</t>
  </si>
  <si>
    <t>http://dx.doi.org/10.3390/jcm14165697</t>
  </si>
  <si>
    <t>6NU9L</t>
  </si>
  <si>
    <t>40869522</t>
  </si>
  <si>
    <t>WOS:001557780600001</t>
  </si>
  <si>
    <t>Liu, Z; Orouji, F; Yang, F; Shi, ZW; Liang, HW; Yu, B; Wu, JH; Wen, ZP; Tang, L; Pan, HY; Zhang, ZW; Li, YM; Zhang, LQ</t>
  </si>
  <si>
    <t>Importance Cancer patients are more prone to depression and anxiety symptoms compared to those with chronic diseases. Amidst surging clinical demands and constrained medical resources, the traditional radiology workflows, plagued by inefficient communication, exacerbates both patients' psychological distress and healthcare providers' burnout. Objective To develop and validate a fine-tuned DeepSeek R1-based Radiology Examination Chatbot (REC) to optimize clinical interaction between cancer patients and radiology healthcare providers (RHPs), thereby effectively providing emotional support for cancer patients and reducing burnout among RHPs. Design, setting, and participants Audio recordings of multi-scenarios (appointment triage (AT), pre-examination preparation (PP), radiology clinic services (RCS)) were collected from the radiology departments of three tertiary hospitals (n = 36,511 min). This study conducts two independent randomized controlled sub-trials for distinct patient groups: Sub-trial 1 evaluates AT/PP participants (1,424 patients, 1:1 randomized to RHP + REC or RHP), while Sub-trial 2 assesses RCS participants (638 patients, 1:1 randomized to the same groups). Due to differing patient populations, the sub-trials were designed and implemented separately. Intervention The REC was fine-tuned using domain-specific dialogue data (80% for training) and scenario-specific prompts, with GPT-o1 as a comparative benchmark. Sub-trials randomized patients to RHP + REC or RHP groups. Main outcome and measures The primary outcome included dialogue quality (empathy, frustration, emotional regulation, factuality, integrity, and satisfaction), while the secondary outcomes comprised burnout (exhaustion, depersonalization, and personal achievement) and image quality (CT/MRI), all assessed via Likert scales and statistical tests. Results RHP + REC group demonstrated superior dialogue quality in AT (factuality: 4.12 +/- 0.86 vs. 3.39 +/- 1.21, P &lt; 0.001) and PP (satisfaction: 3.73 +/- 0.11 vs. 3.19 +/- 0.18, P &lt; 0.001), with reduced burnout (exhaustion: 1.85 +/- 0.91 vs. 2.40 +/- 1.22, P &lt; 0.01). CT image quality improved significantly (4.35 +/- 0.51 vs. 4.00 +/- 0.52, P &lt; 0.01), and similar results were achieved in MRI examinations (4.12 +/- 0.51 vs. 3.79 +/- 0.58, P = 0.02). However, REC underperformed in empathy and emotional regulation during emotionally complex RCS (3.88 +/- 0.67 vs. 4.42 +/- 0.53, P = 0.002; 3.87 +/- 0.19 vs. 4.12 +/- 0.27, P = 0.004). Ablation studies confirmed the necessity of fine-tuning and scenario-specific prompts for performance. Conclusion and relevance Overall, the DeepSeek R1-based REC synergistically enhanced multi-scenarios clinical interaction, provided emotional support for cancer patients, and reduced RHPs' burnout, offering a scalable solution to optimize radiology workflows.</t>
  </si>
  <si>
    <t>Liu, Zhi; Orouji, Farrin; Yang, Fan; Shi, Zhuowei; Liang, Hongwei; Yu, Bing; Wu, Jiahui; Wen, Zhipeng; Tang, Long; Pan, Hongyu; Zhang, Zhiwei; Li, Yongmei; Zhang, Liqiang</t>
  </si>
  <si>
    <t>Zhang, LQ (corresponding author), Chongqing Med Univ, Affiliated Hosp 1, Dept Radiol, Chongqing 400016, Peoples R China.</t>
  </si>
  <si>
    <t>15308138965@163.com</t>
  </si>
  <si>
    <t>Natural Science Foundation of Chongqing [CSTB2025NSCQ-GPX1232]</t>
  </si>
  <si>
    <t>Natural Science Foundation of Chongqing (Natural Science Foundation of Chongqing)</t>
  </si>
  <si>
    <t>from Natural Science Foundation of Chongqing (CSTB2025NSCQ-GPX1232).</t>
  </si>
  <si>
    <t>[Liu, Zhi] Chongqing Hosp Tradit Chinese Med, Dept Radiol, Chongqing 400021, Peoples R China; [Orouji, Farrin] Southwest Univ, Fac Psychol, Chongqing, Peoples R China; [Yang, Fan; Tang, Long] Chengdu BOE Hosp, Dept Radiol, Chengdu 610200, Peoples R China; [Shi, Zhuowei; Liang, Hongwei; Yu, Bing; Wu, Jiahui; Zhang, Zhiwei; Li, Yongmei; Zhang, Liqiang] Chongqing Med Univ, Affiliated Hosp 1, Dept Radiol, Chongqing 400016, Peoples R China; [Wen, Zhipeng] Univ Elect Sci &amp; Technol China, Sichuan Canc Hosp &amp; Inst,Sch Med, Sichuan Canc Ctr, Dept Radiol, Chengdu 610042, Peoples R China; [Pan, Hongyu] Southwest Univ, Coll Comp &amp; Informat Sci, Chongqing 400715, Peoples R China</t>
  </si>
  <si>
    <t>Southwest University - China; Chongqing Medical University; University of Electronic Science &amp; Technology of China; Southwest University - China</t>
  </si>
  <si>
    <t>A fine-tuned large language model chatbot for multi-scenario radiology cancer care: randomized controlled trial on interaction optimization, emotional support, and provider burnout reduction</t>
  </si>
  <si>
    <t>JOURNAL OF TRANSLATIONAL MEDICINE</t>
  </si>
  <si>
    <t>Pan, Hongyu/OZE-4860-2025</t>
  </si>
  <si>
    <t>1479-5876</t>
  </si>
  <si>
    <t>J TRANSL MED</t>
  </si>
  <si>
    <t>J. Transl. Med.</t>
  </si>
  <si>
    <t>FEB 14 2026</t>
  </si>
  <si>
    <t>314</t>
  </si>
  <si>
    <t>10.1186/s12967-026-07738-6</t>
  </si>
  <si>
    <t>http://dx.doi.org/10.1186/s12967-026-07738-6</t>
  </si>
  <si>
    <t>FB5RP</t>
  </si>
  <si>
    <t>41689094</t>
  </si>
  <si>
    <t>WOS:001714837200001</t>
  </si>
  <si>
    <t>Wrenn, JO; Behrens, M; Hershey, MS; Maldaver, M; Mitchell, J; Thompson, T; Triana, AJ; Virk, ZM; Akdas, Y; Cauley, MR; Ward, MJ; Monahan, K</t>
  </si>
  <si>
    <t>Background: Interhospital transfer of patients with suspected ST-elevation myocardial infarction (STEMI) requires timely and robust communication. Clinical uptake of potentially useful information from physician-to-physician phone calls authorizing transfer is low at many institutions, at least in part due to relative inaccessibility of call audio and lack of transcripts or summaries. Large language models (LLMs) can transform text into brief, consistently formatted summaries that could be made available in the electronic health record, thus facilitating the timely availability of clinically relevant data to physicians downstream of the transfer call. Objective: We sought to assess the feasibility of using transcription and LLM summarization to provide written information summarizing transfer calls by adapting the Physician Documentation Quality Instrument (PDQI) to score generated call summaries and evaluate whether LLMs could effectively summarize a curated set of transfer calls. Methods: STEMI transfer calls for which our institution was the receiving facility were transcribed and summarized by Whisper and ChatGPT (OpenAI), respectively. Each summary was reviewed by 2 of 7 independent physician raters. Summaries were rated using a Likert scale applied to an 8-domain framework adapted from the PDQI. We calculated summary statistics, including means, SDs, and raw and weighted agreement, and produced visual radar plots to demonstrate ratings for each call. We also performed thematic analysis of reviewers' comments. Results: We identified 32 calls, of which 1 (3.1%) was excluded for incompleteness. Raw agreement between raters was 62% (153/248), and the mean of the pairwise weighted kappa coefficients was 0.19 (SD 0.30; slight agreement). The mean rating of all summaries across all domains was 4.6 of 5 (SD 0.7). The "useful" (mean 4.8/5, SD 0.5) and "consistent" (mean 4.9/5, SD 0.6) domains were the highest rated, and the "thorough" (mean 4.4/5, SD 1.0) and "hallucination free" (mean 4.4/5, SD 0.9) domains were the lowest rated. The mean score for accuracy was 4.6/5 (SD 0.7). Qualitative analysis found that raters penalized the LLM for inferential hallucinations, although these were often clinically accurate, and discrepancies related to calculation of timing of events. Conclusions: Despite the limitations inherent in a small pilot cohort, this feasibility study suggests that LLMs can generate accurate and pertinent summaries of interhospital transfer calls for patients with STEMI. Interrater agreement was slight, which may suggest inadequate training of raters, unclear definitions, or a limitation of using the PDQI for this task. We identified several important areas for consideration prior to implementation, including thorough assessment of transcription accuracy, prompt engineering to minimize unwanted LLM behavior, and assessment of the impact of incorporating these summaries into clinical care on clinical outcomes.</t>
  </si>
  <si>
    <t>Wrenn, Jesse O.; Behrens, Madelaine; Hershey, Mary S.; Maldaver, Marc; Mitchell, John; Thompson, Trevor; Triana, Austin J.; Virk, Zain M.; Akdas, Yasemin; Cauley, Michael R.; Ward, Michael J.; Monahan, Ken</t>
  </si>
  <si>
    <t>Wrenn, JO (corresponding author), Vanderbilt Univ, Med Ctr, Dept Emergency Med, 2215 Garland Ave,Light Hall Ste 203, Nashville, TN 37232 USA.</t>
  </si>
  <si>
    <t>jesse.wrenn.1@vumc.org</t>
  </si>
  <si>
    <t>National Heart, Lung, and Blood Institute of the National Institutes of Health [T32HL170986]</t>
  </si>
  <si>
    <t>National Heart, Lung, and Blood Institute of the National Institutes of Health</t>
  </si>
  <si>
    <t>JOW and MRC were supported by the National Heart, Lung, and Blood Institute of the National Institutes of Health under award T32HL170986.</t>
  </si>
  <si>
    <t>[Wrenn, Jesse O.; Ward, Michael J.] Vanderbilt Univ, Med Ctr, Dept Emergency Med, 2215 Garland Ave,Light Hall Ste 203, Nashville, TN 37232 USA; [Wrenn, Jesse O.; Cauley, Michael R.; Ward, Michael J.] Vanderbilt Univ, Med Ctr, Dept Biomed Informat, Nashville, TN USA; [Wrenn, Jesse O.; Ward, Michael J.] VA Tennessee Valley Healthcare Syst, Div Emergency Med, Nashville, TN USA; [Behrens, Madelaine; Hershey, Mary S.; Maldaver, Marc; Mitchell, John; Thompson, Trevor; Triana, Austin J.; Virk, Zain M.] Vanderbilt Univ, Med Ctr, Dept Internal Med, Nashville, TN USA; [Akdas, Yasemin] Vanderbilt Univ, Off Community Hlth &amp; Engagement, Med Ctr, Nashville, TN USA; [Ward, Michael J.] VA Tennessee Valley Healthcare Syst, Geriatr Res Educ &amp; Clin Ctr, Nashville, TN USA; [Monahan, Ken] Vanderbilt Univ, Med Ctr, Div Cardiovasc Med, Nashville, TN USA</t>
  </si>
  <si>
    <t>Vanderbilt University; Vanderbilt University; Vanderbilt University; Vanderbilt University; Vanderbilt University</t>
  </si>
  <si>
    <t>Large Language Model Summarization of Physician-to-Physician Calls for Interhospital Transfer of Patients With ST-Elevation Myocardial Infarction: Observational Study</t>
  </si>
  <si>
    <t>ST-elevation myocardial infarction; STEMI; patient transfer; large language models; summarization; delivery of health care; artificial intelligence; AI</t>
  </si>
  <si>
    <t>REPERFUSION; SYSTEM; TIME</t>
  </si>
  <si>
    <t>Wrenn, Jesse/GOG-9503-2022; Triana, Austin/KRO-8792-2024; Ward, Michael/KSP-5799-2024; Monahan, Ken/MFH-6051-2025</t>
  </si>
  <si>
    <t>e88834</t>
  </si>
  <si>
    <t>10.2196/88834</t>
  </si>
  <si>
    <t>http://dx.doi.org/10.2196/88834</t>
  </si>
  <si>
    <t>KQ9TH</t>
  </si>
  <si>
    <t>42348906</t>
  </si>
  <si>
    <t>WOS:001813507700001</t>
  </si>
  <si>
    <t>Bilgiç, E; Karacan, E</t>
  </si>
  <si>
    <t>Background: Large language models (LLMs) are increasingly used by patients for obtaining medical information; however, concerns remain regarding their clinical safety, reliability, and appropriateness of patient guidance. Evidence evaluating LLM performance in hemorrhoid-related patient questions remains limited. Objective: To compare the clinical accuracy, safety, and overall clinical adequacy of responses generated by ChatGPT, Gemini, and DeepSeek to hemorrhoid-related patient questions. Methods: In this cross-sectional comparative study, 25 hemorrhoid-related patient questions were developed and categorized into three predefined subgroups: basic informational questions, clinically significant scenarios, and misleading/risky patient statements. Responses generated by ChatGPT (GPT-5.3), Gemini (3.1), and DeepSeek (R1) were evaluated by two experienced surgeons using a consensus-based expert assessment approach and a structured 5-point scoring system assessing clinical accuracy, safety, appropriateness of patient guidance, and overall clinical adequacy. Critical errors and qualitative communication characteristics were also analyzed. Friedman and post hoc Conover tests with Bonferroni correction were used for statistical comparisons. Results: Overall response quality differed significantly among models (chi(2)(2) = 29.119, p &lt; 0.001, Kendall's W = 0.582). ChatGPT achieved the highest overall scores (5.00 +/- 0.00), followed by Gemini (4.80 +/- 0.41) and DeepSeek (4.12 +/- 0.67). Significant differences were primarily observed between DeepSeek and the other models, whereas ChatGPT and Gemini showed comparable performance. Model divergence became more pronounced in clinically significant scenarios involving alarm symptoms, rectal bleeding, persistent symptoms, and acute anorectal pain. No model generated directly harmful medical recommendations or explicit guidance likely to result in substantial diagnostic delay. However, qualitative assessment demonstrated differences in communication style and risk communication. ChatGPT generally produced more balanced and context-appropriate responses, Gemini generated more explanatory responses, whereas DeepSeek showed a tendency toward disproportionately urgent or alarmist language in some higher-risk scenarios. Conclusions: Large language models demonstrated generally high clinical accuracy in answering hemorrhoid-related patient questions; however, notable model-specific differences were observed in clinical guidance, communication style, and risk communication, particularly in high-risk clinical scenarios. These findings suggest that LLMs may serve as useful supportive tools for patient education and health information delivery, although they should currently be regarded as systems that support rather than replace human clinical judgment.</t>
  </si>
  <si>
    <t>Bilgic, Ethem; Karacan, Erkan</t>
  </si>
  <si>
    <t>Bilgiç, E (corresponding author), Aydin City Hosp, Gen Surg Dept, TR-09000 Aydin, Turkiye.</t>
  </si>
  <si>
    <t>ethem.bilgic@saglik.gov.tr; erkan8806@gmail.com</t>
  </si>
  <si>
    <t>[Bilgic, Ethem] Aydin City Hosp, Gen Surg Dept, TR-09000 Aydin, Turkiye; [Karacan, Erkan] Karabuk Univ, Fac Med, Gen Surg Dept, TR-78050 Karabuk, Turkiye</t>
  </si>
  <si>
    <t>Karabuk University</t>
  </si>
  <si>
    <t>Clinical Safety and Reliability of Large Language Models in Answering Hemorrhoid-Related Patient Questions: A Comparative Study of ChatGPT, Gemini, and DeepSeek</t>
  </si>
  <si>
    <t>large language models; hemorrhoids; patient education; clinical safety; risk communication</t>
  </si>
  <si>
    <t>Karacan, Erkan/HHN-7717-2022</t>
  </si>
  <si>
    <t>1909</t>
  </si>
  <si>
    <t>10.3390/healthcare14131909</t>
  </si>
  <si>
    <t>http://dx.doi.org/10.3390/healthcare14131909</t>
  </si>
  <si>
    <t>KY4IK</t>
  </si>
  <si>
    <t>42450919</t>
  </si>
  <si>
    <t>WOS:001818567100001</t>
  </si>
  <si>
    <t>Green, Z; Ashton, JJ; Beattie, RM</t>
  </si>
  <si>
    <t>Background and aims The centenary of Archives of Disease in Childhood (ADC) presents an opportunity to reflect on a century of paediatric research and consider how best to leverage this ever-growing repository for future use. While content is indexed via PubMed and medical subject headings terms, this provides a superficial representation of complex journal content, leading to limited accessibility. We discuss the potential utility of large language models (LLMs)-advanced artificial intelligence systems that can understand, summarise and generate human-like language-and demonstrate their feasibility for structuring historical ADC articles, proposing a future pipeline to enhance indexing, retrieval and discoverability.Methods For demonstrative purposes, five articles from ADC December 1999 issue were locally downloaded and processed using a closed deployment of an LLM, Mistral (V.0.3, 7B). A structured prompt was used to extract key metadata. Outputs were manually compared with source texts and scored for accuracy. Hallucinations, fabricated or incorrect outputs, were recorded.Results The LLM achieved a mean accuracy of 86.9%, aligning with previous benchmarks for medical research assistance. No hallucinations were identified. Some repetition and verbosity were noted, likely due to chunk-based processing, but key fields were accurately extracted when explicitly present.Conclusion ADC holds a vast but underutilised body of research. This article shows that lightweight, locally hosted LLMs could structure ADC content without compromising intellectual property. Such methods could enable improved access, support automation of systematic reviews and enhance discoverability through biomedical ontologies, laying the foundation for a searchable, semantically enriched Archives that bridges historical insight with modern research needs.</t>
  </si>
  <si>
    <t>Green, Zachary; Ashton, James John; Beattie, R. Mark</t>
  </si>
  <si>
    <t>Green, Z (corresponding author), Univ Southampton, Dept Human Genet &amp; Genom Med, Southampton, England.; Green, Z (corresponding author), Southampton Childrens Hosp, Dept Paediat Gastroenterol, Southampton, England.</t>
  </si>
  <si>
    <t>j.ashton@soton.ac.uk; zachary.green@soton.ac.uk; mark.beattie@uhs.nhs.uk</t>
  </si>
  <si>
    <t>Crohn's in Childhood Research Association; NIHR Advanced Fellowship [NIHR302478]; National Institutes of Health Research (NIHR) [NIHR302478] Funding Source: National Institutes of Health Research (NIHR)</t>
  </si>
  <si>
    <t>Crohn's in Childhood Research Association; NIHR Advanced Fellowship; National Institutes of Health Research (NIHR) (National Institutes of Health Research (NIHR))</t>
  </si>
  <si>
    <t>ZG is funded by a CICRA research training fellowship. JJA is funded by a NIHR advanced Fellowship (NIHR302478).</t>
  </si>
  <si>
    <t>[Green, Zachary; Ashton, James John] Univ Southampton, Dept Human Genet &amp; Genom Med, Southampton, England; [Green, Zachary; Ashton, James John; Beattie, R. Mark] Southampton Childrens Hosp, Dept Paediat Gastroenterol, Southampton, England</t>
  </si>
  <si>
    <t>University of Southampton</t>
  </si>
  <si>
    <t>Learning from the past, structuring the future: using large language models to unlock a century of paediatric research in Archives of Disease in Childhood</t>
  </si>
  <si>
    <t>ARCHIVES OF DISEASE IN CHILDHOOD</t>
  </si>
  <si>
    <t>Child Health; Paediatrics; Technology</t>
  </si>
  <si>
    <t>EMERGENCY TRIAGE ASSESSMENT; GUIDELINES</t>
  </si>
  <si>
    <t>Green, Zachary/0000-0002-2907-5538; Ashton, James/0000-0003-0348-8198; Beattie, Robert Mark/0000-0003-4721-0577</t>
  </si>
  <si>
    <t>0003-9888</t>
  </si>
  <si>
    <t>1468-2044</t>
  </si>
  <si>
    <t>ARCH DIS CHILD</t>
  </si>
  <si>
    <t>Arch. Dis. Child.</t>
  </si>
  <si>
    <t>418</t>
  </si>
  <si>
    <t>422</t>
  </si>
  <si>
    <t>10.1136/archdischild-2025-329505</t>
  </si>
  <si>
    <t>http://dx.doi.org/10.1136/archdischild-2025-329505</t>
  </si>
  <si>
    <t>HO1QG</t>
  </si>
  <si>
    <t>41260630</t>
  </si>
  <si>
    <t>WOS:001620249500001</t>
  </si>
  <si>
    <t>Muthu, S; Ponnusamy, DVK; Rathinam, MM; Viswanathan, VK; Chandra, SKR; Sharun, K</t>
  </si>
  <si>
    <t>Purpose Knee osteoarthritis (OA) is common, and platelet-rich plasma (PRP) is widely promoted despite inconsistent efficacy. As patients increasingly consult large language models (LLMs), concerns arise about the reliability, safety, and readability of AI-generated content. This study compares patient-facing PRP information produced by ChatGPT-5.2, Gemini 3 Pro, and MediSearch AI using the Composite Clinical Reliability Score (CCRS). Methods Ninety PRP questions from Google's People Also Ask were posed verbatim to all three LLMs. Two fellowship-trained orthopaedic surgeons scored responses at two time points using CCRS, spanning factual accuracy, clinical correctness, guideline adherence, inverse hallucination severity, clinical safety errors, and evidence citation validity. Readability was assessed with Coleman-Liau Index (CLI). Inter-rater reliability was assessed using intraclass correlation coefficients (ICC). Normality was tested with Shapiro-Wilk and inter-model differences were evaluated using Friedman test. Results Across 270 responses, MediSearch AI achieved the highest CCRS (mean 76.8 +/- 3.75), significantly outperforming ChatGPT-5.2 (70.3 +/- 5.28) and Gemini 3 Pro (58.2 +/- 5.05) (p &lt; 0.001). ICC for CCRS scoring demonstrated excellent agreement between reviewers (ICC = 0.87, 95%CI 0.82-0.91). MediSearch AI showed superior guideline adherence, hallucination control, safety framing, and citation validity. Readability differed significantly (p &lt; 0.001): Gemini 3 Pro was most readable (mean CLI 13.2 +/- 1.5), ChatGPT-5.2 was moderately complex (13.3 +/- 1.9), and MediSearch AI was least readable (15.4 +/- 2.2). Conclusion LLMs differ markedly in PRP patient education. MediSearch AI delivered the most reliable but least readable content, Gemini 3 Pro produced the most accessible but least reliable outputs, and ChatGPT-5.2 was intermediate. LLMs should serve only as adjuncts to professional consultation, as they cannot provide individualised medical advice, hence making balance between accuracy and accessibility critical.</t>
  </si>
  <si>
    <t>Muthu, Sathish; Ponnusamy, Dhibin Vikash Kolarpatti; Rathinam, Manimekalai Muthiah; Viswanathan, Vibhu Krishnan; Chandra, Sathish Kumar Rajappan; Sharun, Khan</t>
  </si>
  <si>
    <t>Muthu, S (corresponding author), Orthopaed Res Grp, Dept Res Methods, Coimbatore, Tamil Nadu, India.; Muthu, S (corresponding author), Vinayaka Missions Res Fdn, Aarupadai Veedu Med Coll &amp; Hosp, Cent Res Lab, Pondicherry, India.</t>
  </si>
  <si>
    <t>drsathishmuthu@gmail.com</t>
  </si>
  <si>
    <t>[Muthu, Sathish; Ponnusamy, Dhibin Vikash Kolarpatti; Viswanathan, Vibhu Krishnan] Orthopaed Res Grp, Dept Res Methods, Coimbatore, Tamil Nadu, India; [Muthu, Sathish] Vinayaka Missions Res Fdn, Aarupadai Veedu Med Coll &amp; Hosp, Cent Res Lab, Pondicherry, India; [Ponnusamy, Dhibin Vikash Kolarpatti] Govt Med Coll, Dept Orthopaed, Karur, Tamil Nadu, India; [Rathinam, Manimekalai Muthiah] Govt Med Coll &amp; Hosp, Dept Anat, Namakkal, Tamil Nadu, India; [Viswanathan, Vibhu Krishnan] Univ Alabama Birmingham, Dept Orthopaed Surg, Birmingham, AL USA; [Chandra, Sathish Kumar Rajappan] SRM Inst Sci &amp; Technol, Interdisciplinary Inst Indian Syst Med IIISM, Clin Trial &amp; Res Unit, Kattankulathur, India; [Sharun, Khan] Yuan Ze Univ, Grad Inst Med, Taoyuan 32003, Taiwan</t>
  </si>
  <si>
    <t>Vinayaka Mission's Research Foundation; Aarupadai Veedu Medical College &amp; Hospital; University of Alabama System; University of Alabama Birmingham; SRM Institute of Science &amp; Technology Chennai; Yuan Ze University</t>
  </si>
  <si>
    <t>Evaluating Large Language Models for Patient-Facing Platelet-Rich Plasma Information in Knee Osteoarthritis: Development and Application of the Composite Clinical Reliability Score (CCRS)</t>
  </si>
  <si>
    <t>INDIAN JOURNAL OF ORTHOPAEDICS</t>
  </si>
  <si>
    <t>Knee Osteoarthritis; ChatGPT; Gemini; MediSearch; CCRS; Patient Education</t>
  </si>
  <si>
    <t>Viswanathan, Vibhu/Q-1461-2017; Muthu, Sathish/G-5756-2018; Khan, Sharun/A-3084-2019</t>
  </si>
  <si>
    <t>0019-5413</t>
  </si>
  <si>
    <t>1998-3727</t>
  </si>
  <si>
    <t>INDIAN J ORTHOP</t>
  </si>
  <si>
    <t>Indian J. Orthop.</t>
  </si>
  <si>
    <t>10.1007/s43465-026-01827-w</t>
  </si>
  <si>
    <t>http://dx.doi.org/10.1007/s43465-026-01827-w</t>
  </si>
  <si>
    <t>IP9UP</t>
  </si>
  <si>
    <t>WOS:001777559400001</t>
  </si>
  <si>
    <t>Xie, JC; Zhang, ZY; Zeng, S; Hilliard, J; An, GH; Tang, XT; Jiang, L; Yu, Y; Wan, XF; Xu, D</t>
  </si>
  <si>
    <t>Background: The emergence of new SARS-CoV-2 variants, the resulting reinfections, and post-COVID-19 condition continue to impact many people's lives. Tracking websites like the one at Johns Hopkins University no longer report the daily confirmed cases, posing challenges to accurately determine the true extent of infections. Many COVID-19 cases with mild symptoms are self-assessed at home and reported on social media, which provides an opportunity to monitor and understand the progression and evolving trends of the disease. Objective: We aim to build a publicly available database of COVID-19-related tweets and extracted information about symptoms and recovery cycles from self-reported tweets. We have presented the results of our analysis of infection, reinfection, recovery, and long-term effects of COVID-19 on a visualization website that refreshes data on a weekly basis. Methods: We used Twitter (subsequently rebranded as X) to collect COVID-19-related data, from which 9 native English-speaking annotators annotated a training dataset of COVID-19-positive self-reporters. We then used large language models to identify positive self-reporters from other unannotated tweets. We used the Hibert transform to calculate the lead of the prediction curve ahead of the reported curve. Finally, we presented our findings on symptoms, recovery, reinfections, and long-term effects of COVID-19 on the Covlab website. Results: We collected 7.3 million tweets related to COVID-19 between January 1, 2020, and April 1, 2024, including 262,278 self-reported cases. The predicted number of infection cases by our model is 7.63 days ahead of the official report. In addition to common symptoms, we identified some symptoms that were not included in the list from the US Centers for Disease Control and Prevention, such as lethargy and hallucinations. Repeat infections were commonly occurring, with rates of second and third infections at 7.49% (19,644/262,278) and 1.37% (3593/262,278), respectively, whereas 0.45% (1180/262,278) also reported that they had been infected &gt;5 times. We identified 723 individuals who shared detailed recovery experiences through tweets, indicating a substantially reduction in recovery time over the years. Specifically, the average recovery period decreased from around 30 days in 2020 to approximately 12 days in 2023. In addition, geographic information collected from confirmed individuals indicates that the temporal patterns of confirmed cases in states such as California and Texas closely mirror the overall trajectory observed across the United States. Conclusions: Although with some biases and limitations, self-reported tweet data serves as a valuable complement to clinical data, especially in the postpandemic era dominated by mild cases. Our web-based analytic platform can play a significant role in continuously tracking COVID-19, finding new uncommon symptoms, detecting and monitoring the manifestation of long-term effects, and providing necessary insights to the public and decision-makers.</t>
  </si>
  <si>
    <t>Xie, Jiacheng; Zhang, Ziyang; Zeng, Shuai; Hilliard, Joel; An, Guanghui; Tang, Xiaoting; Jiang, Lei; Yu, Yang; Wan, Xiufeng; Xu, Dong</t>
  </si>
  <si>
    <t>Xu, D (corresponding author), Univ Missouri, Dept Elect Engn &amp; Comp Sci, 227 Naka Hall, Columbia 65211, MO USA.</t>
  </si>
  <si>
    <t>xudong@missouri.edu</t>
  </si>
  <si>
    <t>National Institute of General Medical Sciences of the National Institutes of Health [R35-GM126985]</t>
  </si>
  <si>
    <t>National Institute of General Medical Sciences of the National Institutes of Health (United States Department of Health &amp; Human Services, National Institutes of Health (NIH) - USA, NIH National Institute of General Medical Sciences (NIGMS))</t>
  </si>
  <si>
    <t>Acknowledgments This research was supported by the National Institute of General Medical Sciences of the National Institutes of Health (R35-GM126985) . The authors would like to thank all the annotators who participated in the calibration of their data, including Kent Studer, James Tipton, Thadeus Meneses, Noah Berry, Sai Akhil Chopparapu, Trinath Adusumilli, Weinan Zhang, Yijie Ren, Li Su, Chunhui Xu, and Congyu Guo.</t>
  </si>
  <si>
    <t>[Xie, Jiacheng; Zhang, Ziyang; Zeng, Shuai; Hilliard, Joel; Jiang, Lei; Yu, Yang; Wan, Xiufeng; Xu, Dong] Univ Missouri, Dept Elect Engn &amp; Comp Sci, 227 Naka Hall, Columbia 65211, MO USA; [Xie, Jiacheng; Zhang, Ziyang; Zeng, Shuai; An, Guanghui; Tang, Xiaoting; Jiang, Lei; Yu, Yang; Wan, Xiufeng; Xu, Dong] Univ Missouri, Christopher S Bond Life Sci Ctr, Columbia, MO USA; [An, Guanghui] Shanghai Univ Tradit Chinese Med, Sch Acupuncture Moxibust &amp; Tuina, Shanghai, Peoples R China; [Tang, Xiaoting] Shanghai Pudong New Area Wanggang Community Hlth S, Shanghai, Peoples R China; [Wan, Xiufeng] Univ Missouri, NextGen Ctr Influenza &amp; Emerging Infect Dis, Columbia, MO USA; [Wan, Xiufeng] Univ Missouri, Dept Mol Microbiol &amp; Immunol, Columbia, MO USA</t>
  </si>
  <si>
    <t>University of Missouri System; University of Missouri Columbia; University of Missouri System; University of Missouri Columbia; Shanghai University of Traditional Chinese Medicine; University of Missouri System; University of Missouri Columbia; University of Missouri System; University of Missouri Columbia</t>
  </si>
  <si>
    <t>Leveraging Large Language Models for Infectious Disease Surveillance-Using a Web Service for Monitoring COVID-19 Patterns From Self-Reporting Tweets: Content Analysis</t>
  </si>
  <si>
    <t>COVID-19; self-reporting data; large language model; Twitter; social media analysis; natural language processing; machine learning</t>
  </si>
  <si>
    <t>Xie, Jiacheng/OZF-8961-2025; Xu, Dong/Y-8605-2018</t>
  </si>
  <si>
    <t>Xie, Jiacheng/0000-0003-3733-4349; Zeng, Shuai/0000-0001-7632-427X; Wan, Xiufeng/0000-0003-2629-9234; Yu, Yang/0009-0006-1475-7487; Jiang, Lei/0000-0002-6365-1965</t>
  </si>
  <si>
    <t>FEB 20 2025</t>
  </si>
  <si>
    <t>e63190</t>
  </si>
  <si>
    <t>10.2196/63190</t>
  </si>
  <si>
    <t>http://dx.doi.org/10.2196/63190</t>
  </si>
  <si>
    <t>Y8Z5Z</t>
  </si>
  <si>
    <t>39977859</t>
  </si>
  <si>
    <t>WOS:001434936200002</t>
  </si>
  <si>
    <t>Xue, E; Bracken-Clarke, D; Iannantuono, GM; Choo-Wosoba, H; Gulley, JL; Floudas, CS</t>
  </si>
  <si>
    <t>Background: Artificial intelligence is increasingly being applied to many workflows. Large language models (LLMs) are publicly accessible platforms trained to understand, interact with, and produce human-readable text; their ability to deliver relevant and reliable information is also of particular interest for the health care providers and the patients. Hematopoietic stem cell transplantation (HSCT) is a complex medical field requiring extensive knowledge, background, and training to practice successfully and can be challenging for the nonspecialist audience to comprehend.Objective: We aimed to test the applicability of 3 prominent LLMs, namely ChatGPT-3.5 (OpenAI), ChatGPT-4 (OpenAI), and Bard (Google AI), in guiding nonspecialist health care professionals and advising patients seeking information regarding HSCT.Methods: We submitted 72 open-ended HSCT-related questions of variable difficulty to the LLMs and rated their responses based on consistency-defined as replicability of the response-response veracity, language comprehensibility, specificity to the topic, and the presence of hallucinations. We then rechallenged the 2 best performing chatbots by resubmitting the most difficult questions and prompting to respond as if communicating with either a health care professional or a patient and to provide verifiable sources of information. Responses were then rerated with the additional criterion of language appropriateness, defined as language adaptation for the intended audience.Results: ChatGPT-4 outperformed both ChatGPT-3.5 and Bard in terms of response consistency (66/72, 92%; 54/72, 75%; and 63/69, 91%, respectively; P=.007), response veracity (58/66, 88%; 40/54, 74%; and 16/63, 25%, respectively; P&lt;.001), and specificity to the topic (60/66, 91%; 43/54, 80%; and 27/63, 43%, respectively; P&lt;.001). Both ChatGPT-4 and ChatGPT-3.5 outperformed Bard in terms of language comprehensibility (64/66, 97%; 53/54, 98%; and 52/63, 83%, respectively; P=.002). All displayed episodes of hallucinations. ChatGPT-3.5 and ChatGPT-4 were then rechallenged with a prompt to adapt their language to the audience and to provide source of information, and responses were rated. ChatGPT-3.5 showed better ability to adapt its language to nonmedical audience than ChatGPT-4 (17/21, 81% and 10/22, 46%, respectively; P=.03); however, both failed to consistently provide correct and up-to-date information resources, reporting either out-of-date materials, incorrect URLs, or unfocused references, making their output not verifiable by the reader.Conclusions: In conclusion, despite LLMs' potential capability in confronting challenging medical topics such as HSCT, the presence of mistakes and lack of clear references make them not yet appropriate for routine, unsupervised clinical use, or patient counseling. Implementation of LLMs' ability to access and to reference current and updated websites and research papers, as well as development of LLMs trained in specialized domain knowledge data sets, may offer potential solutions for their future clinical application.</t>
  </si>
  <si>
    <t>Xue, Elisabetta; Bracken-Clarke, Dara; Iannantuono, Giovanni Maria; Choo-Wosoba, Hyoyoung; Gulley, James L.; Floudas, Charalampos S.</t>
  </si>
  <si>
    <t>Xue, E (corresponding author), NCI, NIH, Ctr Immuno Oncol, Ctr Canc Res, Bldg 10,B2L312, Bethesda, MD 20892 USA.</t>
  </si>
  <si>
    <t>elisabetta.xue@nih.gov</t>
  </si>
  <si>
    <t>[Xue, Elisabetta; Bracken-Clarke, Dara; Gulley, James L.; Floudas, Charalampos S.] NCI, NIH, Ctr Immuno Oncol, Ctr Canc Res, Bldg 10,B2L312, Bethesda, MD 20892 USA; [Iannantuono, Giovanni Maria] NCI, NIH, Genitourinary Malignancies Branch, Ctr Canc Res, Bethesda, MD USA; [Choo-Wosoba, Hyoyoung] NCI, NIH, Biostatist &amp; Data Management Sect, Ctr Canc Res, Bethesda, MD USA</t>
  </si>
  <si>
    <t>National Institutes of Health (NIH) - USA; NIH National Cancer Institute (NCI); National Institutes of Health (NIH) - USA; NIH National Cancer Institute (NCI); National Institutes of Health (NIH) - USA; NIH National Cancer Institute (NCI)</t>
  </si>
  <si>
    <t>Utility of Large Language Models for Health Care Professionals and Patients in Navigating Hematopoietic Stem Cell Transplantation: Comparison of the Performance of ChatGPT-3.5, ChatGPT-4, and Bard</t>
  </si>
  <si>
    <t>hematopoietic stem cell transplant; large language models; chatbot; chatbots; stem cell; large language model; artificial intelligence; AI; medical information; hematopoietic; HSCT; ChatGPT</t>
  </si>
  <si>
    <t>Floudas, Charalampos/A-8742-2015; Iannantuono, Giovanni Maria/GRR-4606-2022; Bracken-Clarke, Dara/LUZ-1825-2024; Gulley, James/Y-7576-2019; Xue, Elisabetta/ABI-4270-2020</t>
  </si>
  <si>
    <t>Floudas, Charalampos/0000-0002-0020-237X; Iannantuono, Giovanni Maria/0000-0003-4161-6250; Bracken-Clarke, Dara/0000-0002-1105-1079; Gulley, James/0000-0002-6569-2912; Xue, Elisabetta/0000-0002-1963-9555</t>
  </si>
  <si>
    <t>MAY 17 2024</t>
  </si>
  <si>
    <t>e54758</t>
  </si>
  <si>
    <t>10.2196/54758</t>
  </si>
  <si>
    <t>http://dx.doi.org/10.2196/54758</t>
  </si>
  <si>
    <t>5MQ8W</t>
  </si>
  <si>
    <t>38758582</t>
  </si>
  <si>
    <t>WOS:001539311000002</t>
  </si>
  <si>
    <t>Schulte, E; Abusharkh, M; Dahal, K; Klepser, M; Sohn, M</t>
  </si>
  <si>
    <t>The digitization of healthcare has been accompanied by a rapid expansion of electronic health records (EHRs); however, a significant proportion of critical patient data, specifically medication regimens, remains entrapped within unstructured clinical narratives. The inability to seamlessly compute this data hinders advancements in pharmacovigilance, clinical decision support, and population health management. This study presents a comprehensive, rigorous evaluation of the feasibility of deploying Large Language Models (LLMs) to automate the extraction of structured dosage information (Dose, Daily Frequency, Duration) from outpatient antimicrobial clinical notes sourced from the Collaboration to Harmonize Antimicrobial Registry Measures (CHARM) registry. We scrutinized the performance of five distinct open-weight architectures, namely GPT-OSS:20B, Gemma 2:9B, Mistral 7B, Qwen3:14B and Llama 3.2, across both Zero-Shot and Retrieval Augmented Generation (RAG)-based Few-Shot prompting paradigms. Our analysis reveals a fundamental architectural trade-off: the reasoning-optimized GPT-OSS:20B dominates the zero-shot landscape (F1 &gt; 0.90) by leveraging abstract schema understanding, whereas the instruction-tuned Gemma 2:9B excels in the few-shot setting (F1 similar to 0.99), effectively utilizing examples as guardrails to surpass larger models. Conversely, smaller models (Mistral, Llama) exhibit a prohibitive "hallucination barrier," rendering them unsafe for unsupervised clinical application. Furthermore, we identify "Inconsistent Unit Handling" and "Complex Temporal Logic" as persistent failure modes that resist simple scaling laws. This report provides a definitive framework for selecting model architectures based on the availability of few-shot examples and highlights the necessity of dynamic RAG strategies to achieve production-grade reliability in medical informatics.</t>
  </si>
  <si>
    <t>Schulte, Evan; Abusharkh, Mohamed; Dahal, Kushal; Klepser, Michael; Sohn, Minji</t>
  </si>
  <si>
    <t>Abusharkh, M (corresponding author), Ferris State Univ, Software Engn, Grand Rapids, MI 49503 USA.</t>
  </si>
  <si>
    <t>etschulte@gmail.com; mohamedabusharkh@ferris.edu; michaelklepser@ferris.edu; minjisohn@ferris.edu; kushaldahal@ferris.edu</t>
  </si>
  <si>
    <t>[Schulte, Evan; Abusharkh, Mohamed] Ferris State Univ, Software Engn, Grand Rapids, MI 49503 USA; [Dahal, Kushal; Klepser, Michael; Sohn, Minji] Ferris State Univ, Coll Pharm, Collaborat Adv Pharm Enterprises CAPE, Grand Rapids, MI 49503 USA</t>
  </si>
  <si>
    <t>Ferris State University; Ferris State University</t>
  </si>
  <si>
    <t>Feasibility of Using Large Language Models for Structured Medication Extraction from Clinical Text: A Comparative Analysis of Zero-Shot and Few-Shot Paradigms</t>
  </si>
  <si>
    <t>large language models; medication extraction; natural language processing; zero-shot learning; few-shot learning; healthcare informatics; open-weight models</t>
  </si>
  <si>
    <t>INFORMATION; SYSTEM</t>
  </si>
  <si>
    <t>FEB 27 2026</t>
  </si>
  <si>
    <t>2300</t>
  </si>
  <si>
    <t>10.3390/app16052300</t>
  </si>
  <si>
    <t>http://dx.doi.org/10.3390/app16052300</t>
  </si>
  <si>
    <t>FA5HO</t>
  </si>
  <si>
    <t>WOS:001714134300001</t>
  </si>
  <si>
    <t>Lee, KH; Lee, RW; Kwon, YE</t>
  </si>
  <si>
    <t>This study evaluates the diagnostic accuracy and clinical utility of two artificial intelligence (AI) techniques: Kakao Brain Artificial Neural Network for Chest X-ray Reading (KARA-CXR), an assistive technology developed using large-scale AI and large language models (LLMs), and ChatGPT, a well-known LLM. The study was conducted to validate the performance of the two technologies in chest X-ray reading and explore their potential applications in the medical imaging diagnosis domain. The study methodology consisted of randomly selecting 2000 chest X-ray images from a single institution's patient database, and two radiologists evaluated the readings provided by KARA-CXR and ChatGPT. The study used five qualitative factors to evaluate the readings generated by each model: accuracy, false findings, location inaccuracies, count inaccuracies, and hallucinations. Statistical analysis showed that KARA-CXR achieved significantly higher diagnostic accuracy compared to ChatGPT. In the 'Acceptable' accuracy category, KARA-CXR was rated at 70.50% and 68.00% by two observers, while ChatGPT achieved 40.50% and 47.00%. Interobserver agreement was moderate for both systems, with KARA at 0.74 and GPT4 at 0.73. For 'False Findings', KARA-CXR scored 68.00% and 68.50%, while ChatGPT scored 37.00% for both observers, with high interobserver agreements of 0.96 for KARA and 0.97 for GPT4. In 'Location Inaccuracy' and 'Hallucinations', KARA-CXR outperformed ChatGPT with significant margins. KARA-CXR demonstrated a non-hallucination rate of 75%, which is significantly higher than ChatGPT's 38%. The interobserver agreement was high for KARA (0.91) and moderate to high for GPT4 (0.85) in the hallucination category. In conclusion, this study demonstrates the potential of AI and large-scale language models in medical imaging and diagnostics. It also shows that in the chest X-ray domain, KARA-CXR has relatively higher accuracy than ChatGPT.</t>
  </si>
  <si>
    <t>Lee, Kyu Hong; Lee, Ro Woon; Kwon, Ye Eun</t>
  </si>
  <si>
    <t>Lee, RW (corresponding author), Inha Univ, Coll Med, Dept Radiol, Incheon 22212, South Korea.</t>
  </si>
  <si>
    <t>rowoon2@hanmail.net</t>
  </si>
  <si>
    <t>KakaoBrain</t>
  </si>
  <si>
    <t>No Statement Available</t>
  </si>
  <si>
    <t>[Lee, Kyu Hong; Lee, Ro Woon; Kwon, Ye Eun] Inha Univ, Coll Med, Dept Radiol, Incheon 22212, South Korea</t>
  </si>
  <si>
    <t>Inha University</t>
  </si>
  <si>
    <t>Validation of a Deep Learning Chest X-ray Interpretation Model: Integrating Large-Scale AI and Large Language Models for Comparative Analysis with ChatGPT</t>
  </si>
  <si>
    <t>ChatGPT; KARA-CXR; chest X-ray; LLM</t>
  </si>
  <si>
    <t>Lee, Ro Woon/JBR-7931-2023</t>
  </si>
  <si>
    <t>Lee, Ro Woon/0000-0002-8678-8059; LEE, KYU HONG/0000-0003-1069-0810</t>
  </si>
  <si>
    <t>ST ALBAN-ANLAGE 66, CH-4052 BASEL, SWITZERLAND</t>
  </si>
  <si>
    <t>10.3390/diagnostics14010090</t>
  </si>
  <si>
    <t>http://dx.doi.org/10.3390/diagnostics14010090</t>
  </si>
  <si>
    <t>EL8F8</t>
  </si>
  <si>
    <t>38201398</t>
  </si>
  <si>
    <t>WOS:001139167200001</t>
  </si>
  <si>
    <t>Dinç, O; Akay, E; Ates, B</t>
  </si>
  <si>
    <t>Background: Parents of children with immune thrombocytopenia (ITP) increasingly turn to freely available large language models (LLMs) when they need quick explanations. In pediatric hematology, such advice must be clear, safe, and aligned with clinical guidance, not simply fluent. Objective: To assess the quality, safety, readability, and guideline/reference concordance of freely accessible LLM responses to parent-oriented questions about childhood ITP, as an evaluation of parent-facing educational content rather than diagnostic or predictive AI performance. Methods: Forty standardized parent-facing ITP questions were submitted once to GPT-5.3-mini, Gemini 3 Flash, and Claude Sonnet 4.6 through free public web interfaces. Reporting followed STROBE and was cross-mapped to relevant TRIPOD-LLM items. Three model-name-blinded clinical reviewers independently rated 120 responses using the study-specific, expert-developed seven-domain AI-ITP Parent Response Score (AI-ITP-PRS; range, 7-35) and recorded unsafe-content and hallucination flags. Readability was measured with automated indices. Paired model comparisons used the Friedman test with Holm-adjusted Wilcoxon analyses; repeated-measures ANOVA and mixed-effects models were used as sensitivity analyses. Results: All 360 reviewer-level assessments were complete. The unweighted clinical-communication composite AI-ITP-PRS differed significantly across models (Friedman chi-square = 63.52, p &lt; 0.001; Kendall's W = 0.794). Gemini 3 Flash had the highest mean composite score (32.78 +/- 2.54), followed by Claude Sonnet 4.6 (30.60 +/- 1.39) and GPT-5.3-mini (29.98 +/- 1.52), but this difference was driven primarily by completeness, comprehensibility, empathy/supportiveness, and objective readability. Medical accuracy, guideline/reference concordance, safety/emergency triage, and low harmful misinformation risk were largely similar across models. Two response-level unsafe-content and hallucination events were detected, both in Gemini 3 Flash responses (2/40, 5.0%; exact 95% CI, 0.6%-16.9%). The matched categorical comparison was not statistically significant, so these rare-event findings were interpreted descriptively and as hypothesis-generating. The events involved overgeneralized autoimmune-testing advice and unsupported MMR vaccination counseling. Conclusion: Freely accessible LLMs can produce supportive, high-scoring parent-facing explanations about childhood ITP. However, the highest composite score in this single-response snapshot reflected stronger communication performance rather than definitive superiority across safety-sensitive domains. This study detected high-impact safety failure modes but cannot precisely estimate true safety-event rates, establish robust rare-event safety differences between models, or define stable model behavior across repeated generations.</t>
  </si>
  <si>
    <t>Dinc, Orkun; Akay, Eray; Ates, Belen</t>
  </si>
  <si>
    <t>Dinç, O (corresponding author), Van Educ &amp; Res Hosp, Dept Pediat Hematol &amp; Oncol, Van, Turkiye.</t>
  </si>
  <si>
    <t>drorkundinc@gmail.com</t>
  </si>
  <si>
    <t>[Dinc, Orkun] Van Educ &amp; Res Hosp, Dept Pediat Hematol &amp; Oncol, Van, Turkiye; [Akay, Eray] Bilkent City Hosp, Dept Pediat Hematol &amp; Oncol, Ankara, Turkiye; [Ates, Belen] Prof Dr Cemil Tascioglu City Hosp, Dept Pediat, Istanbul, Turkiye</t>
  </si>
  <si>
    <t>Van Training &amp; Research Hospital</t>
  </si>
  <si>
    <t>Freely accessible large language models for parent education in pediatric immune thrombocytopenia: an expert-rated cross-sectional study of safety, readability, and guideline concordance</t>
  </si>
  <si>
    <t>FRONTIERS IN PEDIATRICS</t>
  </si>
  <si>
    <t>artificial intelligence; guideline concordance; immune thrombocytopenia; large language models; parent education; patient safety; pediatrics</t>
  </si>
  <si>
    <t>RELIABILITY; CHILDREN; ADULTS</t>
  </si>
  <si>
    <t>Dinc, Orkun/MCJ-5569-2025</t>
  </si>
  <si>
    <t>2296-2360</t>
  </si>
  <si>
    <t>FRONT PEDIATR</t>
  </si>
  <si>
    <t>Front. Pediatr.</t>
  </si>
  <si>
    <t>1889520</t>
  </si>
  <si>
    <t>10.3389/fped.2026.1889520</t>
  </si>
  <si>
    <t>http://dx.doi.org/10.3389/fped.2026.1889520</t>
  </si>
  <si>
    <t>LB5BU</t>
  </si>
  <si>
    <t>42459564</t>
  </si>
  <si>
    <t>WOS:001820651200001</t>
  </si>
  <si>
    <t>Su, LYX; Xu, LJ; Tang, J; Zuo, MH</t>
  </si>
  <si>
    <t>Background Large language models are increasingly becoming a key resource for hemodialysis patients to access information on disease management. However, the information reliability, readability, and guideline concordance of LLM-generated hemodialysis-related educational texts remain insufficiently evaluated. Methods This study identified 42 dialysis-related questions from an initial pool of 200 candidate questions extracted from Google Trends, relevant clinical guidelines, and online forums. Using a standardized single-turn, zero-shot prompting strategy with default web-interface settings, these questions were independently input into five models (ChatGPT-4o, DeepSeek-V2.5, Gemini 2.5 Pro, Perplexity Pro, and Copilot). Two trained raters independently evaluated the outputs using the DISCERN, EQIP, JAMA, and GQS scales in a blinded review, with disagreements adjudicated by a third senior nephrologist. Readability was quantified using the FKGL, FRES, GFI, CLI, and SMOG metrics. Additionally, using internationally authoritative guidelines such as KDIGO as a benchmark, guideline concordance and potential text-level safety concerns in the generated outputs were reviewed against authoritative hemodialysis-related guidelines, and qualitative methods were employed to describe the issue of hallucinations in the model outputs. Results Significant differences were observed across the five LLMs for all four information-quality metrics (P &lt; 0.001 for DISCERN and EQIP; P = 0.002 for GQS and JAMA). RAG-based models, particularly Perplexity and Copilot, showed relatively higher information reliability. None of the outputs met the recommended sixth-grade readability benchmark, and greater guideline concordance was often accompanied by higher linguistic complexity. RAG-based models also showed relatively better alignment with reference guideline statements, whereas non-retrieval-based models more often omitted guideline-recommended elements or provided less specific responses. Qualitative review identified several examples of model-generated "medical hallucinations," including contraindicated self-management suggestions, potentially inappropriate dietary advice, and out-of-scope clinical instructions presented as self-care, indicating potential text-level safety concerns if used without professional review. Conclusion RAG-based models showed relatively better evidence support, information reliability, and guideline concordance in hemodialysis-related educational text generation. However, all evaluated LLMs produced outputs with readability barriers and occasional potentially unsafe or out-of-scope recommendations at the text level. These findings do not establish the actual clinical safety or effectiveness of LLM use among hemodialysis patients, but they indicate that unsupervised patient-facing use should be approached cautiously and that expert review and plain-language adaptation are necessary before such outputs are used as educational materials.</t>
  </si>
  <si>
    <t>Su, Liuyingxi; Xu, Lijun; Tang, Jun; Zuo, Manhua</t>
  </si>
  <si>
    <t>Zuo, MH (corresponding author), Zunyi Med Univ, Dept Nursing, Zhuhai Campus, Zhuhai, Guangdong, Peoples R China.</t>
  </si>
  <si>
    <t>mailzuoi80@163.com</t>
  </si>
  <si>
    <t>he characteristic and innovation project of universities of Guangdong Province [2023 (2023KTSCX237)]; Technology Fund of Guizhou Provincial Health Commission with Grant [gzwkj2024-261]; Guizhou Provincial Basic Research Program (Natural Science) in 2025 [Qiankehe Foundation MS [2025] 352]; Hospital Management and Development Research Center in Sichuan province [SCYG2023-07]</t>
  </si>
  <si>
    <t>he characteristic and innovation project of universities of Guangdong Province; Technology Fund of Guizhou Provincial Health Commission with Grant; Guizhou Provincial Basic Research Program (Natural Science) in 2025; Hospital Management and Development Research Center in Sichuan province</t>
  </si>
  <si>
    <t>This study was supported by Guizhou Provincial Basic Research Program (Natural Science) in 2025 (Qiankehe Foundation MS [2025] 352), the Science and Technology Fund of Guizhou Provincial Health Commission with Grant No. gzwkj2024-261, the characteristic and innovation project of universities of Guangdong Province in 2023 (2023KTSCX237), and Hospital Management and Development Research Center in Sichuan province (SCYG2023-07).</t>
  </si>
  <si>
    <t>[Su, Liuyingxi; Zuo, Manhua] Zunyi Med Univ, Dept Nursing, Zhuhai Campus, Zhuhai, Guangdong, Peoples R China; [Xu, Lijun; Tang, Jun] Zunyi Med Univ, Affiliated Hosp 5, Zhuhai, Peoples R China</t>
  </si>
  <si>
    <t>Zunyi Medical University; Zunyi Medical University</t>
  </si>
  <si>
    <t>Comparative evaluation of information quality, readability, and guideline consistency of large language model-generated educational content on hemodialysis complications: a cross-sectional assessment of generative AI-driven chatbots</t>
  </si>
  <si>
    <t>BMC NEPHROLOGY</t>
  </si>
  <si>
    <t>Artificial intelligence; Large language models; Hemodialysis; Complications; Information quality; Readability; Guideline concordance</t>
  </si>
  <si>
    <t>HEALTH LITERACY; KIDNEY-DISEASE; ASSOCIATIONS; PREVALENCE; INSTRUMENT; ACCESS</t>
  </si>
  <si>
    <t>1471-2369</t>
  </si>
  <si>
    <t>BMC NEPHROL</t>
  </si>
  <si>
    <t>BMC Nephrol.</t>
  </si>
  <si>
    <t>10.1186/s12882-026-05048-z</t>
  </si>
  <si>
    <t>http://dx.doi.org/10.1186/s12882-026-05048-z</t>
  </si>
  <si>
    <t>LL1LH</t>
  </si>
  <si>
    <t>42185773</t>
  </si>
  <si>
    <t>WOS:001827179800004</t>
  </si>
  <si>
    <t>Anghelescu, A; Munteanu, C; Anghelescu, LAM; Onose, G</t>
  </si>
  <si>
    <t>Like A Midsummer Night's Dream, large language models (LLMs) exhibit vast imagination, drawing on massive training datasets. However, they may fabricate or mix information, lacking mechanisms to verify real-world sources. Most commercial LLMs, including those used in medicine, remain prone to hallucinations-plausible but false content. Retrieval-Augmented Generation (RAG) aims to address this by grounding LLM outputs in real-time access to verified sources like scientific databases. A 2023-2025 PubMed search identified 91 papers on RAG and LLM applications across biomedical domains; 78 were useful for our paper, adressing medical domains. RAG techniques significantly reduce hallucinations by ensuring that only validated information informs model outputs. ACURAI, an advanced system based on "phrase dominance and discrete functional units (DFUs)," further enhances LLM accuracy. Tested on a novel "RAG-Truth Dataset Caveats," ACURAI eliminated 91-100% of junk outputs in GPT-3.5 and GPT-4. While LLMs can resemble Puck (creative yet unreliable), ACURAI, aided by RAG, acts more like Theseus, grounding answers in verified data. This framework strengthens the possible role of LLMs in clinical diagnosis, academic writing, and patient education, offering a practical path toward safer and more accurate medical AI. Ultimately, human oversight remains key to interpreting and validating AI-generated outputs.</t>
  </si>
  <si>
    <t>Anghelescu, Aurelian; Munteanu, Constantin; Anghelescu, Lucia Ana-Maria; Onose, Gelu</t>
  </si>
  <si>
    <t>Anghelescu, A (corresponding author), Carol Davila Univ Med &amp; Pharm, Bucharest, Romania.; Anghelescu, A (corresponding author), Teaching Emergency Hosp Bagdasar Arseni, Bucharest, Romania.</t>
  </si>
  <si>
    <t>aurelian.anghelescu@umfcd.ro</t>
  </si>
  <si>
    <t>[Anghelescu, Aurelian; Onose, Gelu] Carol Davila Univ Med &amp; Pharm, Bucharest, Romania; [Anghelescu, Aurelian; Munteanu, Constantin; Onose, Gelu] Teaching Emergency Hosp Bagdasar Arseni, Bucharest, Romania; [Munteanu, Constantin] Grigore T Popa Univ Med &amp; Pharm, Fac Bioengn, Iasi, Romania</t>
  </si>
  <si>
    <t>Carol Davila University of Medicine &amp; Pharmacy</t>
  </si>
  <si>
    <t>"A Midsummer Night's Dream" quest for truth: From ChatGPT "hallucinations" to RAG reasoning and ACURAI precision - a scoping review on detection, minimizing, and (almost) complete error elimination and enhancing Large Language Models' reliability</t>
  </si>
  <si>
    <t>BALNEO AND PRM RESEARCH JOURNAL</t>
  </si>
  <si>
    <t>Artificial intelligence (AI); Large language models (LLMs); ChatGPT; RAG (Retrieval-Augmented Generation systems); ACURAI</t>
  </si>
  <si>
    <t>Onose, Gelu/AAC-6786-2021; ANGHELESCU, Aurelian/V-4288-2017; Munteanu, Constantin/ACM-9541-2022</t>
  </si>
  <si>
    <t>ROMANIAN ASSOC BALNEOLOGY</t>
  </si>
  <si>
    <t>BUCHAREST</t>
  </si>
  <si>
    <t>SECTOR 2, ALEEA DOBRINA NO 7, BL D10, SC A, AP 4, BUCHAREST, ROMANIA</t>
  </si>
  <si>
    <t>2734-844X</t>
  </si>
  <si>
    <t>2734-8458</t>
  </si>
  <si>
    <t>BALNEO PRM RES J</t>
  </si>
  <si>
    <t>Balneo PRM Res. J.</t>
  </si>
  <si>
    <t>847</t>
  </si>
  <si>
    <t>10.12680/balneo.2025.847</t>
  </si>
  <si>
    <t>http://dx.doi.org/10.12680/balneo.2025.847</t>
  </si>
  <si>
    <t>Rehabilitation</t>
  </si>
  <si>
    <t>AL1CW</t>
  </si>
  <si>
    <t>WOS:001650689400035</t>
  </si>
  <si>
    <t>Mayer, Y; Demetriou, B; Rasperini, G; Gabay, E; Gaspersic, R; Bozic, D; Calatrava, J; Ginesin, O; Giladi, HZ; Almeida, RF</t>
  </si>
  <si>
    <t>Aim To compare retrieval-augmented systems with general-purpose large language models (LLMs) on standardised periodontal clinical vignettes. Materials and Methods Eleven AI systems were evaluated: nine general-purpose LLMs, one general-purpose retrieval-augmented platform (Perplexity) and one medical-domain retrieval-augmented platform (OpenEvidence). Each responded to 30 synthetic vignettes covering acute, chronic and complex periodontal scenarios. Six blinded periodontists scored responses on a 5-point Likert scale for accuracy, safety, freedom from hallucinations and completeness in a randomised block design. Friedman and Conover-Iman tests with Holm correction were applied; mixed-effects and ordinal models served as sensitivity analyses. Results At least one parameter scored dangerous (&lt;= 2) in 3.3%-46.7% of responses across platforms, despite mean composite scores (3.28-4.86) exceeding the rubric midpoint of 3.0. Between-model differences were significant (p &lt; 0.001), with a small-to-medium overall effect (Kendall's W = 0.17) and large within-category effects (W up to 0.82). Perplexity, OpenEvidence and Claude 4.7 Opus formed a top tier. Conclusion Retrieval-augmented systems rated highest, but this advantage was confounded with response length. The dangerous-response spread argues against undifferentiated use. These tools should assist, not replace, specialist judgement.</t>
  </si>
  <si>
    <t>Mayer, Yaniv; Demetriou, Bertha; Rasperini, Giulio; Gabay, Eran; Gaspersic, Rok; Bozic, Darko; Calatrava, Javier; Ginesin, Ofir; Giladi, Hadar Zigdon; Almeida, Ricardo Faria</t>
  </si>
  <si>
    <t>Mayer, Y (corresponding author), Technion Israel Inst Technol, Ruth &amp; Bruce Rappaport Fac Med, Haifa, Israel.; Mayer, Y (corresponding author), Rambam Hlth Care Campus, Dept Periodontol, Haifa, Israel.</t>
  </si>
  <si>
    <t>yaniv.mayer@technion.ac.il</t>
  </si>
  <si>
    <t>[Mayer, Yaniv; Gabay, Eran; Ginesin, Ofir; Giladi, Hadar Zigdon] Technion Israel Inst Technol, Ruth &amp; Bruce Rappaport Fac Med, Haifa, Israel; [Mayer, Yaniv; Demetriou, Bertha; Gabay, Eran; Ginesin, Ofir; Giladi, Hadar Zigdon] Rambam Hlth Care Campus, Dept Periodontol, Haifa, Israel; [Rasperini, Giulio] Univ Milan, Dept Biomed Surg &amp; Dent Sci, Milan, Italy; [Gaspersic, Rok] Univ Ljubljana, Fac Med, Dept Oral Med &amp; Periodontol, Ljubljana, Slovenia; [Bozic, Darko] Univ Zagreb, Sch Dent Med, Dept Periodontol, Zagreb, Croatia; [Calatrava, Javier] Univ Complutense Madrid, Fac Odontol, Sect Grad Periodontol, Madrid, Spain; [Calatrava, Javier] Harvard Sch Dent Med, Dept Oral Med Infect &amp; Immun, Boston, MA USA; [Almeida, Ricardo Faria] Univ Porto, Fac Dent Med, Periodontol Oral Surg &amp; Oral Med Dept, LAQV REQUIMTE, Porto, Portugal</t>
  </si>
  <si>
    <t>Technion Israel Institute of Technology; Rappaport Faculty of Medicine; Technion Israel Institute of Technology; Rambam Health Care Campus; University of Milan; University of Ljubljana; University of Zagreb; University of Zagreb, School of Dental Medicine; Complutense University of Madrid; Harvard University</t>
  </si>
  <si>
    <t>Large Language Models and Retrieval-Augmented Platforms for the Diagnosis and Management of Periodontal Diseases: A Blinded Expert-Rated Comparative Study of 11 Systems</t>
  </si>
  <si>
    <t>JOURNAL OF CLINICAL PERIODONTOLOGY</t>
  </si>
  <si>
    <t>artificial intelligence; clinical decision support; diagnosis; large language models; periodontitis</t>
  </si>
  <si>
    <t>PERI-IMPLANT DISEASES; 2017 WORLD WORKSHOP; CONSENSUS REPORT; CLASSIFICATION; HEALTH</t>
  </si>
  <si>
    <t>Bozic, Darko/ADR-3813-2022; Calatrava, Javier/JYP-0981-2024; Rasperini, Giulio/B-4008-2010; Faria-Almeida, Ricardo/A-2512-2013; Mayer, Yaniv/AAX-9614-2020</t>
  </si>
  <si>
    <t>0303-6979</t>
  </si>
  <si>
    <t>1600-051X</t>
  </si>
  <si>
    <t>J CLIN PERIODONTOL</t>
  </si>
  <si>
    <t>J. Clin. Periodontol.</t>
  </si>
  <si>
    <t>10.1111/jcpe.70160</t>
  </si>
  <si>
    <t>http://dx.doi.org/10.1111/jcpe.70160</t>
  </si>
  <si>
    <t>KO6VE</t>
  </si>
  <si>
    <t>42402252</t>
  </si>
  <si>
    <t>WOS:001811948800001</t>
  </si>
  <si>
    <t>Javidan, AP; Feridooni, T; Gordon, L; Crawford, SA</t>
  </si>
  <si>
    <t>Objective: Artificial intelligence (AI) continues to become increasingly integrated with clinical medicine. Generative AI, and particularly large language models (LLMs) like ChatGPT-3.5 and ChatGPT-4, have shown promise in generating human-like text, providing a potential tool for augmenting clinical care. These online AI chatbots have already demonstrated remarkable clinical potential, having passed the US Medical Licensing Exam, for example. The evaluation of these LLMs in the surgical literature, especially as it applies to judgement and decision-making, is sparse. This study aimed to (1) evaluate the efficacy of ChatGPT-4 in providing clinician-level vascular surgery recommendations and (2) compare its performance with its predecessor, ChatGPT-3.5, to gauge the progression of clinical competencies of LLMs. Methods: A set of 40 clinician-level questions spanning 4 domains of vascular surgery (carotid artery disease, visceral artery aneurysms, abdominal aortic aneurysms, chronic limb-threatening ischemia) were generated by clinical experts. These domains were chosen based on the availability of updated guidelines published before September 2021, which served as the cutoff date for the training dataset of the LLMs. The questions, devoid of additional context or prompts, were input into ChatGPT-3.5 and ChatGPT-4 between March 20 and March 25, 2023. Responses were independently evaluated by two blinded reviewers using a 5-point Likert scale assessing comprehensiveness, accuracy, and consistency with guidelines. The Flesch-Kincaid grade level of each response was also determined. Independent samples t test and Fisher's exact test were used for comparative analysis. Results: ChatGPT-4 significantly outperformed ChatGPT-3.5 by providing appropriate recommendations in 38 of 40 questions (95%) as compared with 13 of 40 (32.5%) by ChatGPT-3.5 (Fisher's exact test P &lt; .001). Despite longer response lengths (chatGPT-4 mean 317 +/- 58 words vs chatGPT-3.5 mean 265 +/- 74 words; P &lt; .001), the reading ease of both models remained similar, corresponding with college-level graduate texts. Conclusions: ChatGPT-4 can consistently respond accurately to complex clinician-level vascular surgery questions. This also represents a substantial advancement in performance compared with its predecessor, which was released only a few months prior, highlighting the progress of performance of LLMs in clinical medicine. Several limitations persist with the use of LLMs, including hallucinations, data privacy issues, and the black box problem, However, these findings suggest that, with further refinements, LLMs like ChatGPT-4 have the potential to become indispensable tools in clinical decision-making, thereby marking an exciting frontier in the fusion of AI with clinical medicine and vascular surgery.</t>
  </si>
  <si>
    <t>Javidan, Arshia P.; Feridooni, Tiam; Gordon, Lauren; Crawford, Sean A.</t>
  </si>
  <si>
    <t>Javidan, AP (corresponding author), Sunnybrook Hlth Sci Ctr, Dept Surg, Div Vasc Surg, 2075 BayviewAv, Toronto, ON M4N 3M5, Canada.</t>
  </si>
  <si>
    <t>arshia.javidan@mail.utoronto.ca</t>
  </si>
  <si>
    <t>[Javidan, Arshia P.; Feridooni, Tiam; Gordon, Lauren; Crawford, Sean A.] Univ Toronto, Dept Surg, Div Vasc Surg, Toronto, ON, Canada; [Crawford, Sean A.] Univ Hlth Network, Peter Munk Cardiac Ctr, Toronto, ON, Canada</t>
  </si>
  <si>
    <t>University of Toronto; University of Toronto; University Health Network Toronto; Peter Munk Cardiac Centre</t>
  </si>
  <si>
    <t>Evaluating the progression of artificial intelligence and large language models in medicine through comparative analysis of ChatGPT-3.5 and ChatGPT-4 in generating vascular surgery recommendations</t>
  </si>
  <si>
    <t>JVS-VASCULAR INSIGHTS</t>
  </si>
  <si>
    <t>Artificial intelligence; Language model; Large language model; Natural language processing; Vascular surgery</t>
  </si>
  <si>
    <t>PRACTICE GUIDELINES; SOCIETY</t>
  </si>
  <si>
    <t>2949-9127</t>
  </si>
  <si>
    <t>JVS-VASCULAR INSIGHT</t>
  </si>
  <si>
    <t>JVS-Vasc. Insights</t>
  </si>
  <si>
    <t>100049</t>
  </si>
  <si>
    <t>10.1016/j.jvsvi.2023.100049</t>
  </si>
  <si>
    <t>http://dx.doi.org/10.1016/j.jvsvi.2023.100049</t>
  </si>
  <si>
    <t>Surgery; Peripheral Vascular Disease</t>
  </si>
  <si>
    <t>Surgery; Cardiovascular System &amp; Cardiology</t>
  </si>
  <si>
    <t>KR1NH</t>
  </si>
  <si>
    <t>WOS:001813628000036</t>
  </si>
  <si>
    <t>Günsoy, B; Tümüklü, K</t>
  </si>
  <si>
    <t>Purpose Large language models (LLMs) are increasingly utilized in medicine; however, their reliability in surgical and diagnostic specialties requiring guideline-anchored reasoning remains underexplored. The study systematically evaluated the performance of five contemporary LLMs in otorhinolaryngology (ENT). Methods A prospective, two-phase, cross-sectional analysis compared ChatGPT-5 (OpenAI), Gemini-3 (Google), Grok 2 (xAI), Llama 4 (Meta), and DeepSeek-4 (DeepSeek) using 100 standardized ENT clinical scenarios derived from AAO-HNS, ERS, and IFOS guidelines. Each model answered 900 questions (4 open-ended and 5 multiple-choice questions per case), and the process was repeated one month later to assess temporal stability. Two board-certified otorhinolaryngologists, blinded to the study, rated all 9,000 responses for accuracy, comprehensiveness, and adherence to guidelines on a 6-point scale. Statistical analyses included Kruskal-Wallis, Dunn's post-hoc, Wilcoxon, and ICC reliability testing. Results Inter-rater reliability was excellent (ICC = 0.91; Cronbach's alpha= 0.89). Significant inter-model differences were found across all domains (p &lt; 0.001). ChatGPT-5 achieved the highest composite score (5.58 +/- 0.24), outperforming Gemini-3 (5.42 +/- 0.28; p &lt; 0.01) and other models within a narrow, clinically credible band (5.05-5.30). Accuracy was higher for multiple-choice than open-ended items (p = 0.027), with ChatGPT-5 showing the smallest format gap. All models demonstrated strong alignment with international ENT guidelines and adhered to clinical safety standards. Temporal stability was greatest in ChatGPT-5 and Gemini-3, with minimal drift between test phases (Delta &lt; 0.1). Conclusion All evaluated LLMs delivered high factual and guideline-based reasoning in otolaryngology, with ChatGPT-5 exhibiting superior precision, completeness, and longitudinal stability. These findings support the supervised integration of LLMs as adjunctive tools for clinical education and decision support in ENT.</t>
  </si>
  <si>
    <t>Gunsoy, Behcet; Tumuklu, Koray</t>
  </si>
  <si>
    <t>Günsoy, B (corresponding author), Gaziantep Univ, Dept Otorhinolaryngol, Fac Med, Gaziantep, Turkiye.</t>
  </si>
  <si>
    <t>drbehcetgunsoy@gmail.com; drkoraytumuklu@gmail.com</t>
  </si>
  <si>
    <t>Gaziantep University</t>
  </si>
  <si>
    <t>Gaziantep University (Gaziantep University)</t>
  </si>
  <si>
    <t>[Gunsoy, Behcet] Gaziantep Univ, Dept Otorhinolaryngol, Fac Med, Gaziantep, Turkiye; [Tumuklu, Koray] Private Otorhinolaryngol Clin, Dept Otorhinolaryngol, Gaziantep, Turkiye</t>
  </si>
  <si>
    <t>Benchmarking next-generation large language models in otorhinolaryngology: a prospective, guideline-anchored, blinded evaluation of ChatGPT-5, Gemini-3, Grok-2, Llama-4, and DeepSeek-4 across case scenarios</t>
  </si>
  <si>
    <t>Artificial intelligence; Large language models; ChatGPT-5; Otorhinolaryngology; Guideline adherence</t>
  </si>
  <si>
    <t>Tumuklu, Koray/OMM-8546-2025</t>
  </si>
  <si>
    <t>10.1007/s00405-026-10264-2</t>
  </si>
  <si>
    <t>http://dx.doi.org/10.1007/s00405-026-10264-2</t>
  </si>
  <si>
    <t>HF1ZX</t>
  </si>
  <si>
    <t>42050126</t>
  </si>
  <si>
    <t>WOS:001752606800001</t>
  </si>
  <si>
    <t>Hirosawa, T; Shimizu, T</t>
  </si>
  <si>
    <t>Objectives This short communication explores the potential, limitations, and future directions of generative artificial intelligence (GAI) in enhancing diagnostics.Methods This commentary reviews current applications and advancements in GAI, particularly focusing on its integration into medical diagnostics. It examines the role of GAI in supporting medical interviews, assisting in differential diagnosis, and aiding clinical reasoning through the lens of dual-process theory. The discussion is supported by recent examples and theoretical frameworks to illustrate the practical and potential uses of GAI in medicine.Results GAI shows significant promise in enhancing diagnostic processes by supporting the translation of patient descriptions into visual formats, providing differential diagnoses, and facilitating complex clinical reasoning. However, limitations such as the potential for generating medical misinformation, known as hallucinations, exist. Furthermore, the commentary highlights the integration of GAI with both intuitive and analytical decision-making processes in clinical diagnostics, demonstrating potential improvements in both the speed and accuracy of diagnoses.Conclusions While GAI presents transformative potential for medical diagnostics, it also introduces risks that must be carefully managed. Future advancements should focus on refining GAI technologies to better align with human diagnostic reasoning, ensuring GAI enhances rather than replaces the medical professionals' expertise.</t>
  </si>
  <si>
    <t>Hirosawa, Takanobu; Shimizu, Taro</t>
  </si>
  <si>
    <t>Hirosawa, T (corresponding author), Dokkyo Med Univ, Dept Diagnost &amp; Generalist Med, 880 Kitakobayashi, Mibu, Tochigi 3210293, Japan.</t>
  </si>
  <si>
    <t>hirosawa@dokkyomed.ac.jp</t>
  </si>
  <si>
    <t>This study was made possible using the resources from the Department of Diagnostic and Generalist Medicine, Dokkyo Medical University.</t>
  </si>
  <si>
    <t>[Hirosawa, Takanobu; Shimizu, Taro] Dokkyo Med Univ, Dept Diagnost &amp; Generalist Med, 880 Kitakobayashi, Mibu, Tochigi 3210293, Japan</t>
  </si>
  <si>
    <t>Dokkyo Medical University</t>
  </si>
  <si>
    <t>The potential, limitations, and future of diagnostics enhanced by generative artificial intelligence</t>
  </si>
  <si>
    <t>diagnosis; generative artificial intelligence; large language model; natural language processing</t>
  </si>
  <si>
    <t>Hirosawa, Takanobu/AFS-0531-2022</t>
  </si>
  <si>
    <t>Hirosawa, Takanobu/0000-0002-3573-8203</t>
  </si>
  <si>
    <t>2194-8011</t>
  </si>
  <si>
    <t>2194-802X</t>
  </si>
  <si>
    <t>Diagnosis</t>
  </si>
  <si>
    <t>NOV 6 2024</t>
  </si>
  <si>
    <t>446</t>
  </si>
  <si>
    <t>449</t>
  </si>
  <si>
    <t>10.1515/dx-2024-0095</t>
  </si>
  <si>
    <t>http://dx.doi.org/10.1515/dx-2024-0095</t>
  </si>
  <si>
    <t>JUL 2024</t>
  </si>
  <si>
    <t>L2Q0L</t>
  </si>
  <si>
    <t>38987215</t>
  </si>
  <si>
    <t>WOS:001268771800001</t>
  </si>
  <si>
    <t>Shahnam, A; Nindra, U; Hitchen, N; Tang, JN; Hong, MR; Hong, JH; Au-Yeung, G; Chua, W; Ng, W; Hopkins, AM; Sorich, MJ</t>
  </si>
  <si>
    <t>PURPOSEAlthough large language models (LLMs) are increasingly used in clinical practice, formal assessments of their quality, accuracy, and effectiveness in medical oncology remain limited. We aimed to evaluate the ability of ChatGPT, an LLM, to generate physician and patient letters from clinical case notes.METHODSSix oncologists created 29 (four training, 25 final) synthetic oncology case notes. Structured prompts for ChatGPT were iteratively developed using the four training cases; once finalized, 25 physician-directed and patient-directed letters were generated. These underwent evaluation by expert consumers and oncologists for accuracy, relevance, and readability using Likert scales. The patient letters were also assessed with the Patient Education Materials Assessment Tool for Print (PEMAT-P), Flesch Reading Ease, and Simple Measure of Gobbledygook index.RESULTSAmong physician-to-physician letters, 95% (119/125) of oncologists agreed they were accurate, comprehensive, and relevant, with no safety concerns noted. These letters demonstrated precise documentation of history, investigations, and treatment plans and were logically and concisely structured. Patient-directed letters achieved a mean Flesch Reading Ease score of 73.3 (seventh-grade reading level) and a PEMAT-P score above 80%, indicating high understandability. Consumer reviewers found them clear and appropriate for patient communication. Some omissions of details (eg, side effects), stylistic inconsistencies, and repetitive phrasing were identified, although no clinical safety issues emerged. Seventy-two percent (90/125) of consumers expressed willingness to receive artificial intelligence (AI)-generated patient letters.CONCLUSIONChatGPT, when guided by structured prompts, can generate high-quality letters that align with clinical and patient communication standards. No clinical safety concerns were identified, although addressing occasional omissions and improving natural language flow could enhance their utility in practice. Further studies comparing AI-generated and human-written letters are recommended.</t>
  </si>
  <si>
    <t>Shahnam, Adel; Nindra, Udit; Hitchen, Nadia; Tang, Joanne; Hong, Martin; Hong, Jun Hee; Au-Yeung, George; Chua, Wei; Ng, Weng; Hopkins, Ashley M.; Sorich, Michael J.</t>
  </si>
  <si>
    <t>Shahnam, A (corresponding author), Peter MacCallum Canc Ctr, Dept Med Oncol, Melbourne, Vic, Australia.</t>
  </si>
  <si>
    <t>adel.shahnam@petermac.org</t>
  </si>
  <si>
    <t>AstraZeneca; Pfizer; Boehringer Ingelheim</t>
  </si>
  <si>
    <t>AstraZeneca (AstraZeneca); Pfizer (Pfizer); Boehringer Ingelheim (Boehringer Ingelheim)</t>
  </si>
  <si>
    <t>AstraZeneca (Inst), Pfizer (Inst), Boehringer Ingelheim(Inst)</t>
  </si>
  <si>
    <t>[Shahnam, Adel; Hitchen, Nadia; Au-Yeung, George] Peter MacCallum Canc Ctr, Dept Med Oncol, Melbourne, Vic, Australia; [Nindra, Udit; Tang, Joanne; Hong, Martin; Hong, Jun Hee; Chua, Wei; Ng, Weng] Liverpool Hosp, Dept Med Oncol, Sydney, NSW, Australia; [Au-Yeung, George] Univ Melbourne, Sir Peter MacCallum Dept Oncol, Melbourne, Vic, Australia; [Hopkins, Ashley M.; Sorich, Michael J.] Flinders Univ S Australia, Flinders Hlth &amp; Med Res Inst, Coll Med &amp; Publ Hlth, Adelaide, SA, Australia</t>
  </si>
  <si>
    <t>Peter Maccallum Cancer Center; Liverpool Hospital; University of Melbourne; Peter Maccallum Cancer Center; Flinders University</t>
  </si>
  <si>
    <t>Application of Generative Artificial Intelligence for Physician and Patient Oncology Letters-AI-OncLetters</t>
  </si>
  <si>
    <t>Sorich, Michael Joseph/A-1210-2011; Shahnam, Adel/MIU-3114-2025; Hong, Martin/AAO-5432-2020; Hopkins, Ashley/W-9551-2019</t>
  </si>
  <si>
    <t>Sorich, Michael Joseph/0000-0003-1999-866X; Shahnam, Adel/0000-0002-0043-8374; Hong, Martin/0000-0002-2327-4261; Au-Yeung, George/0000-0003-1128-6385; Nindra, Udit/0000-0002-2612-9502</t>
  </si>
  <si>
    <t>e2400323</t>
  </si>
  <si>
    <t>10.1200/CCI-24-00323</t>
  </si>
  <si>
    <t>http://dx.doi.org/10.1200/CCI-24-00323</t>
  </si>
  <si>
    <t>2GB2G</t>
  </si>
  <si>
    <t>40315407</t>
  </si>
  <si>
    <t>WOS:001481800000001</t>
  </si>
  <si>
    <t>Bailey, DJ; Anjum, J; Park, H; Carpenter, E; Mamlekar, C; Kurland, J</t>
  </si>
  <si>
    <t>Purpose: Generative artificial intelligence (GenAI) is rapidly emerging as a trans-formative technology in aphasia management, necessitating judicious and structured evaluation. The purpose of this clinical focus article is to apply a Strengths, Weaknesses, Opportunities, and Threats (SWOT) analysis framework to systematically evaluate the potential role and implications of GenAI tools in aphasia management and to offer preliminary ethical considerations and recommendations for their responsible use in clinical contexts. Method: This clinical focus article offers initial SWOT analysis of GenAI tools by members of a GenAI in aphasia management working group. The clinical domains within the analysis include screening and assessment, intervention, augmentative and alternative communication and digital accessibility, counseling and care partner education, and clinical documentation. Results: The SWOT analysis identified GenAI's potential for enhancing screening and assessment, personalizing treatment, supporting care partners, and streamlining clinical documentation. The analysis also highlighted issues related to problematic outputs; digital literacy requirements; vulnerability to deepfakes, phishing, and medical misinformation; economic and accessibility constraints; and concerns over autonomy and privacy. Preliminary ethical analysis was subsequently performed to establish a basis for ethical uses of GenAI in aphasia management, despite the dynamic nature of the GenAI landscape. Conclusions: GenAI presents valuable opportunities to advance aphasia management, but substantial weaknesses and threats underscore the need for cautious integration into clinical practice. Proactive collaboration among clinicians, people with aphasia, institutions, and policymakers is necessary to help maximize clinical benefits while preserving essential human elements in aphasia care and addressing concerns related to patient privacy and accessibility.</t>
  </si>
  <si>
    <t>Bailey, Dallin J.; Anjum, Javad; Park, Hyejin; Carpenter, Erin; Mamlekar, Chitrali; Kurland, Jacquie</t>
  </si>
  <si>
    <t>Bailey, DJ (corresponding author), Brigham Young Univ, Dept Commun Disorders, Provo, UT 84602 USA.</t>
  </si>
  <si>
    <t>dallinjb@byu.edu</t>
  </si>
  <si>
    <t>[Bailey, Dallin J.] Brigham Young Univ, Dept Commun Disorders, Provo, UT 84602 USA; [Anjum, Javad] Univ Georgia, Dept Commun Sci &amp; Special Educ, Athens, GA USA; [Park, Hyejin] Univ Mississippi, Dept Commun Sci &amp; Disorders, Oxford, MS USA; [Carpenter, Erin] Boston Univ, Dept Speech Language &amp; Hearing Sci, Boston, MA, Brazil; [Mamlekar, Chitrali] Misericordia Univ, Speech Language Pathol Dept, Dallas, PA USA; [Kurland, Jacquie] Univ Massachusetts Amherst, Dept Speech Language &amp; Hearing Sci, Amherst, MA USA</t>
  </si>
  <si>
    <t>Brigham Young University; University System of Georgia; University of Georgia; University of Mississippi; Misericordia University; University of Massachusetts System; University of Massachusetts Amherst</t>
  </si>
  <si>
    <t>A Strengths, Weaknesses, Opportunities, and Threats Analysis of Generative Artificial Intelligence in Aphasia Management With Proposed Ethical Guidelines</t>
  </si>
  <si>
    <t>AMERICAN JOURNAL OF SPEECH-LANGUAGE PATHOLOGY</t>
  </si>
  <si>
    <t>ALTERNATIVE COMMUNICATION; LANGUAGE</t>
  </si>
  <si>
    <t>Mamlekar, Chitrali/KEI-5744-2024; Anjum, Javad/AFB-9264-2022</t>
  </si>
  <si>
    <t>Anjum, Javad/0000-0003-0984-8836</t>
  </si>
  <si>
    <t>AMER SPEECH-LANGUAGE-HEARING ASSOC</t>
  </si>
  <si>
    <t>ROCKVILLE</t>
  </si>
  <si>
    <t>2200 RESEARCH BLVD, #271, ROCKVILLE, MD 20850-3289 USA</t>
  </si>
  <si>
    <t>1058-0360</t>
  </si>
  <si>
    <t>1558-9110</t>
  </si>
  <si>
    <t>AM J SPEECH-LANG PAT</t>
  </si>
  <si>
    <t>Am. J. Speech-Lang. Pathol.</t>
  </si>
  <si>
    <t>402</t>
  </si>
  <si>
    <t>421</t>
  </si>
  <si>
    <t>10.1044/2025_AJSLP-25-00262</t>
  </si>
  <si>
    <t>http://dx.doi.org/10.1044/2025_AJSLP-25-00262</t>
  </si>
  <si>
    <t>Audiology &amp; Speech-Language Pathology; Linguistics; Rehabilitation</t>
  </si>
  <si>
    <t>FG1WC</t>
  </si>
  <si>
    <t>41678554</t>
  </si>
  <si>
    <t>WOS:001717978800001</t>
  </si>
  <si>
    <t>Livingston, L; Featherstone-Uwague, A; Barry, A; Barretto, K; Morey, T; Herrmannova, D; Avula, V</t>
  </si>
  <si>
    <t>Objectives To develop and apply a reproducible methodology for evaluating generative artificial intelligence (AI) powered systems in health care, addressing the gap between theoretical evaluation frameworks and practical implementation guidance.Materials and Methods A 5-dimension evaluation framework was developed to assess query comprehension and response helpfulness, correctness, completeness, and potential clinical harm. The framework was applied to evaluate ClinicalKey AI using queries drawn from user logs, a benchmark dataset, and subject matter expert curated queries. Forty-one board-certified physicians and pharmacists were recruited to independently evaluate query-response pairs. An agreement protocol using the mode and modified Delphi method resolved disagreements in evaluation scores.Results Of 633 queries, 614 (96.99%) produced evaluable responses, with subject matter experts completing evaluations of 426 query-response pairs. Results demonstrated high rates of response correctness (95.5%) and query comprehension (98.6%), with 94.4% of responses rated as helpful. Two responses (0.47%) received scores indicating potential clinical harm. Pairwise consensus occurred in 60.6% of evaluations, with remaining cases requiring third tie-breaker review.Discussion The framework demonstrated effectiveness in quantifying performance through comprehensive evaluation dimensions and structured scoring resolution methods. Key strengths included representative query sampling, standardized rating scales, and robust subject matter expert agreement protocols. Challenges emerged in managing subjective assessments of open-ended responses and achieving consensus on potential harm classification.Conclusion This framework offers a reproducible methodology for evaluating health-care generative AI systems, establishing foundational processes that can inform future efforts while supporting the implementation of generative AI applications in clinical settings.Doctors and nurses are starting to use artificial intelligence (AI) tools that can answer medical questions in plain language. Before these tools can be trusted at a patient's bedside, they must be tested to be sure their advice is correct, complete, and safe. Today there is no widely accepted way to run those tests. We designed a 5-part evaluation system: helpfulness, understanding of the question, factual accuracy, completeness, and risk of patient harm. We asked 41 practicing clinicians to score 426 answers produced by ClinicalKey AI, an AI system that pulls its information from a library of medical articles to generate summarized responses. Each answer was rated by at least 2 independent reviewers, with a third reviewer settling any disagreements. Our study offers a clear, repeatable method that hospitals, researchers, and technology companies can use to judge whether medical AI systems are reliable enough for real-world care.</t>
  </si>
  <si>
    <t>Livingston, Leah; Featherstone-Uwague, Amber; Barry, Amanda; Barretto, Kenneth; Morey, Tara; Herrmannova, Drahomira; Avula, Venkatesh</t>
  </si>
  <si>
    <t>Livingston, L (corresponding author), Elsevier Hlth Markets, 1600 John F Kennedy Blvd 1600, Philadelphia, PA 19103 USA.</t>
  </si>
  <si>
    <t>l.pilossoph@elsevier.com</t>
  </si>
  <si>
    <t>[Livingston, Leah; Featherstone-Uwague, Amber; Barry, Amanda; Barretto, Kenneth; Morey, Tara; Herrmannova, Drahomira; Avula, Venkatesh] Elsevier Hlth Markets, 1600 John F Kennedy Blvd 1600, Philadelphia, PA 19103 USA</t>
  </si>
  <si>
    <t>Reproducible generative artificial intelligence evaluation for health care: a clinician-in-the-loop approach</t>
  </si>
  <si>
    <t>generative AI; evaluations; large language models; subject matter experts; artificial intelligence</t>
  </si>
  <si>
    <t>Avula, Venkatesh/AAT-4245-2021</t>
  </si>
  <si>
    <t>ooaf054</t>
  </si>
  <si>
    <t>10.1093/jamiaopen/ooaf054</t>
  </si>
  <si>
    <t>http://dx.doi.org/10.1093/jamiaopen/ooaf054</t>
  </si>
  <si>
    <t>3TT0M</t>
  </si>
  <si>
    <t>40524837</t>
  </si>
  <si>
    <t>WOS:001508800500001</t>
  </si>
  <si>
    <t>Tiller, NB; Marcon, AR; Zenone, M; Kidd, KE; Jeukendrup, AE; Master, Z; Caulfield, T</t>
  </si>
  <si>
    <t>Objectives Artificial intelligence (AI)-driven chatbots have been rapidly adopted across research, education, business, marketing and medicine. Most interactions, however, come from non-experts using chatbots like search engines, including for everyday health and medical queries.Design We conducted an original study to audit chatbot responses in health and medical fields prone to misinformation.Methods Five popular chatbots were assessed: Gemini (Google), DeepSeek (High-Flyer), Meta AI (Meta), ChatGPT (OpenAI) and Grok (xAI). In February 2025, each chatbot was prompted with 10 questions from five categories: cancer, vaccines, stem cells, nutrition and athletic performance. We deployed an adversarial-like framework, using open- and closed-ended prompts designed to strain models toward misinformation or contraindicated advice. Two experts from each category rated responses as 'non-problematic', 'somewhat problematic' or 'highly problematic' using a coding matrix based on objective, predefined criteria. Citations were scored for accuracy and completeness, and each response was given a Flesch Reading Ease score.Results Nearly half (49.6%) of responses were problematic: 30% somewhat problematic and 19.6% highly problematic. Response quality did not differ significantly among chatbots (p=0.566) but Grok generated significantly more highly problematic responses than would be expected under a random distribution (z-score +2.07, p=0.038). Performance was strongest in vaccines (mean z-score -2.57) and cancer (-2.12), and weakest in stem cells (+1.25), athletic performance (+3.74) and nutrition (+4.35). Chatbot outputs were consistently expressed with confidence and certainty; from 250 total questions, there were only two refusals to answer (0.8%), both from Meta AI. Reference quality was poor, with a median completeness score of 40% (Q1-Q3: 20-67%). Chatbot hallucinations and fabricated citations precluded any chatbot from producing a fully accurate reference list. All readability scores were graded as 'Difficult' (30-50), equivalent to college sophomore-senior level.Conclusions The audited chatbots performed poorly when answering questions in misinformation-prone health and medical fields. Continued deployment without public education and oversight risks amplifying misinformation.</t>
  </si>
  <si>
    <t>Tiller, Nicholas B.; Marcon, Alessandro R.; Zenone, Marco; Kidd, Kristin E.; Jeukendrup, Asker E.; Master, Zubin; Caulfield, Timothy</t>
  </si>
  <si>
    <t>Tiller, NB (corresponding author), Harbor UCLA Med Ctr, Lundquist Inst Biomed Innovat, Torrance, CA 90502 USA.</t>
  </si>
  <si>
    <t>Center for Artificial Intelligence Research, Wake Forest University School of Medicine</t>
  </si>
  <si>
    <t>Research reported in this publication was partially supported by the Center for Artificial Intelligence Research, Wake Forest University School of Medicine. The authors received no specific external grant for this research from any funding agency in the public, commercial, or not-for-profit sectors.</t>
  </si>
  <si>
    <t>[Tiller, Nicholas B.] Harbor UCLA Med Ctr, Lundquist Inst Biomed Innovat, Torrance, CA 90502 USA; [Marcon, Alessandro R.; Caulfield, Timothy] Univ Alberta, Hlth Law Inst, Edmonton, AB, Canada; [Zenone, Marco] Univ Ottawa, Fac Hlth Sci, Ottawa, ON, Canada; [Kidd, Kristin E.; Master, Zubin] Wake Forest Sch Med, Dept Social Sci &amp; Hlth Policy, Div Publ Hlth Sci, Winston Salem, NC USA; [Jeukendrup, Asker E.] Loughborough Univ, Sch Sport Exercise &amp; Hlth Sci, Loughborough, England; [Master, Zubin] Wake Forest Univ, Wake Forest Inst Regenerat Med, Bowman Gray Sch Med, Winston Salem, NC USA; [Master, Zubin] Wake Forest Univ, Maya Angelou Ctr Hlth Communities, Bowman Gray Sch Med, Winston Salem, NC USA; [Master, Zubin] Wake Forest Univ, Ctr Bioeth Hlth &amp; Soc, Winston Salem, NC USA</t>
  </si>
  <si>
    <t>University of California System; University of California Los Angeles; University of California Los Angeles Medical Center; University of Alberta; University of Ottawa; Wake Forest University; Loughborough University; Wake Forest University; Wake Forest Baptist Medical Center; Wake Forest University School of Medicine; Wake Forest University; Wake Forest Baptist Medical Center; Wake Forest University</t>
  </si>
  <si>
    <t>Generative artificial intelligence-driven chatbots and medical misinformation: an accuracy, referencing and readability audit</t>
  </si>
  <si>
    <t>BMJ OPEN</t>
  </si>
  <si>
    <t>Artificial Intelligence; Health; Medicine</t>
  </si>
  <si>
    <t>Jeukendrup, Asker/D-1770-2010</t>
  </si>
  <si>
    <t>Kidd, Kristin/0009-0009-4432-4529</t>
  </si>
  <si>
    <t>2044-6055</t>
  </si>
  <si>
    <t>BMJ Open</t>
  </si>
  <si>
    <t>e112695</t>
  </si>
  <si>
    <t>10.1136/bmjopen-2025-112695</t>
  </si>
  <si>
    <t>http://dx.doi.org/10.1136/bmjopen-2025-112695</t>
  </si>
  <si>
    <t>HJ9RC</t>
  </si>
  <si>
    <t>41980854</t>
  </si>
  <si>
    <t>WOS:001755845100001</t>
  </si>
  <si>
    <t>Dao, N; Quesada, L; Hassan, SM; Campo, MI; Johnson, S; Ghose, S; Estépar, RS; Waxman, A; Washko, G; Rahaghi, FN</t>
  </si>
  <si>
    <t>Objectives Unstructured data, such as procedure notes, contain valuable medical information that is frequently underutilized due to the labor-intensive nature of data extraction. This study aims to develop a generative artificial intelligence (GenAI) pipeline using an open-source Large Language Model (LLM) with built-in guardrails and a retry mechanism to extract data from unstructured right heart catheterization (RHC) notes while minimizing errors, including hallucinations. Materials and Methods A total of 220 RHC notes were randomly selected for pipeline development and 200 for validation from the Pulmonary Vascular Disease Registry. The pipeline comprised three main components: the Engineered Preload Framework (EPF), which integrated schemas and instructions; the LLM module, enhanced by reasoning capabilities; and the validation and retry mechanism, which ensured data accuracy through iterative self-correction. A clinical expert manually extracted data from the validation cohort to establish the ground truth. Pipeline performance was evaluated using precision, recall, and F1 score. Additionally, the dataset was stratified into quartiles to assess the pipeline's ability to handle varying levels of data availability. Results The pipeline achieved 99.0% precision, 85.0% recall, and a 91.5% F1 score, with an overall accuracy of 90% when evaluated at the note level. The most common error was missed values (5.2%), while hallucinations were the least frequent (&lt;0.01%). Discussion and Conclusion This study demonstrates the feasibility of a robust GenAI pipeline for automating structured data extraction from unstructured RHC procedure notes. The approach highlights the potential of LLMs in medical data mining, improving research efficiency and clinical applications.</t>
  </si>
  <si>
    <t>Dao, Nam; Quesada, Luisa; Hassan, Syed Moin; Campo, Monica Iturrioz; Johnson, Shelsey; Ghose, Suchandra; Estepar, Raul San Jose; Waxman, Aaron; Washko, George; Rahaghi, Farbod N.</t>
  </si>
  <si>
    <t>Dao, N (corresponding author), Brigham &amp; Womens Hosp, Lung Ctr, 15 Francis St, Boston, MA 02115 USA.</t>
  </si>
  <si>
    <t>ndao2@bwh.harvard.edu</t>
  </si>
  <si>
    <t>National Institute of Health T32 program [GR0125656]; National Heart, Lung, and Blood Institute (NHLBI) [R01HL164717, 1R01HL149877, R01HL116473, R01HL122464]</t>
  </si>
  <si>
    <t>National Institute of Health T32 program; National Heart, Lung, and Blood Institute (NHLBI) (United States Department of Health &amp; Human Services, National Institutes of Health (NIH) - USA, NIH National Heart Lung &amp; Blood Institute (NHLBI))</t>
  </si>
  <si>
    <t>Nam Dao was supported by the National Institute of Health T32 program, grant number GR0125656. Syed Moin Hassan was supported by a grant from the National Heart, Lung, and Blood Institute (NHLBI), grant number R01HL164717. Raul San Jose Estepar was supported by grants from the National Heart, Lung, and Blood Institute (NHLBI), grant numbers 1R01HL149877 and R01HL116473. George Washko was supported by grants from the National Heart, Lung, and Blood Institute (NHLBI), grant numbers R01HL116473 and R01HL122464. Farbod Rahaghi was supported by a grant from the National Heart, Lung, and Blood Institute (NHLBI), grant number R01HL164717.</t>
  </si>
  <si>
    <t>[Dao, Nam; Quesada, Luisa; Johnson, Shelsey; Ghose, Suchandra; Waxman, Aaron; Washko, George; Rahaghi, Farbod N.] Brigham &amp; Womens Hosp, Div Pulm &amp; Crit Care, Boston, MA 02115 USA; [Hassan, Syed Moin] Brigham &amp; Womens Hosp, Div Sleep Med, Boston, MA 02115 USA; [Campo, Monica Iturrioz; Estepar, Raul San Jose] Brigham &amp; Womens Hosp, Dept Radiol, Boston, MA 02115 USA</t>
  </si>
  <si>
    <t>Harvard University; Harvard University Medical Affiliates; Brigham &amp; Women's Hospital; Harvard University; Harvard University Medical Affiliates; Brigham &amp; Women's Hospital; Harvard University; Harvard University Medical Affiliates; Brigham &amp; Women's Hospital</t>
  </si>
  <si>
    <t>Generative artificial intelligence for automated data extraction from unstructured medical text</t>
  </si>
  <si>
    <t>large language models; generative artificial intelligence; pulmonary hypertension; cardiac catheterization; data mining</t>
  </si>
  <si>
    <t>San Jose Estepar, Raul/AAQ-5657-2020</t>
  </si>
  <si>
    <t>ooaf097</t>
  </si>
  <si>
    <t>10.1093/jamiaopen/ooaf097</t>
  </si>
  <si>
    <t>http://dx.doi.org/10.1093/jamiaopen/ooaf097</t>
  </si>
  <si>
    <t>6YY2F</t>
  </si>
  <si>
    <t>40918939</t>
  </si>
  <si>
    <t>WOS:001565346200001</t>
  </si>
  <si>
    <t>Rodrigues, AC; Misurac, JM; Knake, LA; Barker, K; Blum, JM</t>
  </si>
  <si>
    <t>Background Admission history and physical (H&amp;P) notes influence inpatient documentation, risk adjustment, and reimbursement. In high-acuity settings, time constraints and fragmented chart data contribute to under-documentation of comorbidities. Generative AI systems that draft admission notes from existing electronic health record data may improve documentation completeness, but real-world inpatient performance remains insufficiently characterized. Objective This study aimed to evaluate whether AI-generated admission notes identify documentation-relevant diagnoses supported by the medical record but not explicitly captured in provider-authored admission notes. Methods In this single-center retrospective pilot study, we reviewed 22 matched pairs of AI-generated and provider-authored admission H&amp;P notes at a large academic medical center. We assessed principal diagnosis concordance and identified net-new secondary diagnoses. Secondary diagnoses identified by the AI but absent from provider-authored notes were adjudicated by a clinical documentation improvement (CDI) team using standard institutional criteria. Results AI-generated notes aligned with the provider-authored principal diagnosis in 91% of cases (20/22). The CDI team adjudicated 104 AI-identified secondary diagnoses, of which 97% (101/104) were supported for documentation. Ninety-four diagnoses were net-new, quality-relevant conditions not documented in provider-authored notes (median: 4.5 per admission). Net-new diagnoses were observed across all provider types, with numerically higher counts among advanced practice providers and residents; however, the sample was too small to support inferential comparisons. Despite its modest sample size, this pilot demonstrated high principal diagnosis concordance, though the AI misclassified the principal diagnosis in two cases. AI-generated drafts identified additional CDI-supported diagnoses not captured by providers, though narrative quality and factual accuracy were not evaluated. Conclusion These findings highlight the potential of generative AI to surface documentation-relevant information at admission and underscore the importance of human oversight in AI-assisted documentation workflows. Larger multicenter studies are needed to assess generalizability and safety.</t>
  </si>
  <si>
    <t>Rodrigues, Alfredo Camargo; Misurac, Jason M.; Knake, Lindsey A.; Barker, Kevin; Blum, James M.</t>
  </si>
  <si>
    <t>Rodrigues, AC (corresponding author), Univ Iowa Hlth Care, Roy J &amp; Lucille A Carver Coll Med, Dept Anesthesia, Hlth Care Informat Syst, Iowa City, IA 52245 USA.</t>
  </si>
  <si>
    <t>alfredo-camargorodrigues@uiowa.edu</t>
  </si>
  <si>
    <t>[Rodrigues, Alfredo Camargo] Univ Iowa Hlth Care, Roy J &amp; Lucille A Carver Coll Med, Dept Anesthesia, Hlth Care Informat Syst, Iowa City, IA 52245 USA; [Misurac, Jason M.; Knake, Lindsey A.] Univ Iowa Hlth Care, Roy J &amp; Lucille A Carver Coll Med, Dept Pediat, Hlth Care Informat Syst, Iowa City, IA USA; [Barker, Kevin] Univ Iowa Hlth Care, Hlth Care Informat Syst, Clin Documentat Improvement, Iowa City, IA USA; [Blum, James M.] Univ Iowa Hlth Care, Inst Clin &amp; Translat Sci, Roy J &amp; Lucille A Carver Coll Med, Dept Anesthesia,Hlth Care Informat Syst, Iowa City, IA USA</t>
  </si>
  <si>
    <t>University of Iowa; University of Iowa; University of Iowa; University of Iowa</t>
  </si>
  <si>
    <t>Generative AI in Admission Notes and Diagnostic Completeness: A Pilot Study</t>
  </si>
  <si>
    <t>clinical information systems; process management tools; clinical data management; natural language processing; electronic health records</t>
  </si>
  <si>
    <t>CARE; BURNOUT; DOCUMENTATION; BURDEN</t>
  </si>
  <si>
    <t>Misurac, Jason/T-2178-2019</t>
  </si>
  <si>
    <t>Camargo Rodrigues, Alfredo/0009-0005-8628-4941</t>
  </si>
  <si>
    <t>03</t>
  </si>
  <si>
    <t>392</t>
  </si>
  <si>
    <t>399</t>
  </si>
  <si>
    <t>10.1055/a-2876-0998</t>
  </si>
  <si>
    <t>http://dx.doi.org/10.1055/a-2876-0998</t>
  </si>
  <si>
    <t>JN6PH</t>
  </si>
  <si>
    <t>42150573</t>
  </si>
  <si>
    <t>WOS:001793626100003</t>
  </si>
  <si>
    <t>Ehsan, U; Jang, BS; McNutt, TR; Alcorn, SR</t>
  </si>
  <si>
    <t>Background: Generative artificial intelligence (GenAI), particularly large language models (LLMs), promises to revolutionize healthcare, yet their practical utility in clinical settings remains uncertain. To date, LLMs have largely been evaluated using algorithm-centered benchmarks that are generally tailored for engineering, not clinical practice. This study pioneers LLM utility in radiation oncology (RO) by introducing a provider-centered approach using ecologically situated use cases and develops a novel evaluation framework focused on clinical safety and usability. Methods: Four ecologically situated use cases [Letter of Medical Necessity (LOMN) generation, radiology report summarization, consult note summarization, medical decision-making (MDM)] were identified through provider needs assessment. Three publicly available commercial LLMs (ChatGPT, Google Gemini, Microsoft Copilot) were evaluated using de-identified clinical data. A multidisciplinary team of AI experts and RO physicians (ROPs) developed customized, multi-dimensional evaluation measures focusing on safety and usability. ROPs assessed LLM outputs against these measures using standardized prompts. The evaluation was repeated after 6 months to validate measure robustness. Results: No single LLM excelled across all tasks. ChatGPT performed best overall in readability and minimizing hallucinations, scoring in the highest tier across most use cases. Gemini showed strengths in lay-friendliness but exhibited greater variability across dimensions. Copilot led in citation accuracy yet consistently scored lower in readability. LLMs performed adequately for summarization tasks (averaging &gt;= 4/5 on accuracy) but outputs for complex tasks like MDM scored notably lower, often requiring significant verification. Conclusions: These commercially available LLMs (ChatGPT, Gemini, Copilot) exhibit variable performance and require substantial human oversight for safe application in RO. They are not currently suitable for autonomous clinical use, primarily due to concerns regarding reliability and the burden of verification. This study offers ecologically situated use cases and pioneers a validated, provider-centered framework to guide LLM evaluation, and guiding realistic assessment for their use in clinical workflows.</t>
  </si>
  <si>
    <t>Ehsan, Upol; Jang, Brian S.; McNutt, Todd R.; Alcorn, Sara R.</t>
  </si>
  <si>
    <t>Alcorn, SR (corresponding author), Univ Minnesota, Med Sch, Dept Radiat Oncol, Phillips Wangensteen Bldg, 516 Delaware St SE, PWB, Minneapolis, MN 55455 USA.</t>
  </si>
  <si>
    <t>alcor049@umn.edu</t>
  </si>
  <si>
    <t>[Ehsan, Upol] Northeastern Univ, Khoury Coll Comp Sci, Boston, MA USA; [Ehsan, Upol] Harvard Univ, Berkman Klein Ctr, Boston, MA USA; [Jang, Brian S.; Alcorn, Sara R.] Univ Minnesota, Med Sch, Dept Radiat Oncol, Phillips Wangensteen Bldg, 516 Delaware St SE, PWB, Minneapolis, MN 55455 USA; [McNutt, Todd R.] Johns Hopkins Sch Med, Dept Radiat Oncol &amp; Mol Radiat Sci, Baltimore, MD USA</t>
  </si>
  <si>
    <t>Northeastern University; Harvard University; University of Minnesota System; University of Minnesota Twin Cities; Johns Hopkins University; Johns Hopkins Medicine</t>
  </si>
  <si>
    <t>What matters when generative artificial intelligence enters the clinic: a clinician-centered evaluation of ChatGPT, Gemini and Copilot in radiation oncology</t>
  </si>
  <si>
    <t>Large language models (LLMs); radiation oncology (RO); decision making; clinical practice</t>
  </si>
  <si>
    <t>JUN 30 2026</t>
  </si>
  <si>
    <t>10.21037/jmai-2025-1-251</t>
  </si>
  <si>
    <t>http://dx.doi.org/10.21037/jmai-2025-1-251</t>
  </si>
  <si>
    <t>LH1JM</t>
  </si>
  <si>
    <t>WOS:001824464500005</t>
  </si>
  <si>
    <t>Yamaguchi, H; Sugihara, G; Shimizu, M; Yamashita, Y</t>
  </si>
  <si>
    <t>Background Recent advancements in generative artificial intelligence (AI) for image generation have presented significant opportunities for medical imaging, offering a promising way to generate realistic virtual medical images while ensuring patient privacy. The generation of a large number of virtual medical images through AI has the potential to augment training datasets for discriminative AI models, particularly in fields with limited data availability, such as neuroimaging. Current studies on generative AI in neuroimaging have mainly focused on disease discrimination; however, its potential for simulating complex phenomena in psychiatric disorders remains unknown. In this study, as examples of a simulation, we aimed to present a novel generative AI model that transforms magnetic resonance imaging (MRI) images of healthy individuals into images that resemble those of patients with schizophrenia (SZ) and explore its application.Methods We used anonymized public datasets from the Center for Biomedical Research Excellence (SZ, 71 patients; healthy subjects [HSs], 71 patients) and the Autism Brain Imaging Data Exchange (autism spectrum disorder [ASD], 79 subjects; HSs, 105 subjects). We developed a model to transform MRI images of HSs into MRI images of SZ using cycle generative adversarial networks. The efficacy of the transformation was evaluated using voxel-based morphometry to assess the differences in brain region volumes and the accuracy of age prediction pre- and post-transformation. In addition, the model was examined for its applicability in simulating disease comorbidities and disease progression.Results The model successfully transformed HS images into SZ images and identified brain volume changes consistent with existing case-control studies. We also applied this model to ASD MRI images, where simulations comparing SZ with and without ASD backgrounds highlighted the differences in brain structures due to comorbidities. Furthermore, simulating disease progression while preserving individual characteristics showcased the model's ability to reflect realistic disease trajectories.Discussion The results suggest that our generative AI model can capture subtle changes in brain structures associated with SZ, providing a novel tool for visualizing brain changes in different diseases. The potential of this model extends beyond clinical diagnosis to advances in the simulation of disease mechanisms, which may ultimately contribute to the refinement of therapeutic strategies.</t>
  </si>
  <si>
    <t>Yamaguchi, Hiroyuki; Sugihara, Genichi; Shimizu, Masaaki; Yamashita, Yuichi</t>
  </si>
  <si>
    <t>Yamashita, Y (corresponding author), Natl Inst Neurosci, Natl Ctr Neurol &amp; Psychiat, Dept Informat Med, Tokyo, Japan.</t>
  </si>
  <si>
    <t>yamay@ncnp.go.jp</t>
  </si>
  <si>
    <t>JSPS KAKENHI [JP 18K07597, JP 20H00625, JP 22K15777, JP 22K07574]; JST CREST [JPMJCR21P4]; Intramural Research Grant for Neurological and Psychiatric Disorders of the NCNP; Grants-in-Aid for Scientific Research [20H00625, 22K15777] Funding Source: KAKEN</t>
  </si>
  <si>
    <t>JSPS KAKENHI (Ministry of Education, Culture, Sports, Science and Technology, Japan (MEXT), Japan Society for the Promotion of Science); JST CREST (Japan Science &amp; Technology Agency (JST), Core Research for Evolutional Science and Technology (CREST)); Intramural Research Grant for Neurological and Psychiatric Disorders of the NCNP; Grants-in-Aid for Scientific Research (Ministry of Education, Culture, Sports, Science and Technology, Japan (MEXT), Japan Society for the Promotion of Science, Grants-in-Aid for Scientific Research (KAKENHI))</t>
  </si>
  <si>
    <t>The author(s) declare that financial support was received for the research, authorship, and/or publication of this article. This work was partially supported by the JSPS KAKENHI (Grant Numbers JP 18K07597, JP 20H00625, JP 22K15777, JP 22K07574, JST CREST JPMJCR21P4) and an Intramural Research Grant (4-6, 6-9) for Neurological and Psychiatric Disorders of the NCNP.</t>
  </si>
  <si>
    <t>[Yamaguchi, Hiroyuki; Yamashita, Yuichi] Natl Inst Neurosci, Natl Ctr Neurol &amp; Psychiat, Dept Informat Med, Tokyo, Japan; [Yamaguchi, Hiroyuki] Yokohama City Univ, Sch Med, Dept Psychiat, Yokohama, Japan; [Sugihara, Genichi; Shimizu, Masaaki] Tokyo Med &amp; Dent Univ, Grad Sch Med &amp; Dent Sci, Dept Psychiat &amp; Behav Sci, Tokyo, Japan</t>
  </si>
  <si>
    <t>National Center for Neurology &amp; Psychiatry - Japan; Yokohama City University; Institute of Science Tokyo; Tokyo Medical &amp; Dental University (TMDU)</t>
  </si>
  <si>
    <t>Generative artificial intelligence model for simulating structural brain changes in schizophrenia</t>
  </si>
  <si>
    <t>generative AI; deep learning; CycleGAN; brain MRI simulation; schizophrenia; disease simulation</t>
  </si>
  <si>
    <t>VOXEL-BASED MORPHOMETRY; HALLUCINATIONS; METAANALYSIS; NETWORK; DISEASE; AGE</t>
  </si>
  <si>
    <t>Yamaguchi, Hiroyuki/GNP-0400-2022</t>
  </si>
  <si>
    <t>OCT 4 2024</t>
  </si>
  <si>
    <t>1437075</t>
  </si>
  <si>
    <t>10.3389/fpsyt.2024.1437075</t>
  </si>
  <si>
    <t>http://dx.doi.org/10.3389/fpsyt.2024.1437075</t>
  </si>
  <si>
    <t>J0R7Z</t>
  </si>
  <si>
    <t>39429522</t>
  </si>
  <si>
    <t>WOS:001334238100001</t>
  </si>
  <si>
    <t>Rinderknecht, E; Engelmann, SU; Saberi, V; Kirschner, C; Kravchuk, AP; Schmelzer, A; Breyer, J; Gossler, C; Mayr, R; Gilfrich, C; Burger, M; von Winning, D; Borgmann, H; Wülfing, C; Merseburger, AS; Haas, M; May, M</t>
  </si>
  <si>
    <t>Background: The increasing volume and complexity of biomedical literature pose challenges for making scientific knowledge accessible to lay audiences. Lay summaries, now widely encouraged or required by journals, aim to bridge this gap by promoting health literacy, patient engagement, and public trust. However, many are written by scientists without formal training in plain-language communication, often resulting in limited clarity, readability, and consistency. Generative large language models such as ChatGPT-4 offer a scalable opportunity to support lay summary creation, though their effectiveness within specific clinical domains has not been systematically evaluated at scale. Objective: This study aimed to assess ChatGPT-4's performance in generating lay summaries for prostate cancer studies. A secondary objective was to evaluate how prompt design influences summary quality, aiming to provide practical guidance for the use of generative artificial intelligence (AI) in scientific publishing. Methods: A total of 204 consecutive articles on prostate cancer were extracted from a high-ranking oncology journal mandating lay summaries. Each abstract was processed with ChatGPT-4 using 2 prompts: a simple prompt based on the journal's guidelines and an extended prompt refined to improve readability. AI-generated and original summaries were evaluated using 3 criteria: readability (Flesch-Kincaid Reading Ease [FKRE]), factual accuracy (5-point Likert scale, blinded rating by 2 clinical experts), and compliance with word count instructions (120-150 words). Summaries were classified as high-quality as a composite outcome if they met all 3 benchmarks: FKRE &gt;30, accuracy &gt;= 4 from both raters, and word count within range. Statistical comparisons used Wilcoxon signed-rank and paired 2-tailed t tests (P&lt;.05). Results: ChatGPT-4-generated lay summaries showed an improvement in readability compared to human-written versions, with the extended prompt achieving higher scores than the simple prompt (median FKRE: extended prompt 47, IQR 42-56; simple prompt 36, IQR 29-43; original 20, IQR 9.5-29; P&lt;.001). Factual accuracy was higher for the AI-generated lay summaries compared to originals (median factual accuracy score: extended prompt 5, IQR 5-5; simple prompt 5, IQR 5-5; original 5, IQR 4-5; P&lt;.001) in this dataset. Compliance with word count instructions was greater for both AI-generated summaries in comparison to originals (wrong number of words; extended prompt 39 (19%), simple prompt 40 (20%), original 140 (69%); P&lt;.001). Between simple and extended prompts, there were no significant differences in accuracy (P=.53) and word count compliance (P=.87). The proportion rated as high-quality was 79.4% for the extended prompt, 54.9% for the simple prompt, and 5.4% for original summaries (P&lt;.001). Conclusions: With optimized prompting, ChatGPT-4 produced lay summaries that, on average, scored higher than author-written versions in readability, factual accuracy, and structural compliance within our dataset. These results support integrating generative AI into editorial workflows to improve science communication for nonexpert audiences. Limitations include focus on a single clinical domain and journal, and absence of layperson evaluation.</t>
  </si>
  <si>
    <t>Rinderknecht, Emily; Engelmann, Simon U.; Saberi, Veronika; Kirschner, Clemens; Kravchuk, Anton P.; Schmelzer, Anna; Breyer, Johannes; Gossler, Christopher; Mayr, Roman; Gilfrich, Christian; Burger, Maximilian; von Winning, Dominik; Borgmann, Hendrik; Wulfing, Christian; Merseburger, Axel S.; Haas, Maximilian; May, Matthias</t>
  </si>
  <si>
    <t>Rinderknecht, E (corresponding author), Univ Regensburg, Caritas St Josef Med Ctr, Dept Urol, Landshuter St 65, D-93053 Regensburg, Germany.</t>
  </si>
  <si>
    <t>erinderknecht@csj.de</t>
  </si>
  <si>
    <t>[Rinderknecht, Emily; Borgmann, Hendrik; Wulfing, Christian; May, Matthias] German Soc Urol, Working Grp Artificial Intelligence &amp; Digitalizat, Hamburg, Germany; [Rinderknecht, Emily; Engelmann, Simon U.; Saberi, Veronika; Kirschner, Clemens; Breyer, Johannes; Gossler, Christopher; Burger, Maximilian; Haas, Maximilian] Univ Regensburg, Caritas St Josef Med Ctr, Dept Urol, Landshuter St 65, D-93053 Regensburg, Germany; [Kravchuk, Anton P.; Gilfrich, Christian; von Winning, Dominik; May, Matthias] St Elisabeth Hosp Straubing, Dept Urol, Straubing, Germany; [Schmelzer, Anna] Paracelsus Med Univ, Nuremberg Gen Hosp, Dept Urol, Nurnberg, Germany; [Mayr, Roman] Univ Hosp Augsburg, Dept Urol, Augsburg, Germany; [Borgmann, Hendrik] Brandenburg Med Sch Theodor Fontan, Fac Hlth Sci Brandenburg, Dept Urol, Brandenburg, Germany; [Wulfing, Christian] Asklepios Klin Altona, Dept Urol, Hamburg, Germany; [Merseburger, Axel S.] Univ Hosp Schleswig Holstein, Dept Urol, Campus Lubeck, Lubeck, Germany</t>
  </si>
  <si>
    <t>University of Regensburg; Asklepios Klinik Altona; University of Kiel; Schleswig Holstein University Hospital</t>
  </si>
  <si>
    <t>Using ChatGPT-4 for Lay Summarization in Prostate Cancer Research to Advance Patient-Centered Communication: Large-Scale Generative AI Performance Evaluation</t>
  </si>
  <si>
    <t>health literacy; large language models; prompt engineering; digital health communication; patient engagement; artificial intelligence in publishing; readability assessment; human-AI collaboration; cancer information accessibility; natural language generation</t>
  </si>
  <si>
    <t>Kravchuk, Anton/KFQ-1981-2024; Mayr, Roman/HOA-5661-2023; Engelmann, Simon/GWC-2616-2022</t>
  </si>
  <si>
    <t>Schmelzer, Anna M/0009-0002-1843-8492; Goßler, Christopher/0000-0002-6376-7669; Rinderknecht, Emily/0009-0002-7283-5237; Mayr, Roman/0000-0003-1796-3260</t>
  </si>
  <si>
    <t>NOV 19 2025</t>
  </si>
  <si>
    <t>e76598</t>
  </si>
  <si>
    <t>10.2196/76598</t>
  </si>
  <si>
    <t>http://dx.doi.org/10.2196/76598</t>
  </si>
  <si>
    <t>O5544</t>
  </si>
  <si>
    <t>41259712</t>
  </si>
  <si>
    <t>WOS:001632694900005</t>
  </si>
  <si>
    <t>Amano, I; Obi-Nagata, K; Ninomiya, A; Fujiwara, Y; Koibuchi, N</t>
  </si>
  <si>
    <t>Introduction: Generative artificial intelligence (AI) has become more accessible due to technological advancements. While it can support more efficient learning, improper use may lead to legal issues or hinder self-directed learning. Medical education is no exception, as generative AI has the potential to become a powerful tool. However, its practicality remains uncertain. Therefore, we investigated how generative AI is perceived among medical students and utilized within the realm of medical education. Methods: In January 2024, we conducted a study with 123 second-year medical students who had completed a physiology course and laboratory training at Gunma University, Japan. Students used ChatGPT (Chat Generative Pre-trained Transformer) 3.5 (OpenAI) for four tasks and evaluated its responses. A survey on the use of generative AI was also conducted. Responses from 117 participants were analyzed, excluding six non-participants. Results: Among the students, 41.9% had used ChatGPT. The average scores for tasks 1-4 were 6.5, 4.6, 7.4, and 6.2 out of 10, respectively. Although 13% had a negative impression, 54 students found it challenging to apply for medical purposes. However, 64.1% expressed a willingness to continue using generative AI, provided its use extended beyond medical contexts. Conclusions: Nearly 60% of students had never used generative AI before, which is consistent with general usage trends. Although they were impressed by the speed of generative AI responses, many students found that it lacked precision for medical studies and required additional verification. Limitations of generative AI, such as "hallucinations," were evident in medical education. It remains important to educate students on AI literacy and their understanding of the potential issues that generative AI could bring about.</t>
  </si>
  <si>
    <t>Amano, Izuki; Obi-Nagata, Kisho; Ninomiya, Ayane; Fujiwara, Yuki; Koibuchi, Noriyuki</t>
  </si>
  <si>
    <t>Amano, I (corresponding author), Gunma Univ, Grad Sch Med, Dept Integrat Physiol, Maebashi, Japan.</t>
  </si>
  <si>
    <t>iamano-lj@umin.ac.jp</t>
  </si>
  <si>
    <t>[Amano, Izuki; Obi-Nagata, Kisho; Ninomiya, Ayane; Fujiwara, Yuki; Koibuchi, Noriyuki] Gunma Univ, Grad Sch Med, Dept Integrat Physiol, Maebashi, Japan</t>
  </si>
  <si>
    <t>Gunma University</t>
  </si>
  <si>
    <t>Use and Evaluation of Generative Artificial Intelligence by Medical Students in Japan</t>
  </si>
  <si>
    <t>JMA JOURNAL</t>
  </si>
  <si>
    <t>generative AI; ChatGPT; artificial intelligence; large language model; hallucination</t>
  </si>
  <si>
    <t>JAPAN MEDICAL ASSOC-JAPANESE ASSOC MEDICAL SCIENCES</t>
  </si>
  <si>
    <t>TOKYO</t>
  </si>
  <si>
    <t>2-28-16 HONKOMAGOME, BUNKYO-KU, TOKYO, 113-8621, JAPAN</t>
  </si>
  <si>
    <t>2433-328X</t>
  </si>
  <si>
    <t>2433-3298</t>
  </si>
  <si>
    <t>JMA J</t>
  </si>
  <si>
    <t>JMA J.</t>
  </si>
  <si>
    <t>JUL 15 2025</t>
  </si>
  <si>
    <t>730</t>
  </si>
  <si>
    <t>735</t>
  </si>
  <si>
    <t>10.31662/jmaj.2024-0375</t>
  </si>
  <si>
    <t>http://dx.doi.org/10.31662/jmaj.2024-0375</t>
  </si>
  <si>
    <t>5GN2F</t>
  </si>
  <si>
    <t>40786463</t>
  </si>
  <si>
    <t>WOS:001524178500001</t>
  </si>
  <si>
    <t>Bastürk, YA</t>
  </si>
  <si>
    <t>Generative AI is fundamentally transforming medical tourism by replacing autonomous search with algorithmically curated ecosystems. Drawing on a large-scale algorithmic audit across five leading LLMs, this study theorises the emergence of Algorithmic Soft Borders and the Algorithmic Promise-service narratives that frame pre-arrival cognitive anticipation. Findings reveal that AI systems act as active market architects, prioritising a limited set of global hubs through two exclusionary mechanisms. First, Linguistic Localization creates a local loop effect, structurally narrowing geographic recommendations when communication trust is emphasised. Second, Semantic Bifurcation emerges as native-language prompts systematically prioritise clinical safety, whereas English prompts emphasise cost-efficiency. Crucially, this reveals a narrative asymmetry for high-tier destinations (e.g. the USA), where AI inherently fails to project communication comfort to non-English cohorts, creating hidden market-share risks. Together, these mechanisms generate parallel market realities without altering physical infrastructure. The study concludes that traditional SEO is insufficient, proposing the Large Language Model Optimization (LMO) framework and the Gap Score as critical tools for managers to align algorithmic narratives with operational reality.</t>
  </si>
  <si>
    <t>Alper Basturk, Yusuf</t>
  </si>
  <si>
    <t>yusufalperbasturk@hotmail.com</t>
  </si>
  <si>
    <t>Algorithmic soft borders: how generative AI reshapes destination competitiveness in medical tourism</t>
  </si>
  <si>
    <t>TOURISM RECREATION RESEARCH</t>
  </si>
  <si>
    <t>Generative AI; algorithmic soft borders; Large Language Model Optimization (LMO); semantic bifurcation; medical tourism</t>
  </si>
  <si>
    <t>MODEL</t>
  </si>
  <si>
    <t>ROUTLEDGE JOURNALS, TAYLOR &amp; FRANCIS LTD</t>
  </si>
  <si>
    <t>2-4 PARK SQUARE, MILTON PARK, ABINGDON OX14 4RN, OXON, ENGLAND</t>
  </si>
  <si>
    <t>0250-8281</t>
  </si>
  <si>
    <t>2320-0308</t>
  </si>
  <si>
    <t>TOUR RECREAT RES</t>
  </si>
  <si>
    <t>Tour. Recreat. Res.</t>
  </si>
  <si>
    <t>10.1080/02508281.2026.2705480</t>
  </si>
  <si>
    <t>http://dx.doi.org/10.1080/02508281.2026.2705480</t>
  </si>
  <si>
    <t>Hospitality, Leisure, Sport &amp; Tourism</t>
  </si>
  <si>
    <t>Social Sciences - Other Topics</t>
  </si>
  <si>
    <t>MB5PX</t>
  </si>
  <si>
    <t>WOS:001838326300001</t>
  </si>
  <si>
    <t>Albadawi, EA; Embaby, EM; AlQumaizi, KI; Elsaid, MA; Dawood, AF; Eldesoqui, M</t>
  </si>
  <si>
    <t>Traditional anatomical resources like cadaveric dissection and professional atlases are the gold standard, but face constraints in cost and accessibility. The rapid integration of generative artificial intelligence (AI) in medical education offers new possibilities for custom anatomical illustration. Text-to-image AI generators provide an inexpensive and swift alternative for medical illustration. However, the anatomical fidelity and educational reliability of these models remain insufficiently validated. This study aimed to evaluate the accuracy of four prominent AI image generators in producing anatomically correct illustrations of the human heart, kidney, and brain. Four AI platforms-Copilot, Microsoft Designer, Gemini, and Freepik-were prompted to generate high-resolution, textbook-style illustrations of the heart (sternocostal view), kidney (coronal cross-section), and brain (lateral view). A total of 12 selected images were evaluated by a radiologist and two anatomists utilizing a structured 5-point Likert scale across five domains: textural realism, topological validity, morphometric accuracy, perspective and depth perception, and educational utility. Significant variability in performance was observed across platforms. Gemini consistently demonstrated superior performance, achieving perfect intraclass correlation coefficients (ICCs) and the highest ratings on complex topological tasks, including the representation of coronary vasculature and cortical sulci/gyri. Copilot showed high spatial accuracy in renal hilum organization. While all platforms showed high reliability and accuracy across broad morphological shapes (aortic arch, cerebral poles), accuracy declined sharply as anatomical complexity increased. AI-generated anatomical illustrations currently vary from medically indistinguishable to biologically impossible. While Gemini and Copilot show promise for supplemental educational use, the high frequency of hallucinated anatomical details in other platforms poses a risk for medical misinformation. The study underscores the necessity for expert supervision and for developing AI models trained on curated, peer-reviewed medical datasets.</t>
  </si>
  <si>
    <t>Albadawi, Emad A.; Embaby, Eman M.; AlQumaizi, Khalid I.; Elsaid, Manar Abd Elaziz; Dawood, Amal F.; Eldesoqui, Mamdouh</t>
  </si>
  <si>
    <t>Eldesoqui, M (corresponding author), Almaarefa Univ, Coll Med, Dept Basic Med Sci, Riyadh, Saudi Arabia.; Eldesoqui, M (corresponding author), AlMaarefa Univ, Res Ctr, Deanship Sci Res &amp; Post Grad Studies, Dariyah, Saudi Arabia.; Eldesoqui, M (corresponding author), Mansoura Univ, Fac Med, Dept Human Anat &amp; Embryol, Mansoura, Egypt.</t>
  </si>
  <si>
    <t>mamrah@um.edu.sa</t>
  </si>
  <si>
    <t>Princess Nourah bint Abdulrahman University [PNURSP2026R110]</t>
  </si>
  <si>
    <t>Princess Nourah bint Abdulrahman University (Princess Nourah bint Abdulrahman University)</t>
  </si>
  <si>
    <t>This research was funded by Princess Nourah bint Abdulrahman University researchers supporting project number (PNURSP2026R110), Princess Nourah bint Abdulrahman University, Riyadh, Saudi Arabia.</t>
  </si>
  <si>
    <t>[Albadawi, Emad A.] Taibah Univ, Coll Med, Dept Basic Med Sci, Madinah, Saudi Arabia; [Embaby, Eman M.] Mansoura Univ, Fac Vet Med, Dept Physiol, Mansoura, Egypt; [AlQumaizi, Khalid I.] AlMaarefa Univ, Coll Med, Dept Clin Sci, Riyadh, Saudi Arabia; [Elsaid, Manar Abd Elaziz] Radiol Dept, Riyadh, Saudi Arabia; [Dawood, Amal F.] Princess Nourah bint Abdulrahman Univ, Coll Med, Dept Basic Med Sci, Riyadh, Saudi Arabia; [Eldesoqui, Mamdouh] Almaarefa Univ, Coll Med, Dept Basic Med Sci, Riyadh, Saudi Arabia; [Eldesoqui, Mamdouh] AlMaarefa Univ, Res Ctr, Deanship Sci Res &amp; Post Grad Studies, Dariyah, Saudi Arabia; [Eldesoqui, Mamdouh] Mansoura Univ, Fac Med, Dept Human Anat &amp; Embryol, Mansoura, Egypt</t>
  </si>
  <si>
    <t>Taibah University; Egyptian Knowledge Bank (EKB); Mansoura University; Almaarefa University; Princess Nourah bint Abdulrahman University; Almaarefa University; Egyptian Knowledge Bank (EKB); Mansoura University</t>
  </si>
  <si>
    <t>Anatomical Fidelity in Text-to-Image Generative AI: A Comparative Qualitative and Quantitative Evaluation</t>
  </si>
  <si>
    <t>anatomical education; copilot; Gemini; generative AI; medical illustration</t>
  </si>
  <si>
    <t>Eldesoqui, Mamdouh/M-6476-2018; Elsaaid, Manar/PKR-5921-2026; ALBADAWI, EMAD/LKM-4425-2024; Dawood, Amal/AIB-9642-2022</t>
  </si>
  <si>
    <t>10.1002/ca.70177</t>
  </si>
  <si>
    <t>http://dx.doi.org/10.1002/ca.70177</t>
  </si>
  <si>
    <t>KM9HO</t>
  </si>
  <si>
    <t>42400299</t>
  </si>
  <si>
    <t>WOS:001810755900001</t>
  </si>
  <si>
    <t>Teo, ZL; Quek, CWN; Wong, JLY; Ting, DSW</t>
  </si>
  <si>
    <t>Generative Artificial Intelligence (GenAI) are algorithms capable of generating original content. The ability of GenAI to learn and generate novel outputs alike human cognition has taken the world by storm and ushered in a new era. In this review, we explore the role of GenAI in healthcare, including clinical, operational, and research applications, and delve into the cybersecurity risks of this technology. We discuss risks such as data privacy risks, data poisoning attacks, the propagation of bias, and hallucinations. In this review, we recommend risk mitigation strategies to enhance cybersecurity in GenAI technologies and further explore the use of GenAI as a tool in itself to enhance cybersecurity across the various AI algorithms. GenAI is emerging as a pivotal catalyst across various industries including the healthcare domain. Comprehending the intricacies of this technology and its potential risks will be imperative for us to fully capitalise on the benefits that GenAI can bring.</t>
  </si>
  <si>
    <t>Teo, Zhen Ling; Quek, Chrystie Wan Ning; Wong, Joy Le Yi; Ting, Daniel Shu Wei</t>
  </si>
  <si>
    <t>Teo, ZL; Ting, DSW (corresponding author), Singapore Natl Eye Ctr, Singapore Eye Res Inst, Singapore, Singapore.</t>
  </si>
  <si>
    <t>zhenling.teo@mohh.com.sg; daniel.ting@duke-nus.edu.sg</t>
  </si>
  <si>
    <t>National Medical Research Council Singapore [MOH-000655-00/MOH-001014-00]; Duke-NUS Medical School [Duke-NUS/RSF/2021/001805/FY2020/EX/15-A58]; Agency for Science Technology and Research [A20H4g2141, H20C6a0032]</t>
  </si>
  <si>
    <t>National Medical Research Council Singapore; Duke-NUS Medical School; Agency for Science Technology and Research</t>
  </si>
  <si>
    <t>This research was funded by National Medical Research Council Singapore, MOH-000655-00/MOH-001014-00, Duke-NUS Medical School, Duke-NUS/RSF/2021/001805/FY2020/EX/15-A58 and Agency for Science Technology and Research, A20H4g2141, H20C6a0032.</t>
  </si>
  <si>
    <t>[Teo, Zhen Ling; Quek, Chrystie Wan Ning; Wong, Joy Le Yi; Ting, Daniel Shu Wei] Singapore Natl Eye Ctr, Singapore Eye Res Inst, Singapore, Singapore; [Quek, Chrystie Wan Ning; Wong, Joy Le Yi; Ting, Daniel Shu Wei] Duke NUS Med Sch, Singapore, Singapore</t>
  </si>
  <si>
    <t>Singapore National Eye Center; National University of Singapore; National University of Singapore</t>
  </si>
  <si>
    <t>Cybersecurity in the generative artificial intelligence era</t>
  </si>
  <si>
    <t>ASIA-PACIFIC JOURNAL OF OPHTHALMOLOGY</t>
  </si>
  <si>
    <t>Generative Artificial Intelligence; ChatGPT; Cybersecurity; Privacy risks; Large language model</t>
  </si>
  <si>
    <t>Ting, Daniel/QOC-0597-2026; Teo, Zhen Ling/HLH-2188-2023</t>
  </si>
  <si>
    <t>118</t>
  </si>
  <si>
    <t>2162-0989</t>
  </si>
  <si>
    <t>ASIA-PAC J OPHTHALMO</t>
  </si>
  <si>
    <t>Asia-Pac. J. Ophthalmol.</t>
  </si>
  <si>
    <t>JUL-AUG 2024</t>
  </si>
  <si>
    <t>100091</t>
  </si>
  <si>
    <t>10.1016/j.apjo.2024.100091</t>
  </si>
  <si>
    <t>http://dx.doi.org/10.1016/j.apjo.2024.100091</t>
  </si>
  <si>
    <t>F3R1L</t>
  </si>
  <si>
    <t>39209217</t>
  </si>
  <si>
    <t>WOS:001309019100001</t>
  </si>
  <si>
    <t>Babl, FE; Babl, MP</t>
  </si>
  <si>
    <t>ChatGPT is a generative artificial intelligence chatbot which may have a role in medicine and science. We investigated if the freely available version of ChatGPT can produce a quality conference abstract using a fictitious but accurately calculated data table as applied by a non-medically trained person. The resulting abstract was well written without obvious errors and followed the abstract instructions. One of the references was fictitious, known as 'hallucination'. ChatGPT or similar programmes, with careful review of the product by authors, may become a valuable scientific writing tool. The scientific and medical use of generative artificial intelligence, however, raises many questions.</t>
  </si>
  <si>
    <t>Babl, Franz E.; Babl, Maximilian P.</t>
  </si>
  <si>
    <t>Babl, FE (corresponding author), Univ Melbourne, Royal Childrens Hosp, Paediat Emergency Med, Flemington Rd, Parkville, Vic 3052, Australia.</t>
  </si>
  <si>
    <t>franz.babl@rch.org.au</t>
  </si>
  <si>
    <t>National Health and Medical Research Council, Canberra, Australia [GNT2017605]; Royal Children's Hospital Foundation, Parkville, Australia</t>
  </si>
  <si>
    <t>National Health and Medical Research Council, Canberra, Australia (National Health &amp; Medical Research Council (NHMRC) of Australia); Royal Children's Hospital Foundation, Parkville, Australia</t>
  </si>
  <si>
    <t>FEB's time was in part funded by an Investigator grant from the National Health and Medical Research Council (GNT2017605), Canberra, Australia, and the Royal Children's Hospital Foundation, Parkville, Australia. Open access publishing facilitated by The University of Melbourne, as part of the Wiley - The University of Melbourne agreement via the Council of Australian University Librarians. Competing interests FEB is a section editor for Emergency Medicine Australasia. FEB and MPB are related.</t>
  </si>
  <si>
    <t>[Babl, Franz E.] Royal Childrens Hosp, Emergency Dept, Melbourne, Vic, Australia; [Babl, Franz E.] Murdoch Childrens Res Inst, Clin Sci, Melbourne, Vic, Australia; [Babl, Franz E.] Univ Melbourne, Fac Med Dent &amp; Hlth Sci, Dept Paediat, Melbourne, Vic, Australia; [Babl, Franz E.] Univ Melbourne, Fac Med Dent &amp; Hlth Sci, Dept Crit Care, Melbourne, Vic, Australia; [Babl, Maximilian P.] Xavier Coll, Melbourne, Vic, Australia; [Babl, Franz E.] Univ Melbourne, Royal Childrens Hosp, Paediat Emergency Med, Flemington Rd, Parkville, Vic 3052, Australia</t>
  </si>
  <si>
    <t>Royal Children's Hospital Melbourne; Murdoch Children's Research Institute; University of Melbourne; University of Melbourne; Royal Children's Hospital Melbourne; University of Melbourne</t>
  </si>
  <si>
    <t>Generative artificial intelligence: Can ChatGPT write a quality abstract?</t>
  </si>
  <si>
    <t>EMERGENCY MEDICINE AUSTRALASIA</t>
  </si>
  <si>
    <t>artificial intelligence; ChatGPT; generative artificial intelligence</t>
  </si>
  <si>
    <t>426</t>
  </si>
  <si>
    <t>1742-6731</t>
  </si>
  <si>
    <t>1742-6723</t>
  </si>
  <si>
    <t>EMERG MED AUSTRALAS</t>
  </si>
  <si>
    <t>Emerg. Med. Australas.</t>
  </si>
  <si>
    <t>809</t>
  </si>
  <si>
    <t>811</t>
  </si>
  <si>
    <t>10.1111/1742-6723.14233</t>
  </si>
  <si>
    <t>http://dx.doi.org/10.1111/1742-6723.14233</t>
  </si>
  <si>
    <t>MAY 2023</t>
  </si>
  <si>
    <t>S3US9</t>
  </si>
  <si>
    <t>37142327</t>
  </si>
  <si>
    <t>WOS:000982008800001</t>
  </si>
  <si>
    <t>Yi, Y; Kim, KJ</t>
  </si>
  <si>
    <t>ObjectiveThis study aimed to design and develop a virtual patient program using generative Artificial Intelligence (AI) technology, providing medical students opportunities to practice history-taking with a chatbot. We evaluated the feasibility of this approach by analyzing the quality of responses generated by the chatbot.ResultsFive expert reviewers participated in a pilot test, interacting with the chatbot to take the history of a patient presenting with a urinary problem using the Korean AI platform Naver HyperCLOVA X (R). They evaluated the AI responses using a five-item questionnaire rated on a five-point Likert scale. The chatbot generated 96 pairs of questions and answers, totaling 1,325 words in 177 sentences. Discourse analysis of the scripts revealed that 2.6% (34) of the words generated by the chatbot were deemed implausible and were categorized into inarticulate answers, hallucinations, and missing important information. Participants rated the AI answers as relevant (M = 4.50 +/- 0.32), valid (M = 4.20 +/- 0.40), accurate (M = 4.10 +/- 0.20), and succinct (M = 3.80 +/- 0.51), but were neutral about their fluency (M = 3.20 +/- 0.60). Using generative AI for history-taking of virtual patients is feasible, but improvements are needed for more articulate and natural responses.</t>
  </si>
  <si>
    <t>Yi, Yongjin; Kim, Kyong-Jee</t>
  </si>
  <si>
    <t>Kim, KJ (corresponding author), Dongguk Univ, Sch Med, Dept Med Educ, 32 Dongguk Ro, Goyang Si 10326, Gyeonggi Do, South Korea.</t>
  </si>
  <si>
    <t>kjkim@dongguk.ac.kr</t>
  </si>
  <si>
    <t>TEL Innovation Development Grant 2022 of AMEE (Association for Medical Education in Europe)</t>
  </si>
  <si>
    <t>This work was supported by TEL Innovation Development Grant 2022 of AMEE (Association for Medical Education in Europe).</t>
  </si>
  <si>
    <t>[Yi, Yongjin] Dankook Univ, Coll Med, Dept Internal Med, Cheonan, South Korea; [Kim, Kyong-Jee] Dongguk Univ, Sch Med, Dept Med Educ, 32 Dongguk Ro, Goyang Si 10326, Gyeonggi Do, South Korea</t>
  </si>
  <si>
    <t>Dankook University; Dongguk University</t>
  </si>
  <si>
    <t>The feasibility of using generative artificial intelligence for history taking in virtual patients</t>
  </si>
  <si>
    <t>BMC RESEARCH NOTES</t>
  </si>
  <si>
    <t>Artificial intelligence; Large language model; Virtual patient; Clinical education; History taking</t>
  </si>
  <si>
    <t>INTERPLAY; EDUCATION</t>
  </si>
  <si>
    <t>Kim, Kyong-Jee/K-1278-2012; Yi, Yongjin/KRP-3024-2024</t>
  </si>
  <si>
    <t>1756-0500</t>
  </si>
  <si>
    <t>BMC RES NOTES</t>
  </si>
  <si>
    <t>BMC Res. Notes</t>
  </si>
  <si>
    <t>10.1186/s13104-025-07157-8</t>
  </si>
  <si>
    <t>http://dx.doi.org/10.1186/s13104-025-07157-8</t>
  </si>
  <si>
    <t>Biology; Multidisciplinary Sciences</t>
  </si>
  <si>
    <t>Life Sciences &amp; Biomedicine - Other Topics; Science &amp; Technology - Other Topics</t>
  </si>
  <si>
    <t>Y0N3P</t>
  </si>
  <si>
    <t>39994780</t>
  </si>
  <si>
    <t>WOS:001429199300001</t>
  </si>
  <si>
    <t>Alfonzetti, T; Xia, JY</t>
  </si>
  <si>
    <t>In a radiation oncology clinic, machine downtime can be a serious burden to the entire department. This study investigates using increasingly popular generative artificial intelligence (AI) techniques to assist medical physicists in troubleshooting linear accelerator issues. Google's NotebookLM, supplemented with background information on linear accelerator issues/solutions, was used as a machine troubleshooting assistant for this purpose. Two board-certified medical physicists evaluated the large language model's responses based on hallucination, relevancy, correctness, and completeness. Results indicated that responses improved with increasing source data context and more specific prompt construction. Keeping risk mitigation and the inherent limitations of AI in mind, this work offers a viable, low-risk method to improve efficiency in radiation oncology. This work uses a "Machine Troubleshooting Assistance" application to provide an adaptable example of how radiation oncology clinics can begin using generative AI to enhance clinical efficiency. (c) 2025 American Society for Radiation Oncology. Published by Elsevier Inc. All rights are reserved, including those for text and data mining, AI training, and similar technologies.</t>
  </si>
  <si>
    <t>Alfonzetti, Tyler; Xia, Junyi</t>
  </si>
  <si>
    <t>Alfonzetti, T (corresponding author), Mt Sinai Hosp, Dept Radiat Oncol, New York, NY 10029 USA.</t>
  </si>
  <si>
    <t>Tyler.Alfonzetti@gmail.com</t>
  </si>
  <si>
    <t>[Alfonzetti, Tyler; Xia, Junyi] Mt Sinai Hosp, Dept Radiat Oncol, New York, NY 10029 USA</t>
  </si>
  <si>
    <t>Icahn School of Medicine at Mount Sinai</t>
  </si>
  <si>
    <t>Transforming the Landscape of Clinical Information Retrieval Using Generative Artificial Intelligence: An Application in Machine Fault Analysis</t>
  </si>
  <si>
    <t>PRACTICAL RADIATION ONCOLOGY</t>
  </si>
  <si>
    <t>Alfonzetti, Tyler/0009-0008-3590-3054</t>
  </si>
  <si>
    <t>1879-8500</t>
  </si>
  <si>
    <t>PRACT RADIAT ONCOL</t>
  </si>
  <si>
    <t>Pract. Radiat. Oncol.</t>
  </si>
  <si>
    <t>SEP-OCT 2025</t>
  </si>
  <si>
    <t>e492</t>
  </si>
  <si>
    <t>e499</t>
  </si>
  <si>
    <t>10.1016/j.prro.2025.02.006</t>
  </si>
  <si>
    <t>http://dx.doi.org/10.1016/j.prro.2025.02.006</t>
  </si>
  <si>
    <t>FO4MT</t>
  </si>
  <si>
    <t>40024439</t>
  </si>
  <si>
    <t>WOS:001723595500001</t>
  </si>
  <si>
    <t>Sultan, H; Ullah, Z; Park, KR; Kim, J</t>
  </si>
  <si>
    <t>Distinguishing between early-stage brain tumors (EBTs) and progressive-stage brain tumors (PBTs) from magnetic resonance imaging (MRI) scans is pivotal, as interpretation complexity challenges neuro-oncologists and impacts timely treatment decisions. Existing deep learning (DL)-based approaches typically handle brain tumor classification and segmentation separately, emphasizing multi-level feature extraction, but neglecting the benefits of integrated feature fusion. This study introduces a novel DL-based clinical pipeline, enhanced with generative artificial intelligence (GenAI), that explicitly fuses features from classification and segmentation models for stage-specific tumor analysis. Our fusion-based framework first classifies brain tumors into EBTs and PBTs using a dedicated classification network (C-Net), incorporating an enhanced-pooled attention block and a dilated fusion block to selectively extract and fuse multi-level features, balancing computational efficiency with feature relevance. Subsequently, stage-specific segmentation network 1 (S1-Net) and segmentation network 2 (S2-Net) leverage hierarchical feature fusion through progressive upsampling, capturing distinct tumor characteristics at multiple abstraction levels. Finally, a clinician-validated GenAI module provides post-segmentation semantic interpretation by analyzing segmentation masks and patient metadata to describe tumor morphology and explicitly report limitations. Aligned with information fusion principles, this integration combines the precision of task-specific models (S1-Net, S2-Net) with expert-guided GenAI reasoning, enhancing interpretability while preserving clinical safety. The effectiveness of the proposed pipeline is validated with open dataset of brain tumor progression: 1) C-Net achieves an accuracy of 85.06%, precision of 86.73%, recall of 85%, and harmonic mean of recall and precision (F1-score) of 85.84%; 2) S1-Net attains a Dice score (DS) of 79.96% and intersection over union (IoU) of 71.22%; and 3) S2-Net achieves 81.14% DS and 72.44% IoU, significantly outperforming state-of-the-art methods.</t>
  </si>
  <si>
    <t>Sultan, Haseeb; Ullah, Zeeshan; Park, Kang Ryoung; Kim, Jihie</t>
  </si>
  <si>
    <t>Kim, J (corresponding author), Dongguk Univ, Dept Comp Sci &amp; Artificial Intelligence, 30 Pildong Ro 1 Gil, Seoul 04620, South Korea.; Park, KR (corresponding author), Dongguk Univ, Div Elect &amp; Elect Engn, 30 Pildong Ro 1 Gil, Seoul 04620, South Korea.</t>
  </si>
  <si>
    <t>jihie.kim@dgu.edu; parkgr@dongguk.edu</t>
  </si>
  <si>
    <t>Ministry of Science and ICT (MSIT) , Korea, under the Information Technology Research Center (ITRC) support program [IITP-2026-RS-2020-II201789]; Artificial Intelligence Convergence Innovation Human Resources Development [IITP-2026-RS-2023-00254592]</t>
  </si>
  <si>
    <t>Ministry of Science and ICT (MSIT) , Korea, under the Information Technology Research Center (ITRC) support program (Ministry of Science &amp; ICT (MMSTI)); Artificial Intelligence Convergence Innovation Human Resources Development</t>
  </si>
  <si>
    <t>This research was supported by the Ministry of Science and ICT (MSIT) , Korea, under the Information Technology Research Center (ITRC) support program (IITP-2026-RS-2020-II201789) , and the Artificial Intelligence Convergence Innovation Human Resources Development (IITP-2026-RS-2023-00254592) supervised by the Institute of Information &amp; Communications Technology Planning &amp; Evaluation (IITP) .</t>
  </si>
  <si>
    <t>[Sultan, Haseeb; Kim, Jihie] Dongguk Univ, Dept Comp Sci &amp; Artificial Intelligence, 30 Pildong Ro 1 Gil, Seoul 04620, South Korea; [Ullah, Zeeshan] Cork Univ Hosp, Dept Neurophysiol, Cork, Ireland; [Park, Kang Ryoung] Dongguk Univ, Div Elect &amp; Elect Engn, 30 Pildong Ro 1 Gil, Seoul 04620, South Korea</t>
  </si>
  <si>
    <t>Dongguk University; University College Cork; Dongguk University</t>
  </si>
  <si>
    <t>Deep learning-based classification and segmentation of brain tumor progression with clinical pipeline by generative artificial intelligence</t>
  </si>
  <si>
    <t>Brain tumor progression; Clinical pipeline; Deep fusion; Early-stage tumor; Generative artificial intelligence; Progressive-stage tumor</t>
  </si>
  <si>
    <t>FUSION</t>
  </si>
  <si>
    <t>131988</t>
  </si>
  <si>
    <t>10.1016/j.eswa.2026.131988</t>
  </si>
  <si>
    <t>http://dx.doi.org/10.1016/j.eswa.2026.131988</t>
  </si>
  <si>
    <t>FI2BA</t>
  </si>
  <si>
    <t>WOS:001719348700001</t>
  </si>
  <si>
    <t>Hosseinitabatabaei, S; Nelson, AJ; Piché, N; Dagdeviren, D; Reznikov, N</t>
  </si>
  <si>
    <t>In large field-of-view tomographic images, fine structures such as bone texture, porosity or root canals are poorly resolved. We developed a Generative-Adversarial-Network (GAN)-based super-resolution method for craniofacial cone-beam CT (CBCT) that recovers sharp edges while avoiding hallucinations. CBCT scans of 1 human skull, 4 cadaveric human heads, and 6 sheep heads were acquired at 270 mu m and 135 mu m voxel, and a GAN (Unet-Structure-Preserving Super-Resolution [UNetSPSR]) was designed to recover fine image details in the low-resolution images. Performance was benchmarked against state-of-the-art methods using peak-signal-to-noise-ratio (PSNR) and learned-perceptual-image-patch-similarity (LPIPS), and evaluated in segmentation of trabecular bone and root canals. Independent archival clinical CBCT scans from five patients and an external public dataset (n = 50) were used for generalization testing. UNetSPSR achieved the highest PSNR (+0.66 on seen and +0.11 on unseen data relative to the runner-up) and the lowest LPIPS (-0.01), indicating superior recovery of fine image details. The comparable performance between seen and unseen internal test sets, demonstrates strong generalization within the target data distribution. On independent clinical and external datasets, the network enhanced fine structures without introducing visible artifacts, despite heterogeneous acquisition parameters, although the absence of high-resolution reference standards precluded definitive validation. UNetSPSR substantially reduced overestimation of trabecular morphology, decreasing trabecular thickness bias from 61% to 11%, and significantly improved microarchitectural measures on external data (p &lt; 0.05). Root canal segmentations more closely resembled highresolution references, with improved quantitative metrics. UNetSPSR enables structure-preserving super-resolution of craniofacial CBCT, improving visualization of fine anatomical features. While results demonstrate internal generalization, further external validation is warranted.</t>
  </si>
  <si>
    <t>Hosseinitabatabaei, Seyedmahdi; Nelson, Andrew J.; Piche, Nicolas; Dagdeviren, Didem; Reznikov, Natalie</t>
  </si>
  <si>
    <t>Hosseinitabatabaei, S (corresponding author), McGill Univ, Dept Bioengn, 141 Ave President Kennedy, Montreal, PQ H2X 1Y4, Canada.</t>
  </si>
  <si>
    <t>mahdi.tabatabaei@mail.mcgill.ca</t>
  </si>
  <si>
    <t>New Frontiers in Research Fund-Exploration, Canada (NR); Reseau de Recherche en Sante Buccodentaire et Osseuse, QC, Canada (RSBO)</t>
  </si>
  <si>
    <t>The study was funded by New Frontiers in Research Fund-Exploration, Canada (NR) and Reseau de Recherche en Sante Buccodentaire et Osseuse, QC, Canada (RSBO) (SH) .</t>
  </si>
  <si>
    <t>[Hosseinitabatabaei, Seyedmahdi; Reznikov, Natalie] McGill Univ, Dept Bioengn, 141 Ave President Kennedy, Montreal, PQ H2X 1Y4, Canada; [Nelson, Andrew J.] Univ Western Ontario, Dept Anthropol, London, ON, Canada; [Piche, Nicolas] Comet Technol Canada Inc, Montreal, PQ, Canada; [Dagdeviren, Didem; Reznikov, Natalie] McGill Univ, Fac Dent Med &amp; Oral Hlth Sci, Montreal, PQ, Canada; [Reznikov, Natalie] McGill Univ, Dept Anat &amp; Cell Biol, Montreal, PQ, Canada</t>
  </si>
  <si>
    <t>McGill University; Western University (University of Western Ontario); McGill University; McGill University</t>
  </si>
  <si>
    <t>Craniofacial CBCT: Addressing volume-resolution dilemma using generative artificial intelligence</t>
  </si>
  <si>
    <t>BONE</t>
  </si>
  <si>
    <t>Diagnostic imaging; 3D imaging; Cone-beam computed tomography; Generative artificial intelligence; Image enhancement; Endodontics</t>
  </si>
  <si>
    <t>COMPUTED-TOMOGRAPHY</t>
  </si>
  <si>
    <t>/J-7608-2019; Nelson, Andrew/B-9090-2015</t>
  </si>
  <si>
    <t>Nelson, Andrew/0000-0001-6398-7314</t>
  </si>
  <si>
    <t>8756-3282</t>
  </si>
  <si>
    <t>1873-2763</t>
  </si>
  <si>
    <t>Bone</t>
  </si>
  <si>
    <t>207</t>
  </si>
  <si>
    <t>117841</t>
  </si>
  <si>
    <t>10.1016/j.bone.2026.117841</t>
  </si>
  <si>
    <t>http://dx.doi.org/10.1016/j.bone.2026.117841</t>
  </si>
  <si>
    <t>FC0TK</t>
  </si>
  <si>
    <t>41763378</t>
  </si>
  <si>
    <t>WOS:001715184400001</t>
  </si>
  <si>
    <t>Morreel, S; Verhoeven, V; Mathysen, D</t>
  </si>
  <si>
    <t>Recently developed chatbots based on large language models (further called bots) have promising features which could facilitate medical education. Several bots are freely available, but their proficiency has been insufficiently evaluated. In this study the authors have tested the current performance on the multiple-choice medical licensing exam of University of Antwerp (Belgium) of six widely used bots: ChatGPT (OpenAI), Bard (Google), New Bing (Microsoft), Claude instant (Anthropic), Claude+ (Anthropic) and GPT-4 (OpenAI). The primary outcome was the performance on the exam expressed as a proportion of correct answers. Secondary analyses were done for a variety of features in the exam questions: easy versus difficult questions, grammatically positive versus negative questions, and clinical vignettes versus theoretical questions. Reasoning errors and untruthful statements (hallucinations) in the bots' answers were examined. All bots passed the exam; Bing and GPT-4 (both 76% correct answers) outperformed the other bots (62-67%, p = 0.03) and students (61%). Bots performed worse on difficult questions (62%, p = 0.06), but outperformed students (32%) on those questions even more (p&lt;0.01). Hallucinations were found in 7% of Bing's and GPT4's answers, significantly lower than Bard (22%, p&lt;0.01) and Claude Instant (19%, p = 0.02). Although the creators of all bots try to some extent to avoid their bots being used as a medical doctor, none of the tested bots succeeded as none refused to answer all clinical case questions.Bing was able to detect weak or ambiguous exam questions. Bots could be used as a time efficient tool to improve the quality of a multiple-choice exam.</t>
  </si>
  <si>
    <t>Morreel, Stefan; Verhoeven, Veronique; Mathysen, Danny</t>
  </si>
  <si>
    <t>Morreel, S (corresponding author), Univ Antwerp, Dept Family Med &amp; Populat Hlth, Antwerp, Belgium.</t>
  </si>
  <si>
    <t>stefan.morreel@uantwerpen.be</t>
  </si>
  <si>
    <t>[Morreel, Stefan; Verhoeven, Veronique; Mathysen, Danny] Univ Antwerp, Dept Family Med &amp; Populat Hlth, Antwerp, Belgium; [Mathysen, Danny] Univ Antwerp, Deans Dept, Antwerp, Belgium</t>
  </si>
  <si>
    <t>University of Antwerp; University of Antwerp</t>
  </si>
  <si>
    <t>Microsoft Bing outperforms five other generative artificial intelligence chatbots in the Antwerp University multiple choice medical license exam</t>
  </si>
  <si>
    <t>CHATGPT; PERFORMANCE</t>
  </si>
  <si>
    <t>Verhoeven, Veronique/B-5915-2017; Morreel, Stefan/AAZ-2653-2020</t>
  </si>
  <si>
    <t>Verhoeven, Veronique/0000-0002-3708-6501; Morreel, Stefan/0000-0001-6090-2426</t>
  </si>
  <si>
    <t>FEB 2024</t>
  </si>
  <si>
    <t>e0000349</t>
  </si>
  <si>
    <t>10.1371/journal.pdig.0000349</t>
  </si>
  <si>
    <t>http://dx.doi.org/10.1371/journal.pdig.0000349</t>
  </si>
  <si>
    <t>W3N5K</t>
  </si>
  <si>
    <t>38354127</t>
  </si>
  <si>
    <t>WOS:001417686800001</t>
  </si>
  <si>
    <t>Matharaarachchi, A; Moraliyage, H; Mills, N; Gamage, G; De Silva, D; Manic, M</t>
  </si>
  <si>
    <t>Generative AI has rapidly progressed from chatbots and assistants to agents across diverse applications and domains. Generative AI agents demonstrate sophisticated operation through autonomy, tool use and decision making with minimal human input. Despite these performance gains, agents are still impacted by the foundational limitations of Generative AI models. Among these, hallucinations are a major limitation that affects agent operation in real-world settings, leading to risk and loss. Several recent work aim to address hallucinations through methods such as retrieval-augmented generation and reflection prompting, however, these only provide partial improvements. An effective yet underexplored approach is in the observability data generated by an agent in its deployed and operational settings. Drawing on agent observability data, this paper proposes a dual memory knowledge graph approach that integrates Semantic and Observability Memory to address hallucinations in Generative AI agents. Semantic Memory provides organized domain knowledge for precise factual grounding. Observability Memory transforms logs, traces, and execution results into agent validated planning histories. Hallucinations are then addressed by grounded planning in verified past interactions with known, reliable outcomes. This approach is evaluated in a two-stage experimental setup aligned with its dual memory design. Observability memory is evaluated on the HotpotQA dataset to assess its impact on reasoning grounding, using metrics that capture both factual accuracy and reasoning hallucinations. The SM3-Text-to-Query benchmark and Synthea-based medical QA datasets are used to assess factual grounding of the semantic memory. Results from both experiments demonstrate reductions in hallucinations, with semantic memory for contextual grounding reducing factual hallucinations, and observability memory for reasoning grounding reducing faithfulness hallucinations.</t>
  </si>
  <si>
    <t>Matharaarachchi, Amali; Moraliyage, Harsha; Mills, Nishan; Gamage, Gihan; De Silva, Daswin; Manic, Milos</t>
  </si>
  <si>
    <t>De Silva, D (corresponding author), La Trobe Univ, Ctr Data Analyt &amp; Cognit, Melbourne, Australia.</t>
  </si>
  <si>
    <t>misko@ieee.org; D.DeSilva@latrobe.edu.au; N.Mills@latrobe.edu.au; A.MatharaArachchige@latrobe.edu.au; G.Gamage@latrobe.edu.au; H.MORALIYAGE@latrobe.edu.au</t>
  </si>
  <si>
    <t>Department of Climate Change, Energy, the Environment and Water of the Australian Federal Government [ICIRN000077]</t>
  </si>
  <si>
    <t>Department of Climate Change, Energy, the Environment and Water of the Australian Federal Government</t>
  </si>
  <si>
    <t>This work is supported by the Department of Climate Change, Energy, the Environment and Water of the Australian Federal Government, as part of grant program ICIRN000077.</t>
  </si>
  <si>
    <t>[Matharaarachchi, Amali; Moraliyage, Harsha; Mills, Nishan; Gamage, Gihan; De Silva, Daswin] La Trobe Univ, Ctr Data Analyt &amp; Cognit, Melbourne, Australia; [Manic, Milos] Virginia Commonwealth Univ, Dept Comp Sci, Richmond, VA 23284 USA</t>
  </si>
  <si>
    <t>La Trobe University; Virginia Commonwealth University</t>
  </si>
  <si>
    <t>Addressing hallucinations in generative AI agents using observability and dual memory knowledge graphs</t>
  </si>
  <si>
    <t>Hallucination; AI Observability; Knowledge graph; Generative AI agents; Agent reasoning; Retrieval augmented generation</t>
  </si>
  <si>
    <t>des, d/GVU-7765-2022</t>
  </si>
  <si>
    <t>Mathara Arachchige, Amali/0009-0002-0608-9678</t>
  </si>
  <si>
    <t>APR 8 2026</t>
  </si>
  <si>
    <t>338</t>
  </si>
  <si>
    <t>115469</t>
  </si>
  <si>
    <t>10.1016/j.knosys.2026.115469</t>
  </si>
  <si>
    <t>http://dx.doi.org/10.1016/j.knosys.2026.115469</t>
  </si>
  <si>
    <t>EA2TG</t>
  </si>
  <si>
    <t>WOS:001696294100001</t>
  </si>
  <si>
    <t>Turchioe, MR; Kisselev, S; Van Bulck, L; Bakken, S</t>
  </si>
  <si>
    <t>Background Generative artificial intelligence (AI) tools may soon be integrated into health care practice and research. Nurses in leadership roles, many of whom are doctorally prepared, will need to determine whether and how to integrate them in a safe and useful way. Objective This study aimed to develop and evaluate a brief intervention to increase PhD nursing students' knowledge of appropriate applications for using generative AI tools in health care. Methods We created didactic lectures and laboratory-based activities to introduce generative AI to students enrolled in a nursing PhD data science and visualization course. Students were provided with a subscription to Chat Generative Pretrained Transformer (ChatGPT) 4.0, a general-purpose generative AI tool, for use in and outside the class. During the didactic portion, we described generative AI and its current and potential future applications in health care, including examples of appropriate and inappropriate applications. In the laboratory sessions, students were given three tasks representing different use cases of generative AI in health care practice and research (clinical decision support, patient decision support, and scientific communication) and asked to engage with ChatGPT on each. Students ( n = 10) independently wrote a brief reflection for each task evaluating safety (accuracy, hallucinations) and usability (ease of use, usefulness, and intention to use in the future). Reflections were analyzed using directed content analysis. Results Students were able to identify the strengths and limitations of ChatGPT in completing all three tasks and developed opinions on whether they would feel comfortable using ChatGPT for similar tasks in the future. All of them reported increasing their self-rated competency in generative AI by one to two points on a five-point rating scale. Conclusion This brief educational intervention supported doctoral nursing students in understanding the appropriate uses of ChatGPT, which may support their ability to appraise and use these tools in their future work.</t>
  </si>
  <si>
    <t>Turchioe, Meghan Reading; Kisselev, Sergey; Van Bulck, Liesbet; Bakken, Suzanne</t>
  </si>
  <si>
    <t>Turchioe, MR (corresponding author), 560 W 168th St, New York, NY 10032 USA.</t>
  </si>
  <si>
    <t>mr3554@cumc.columbia.edu</t>
  </si>
  <si>
    <t>Columbia Center for Teaching and Learning; National Institute of Nursing Research (NINR) of the National Institutes of Health (NIH) [R00NR019124]</t>
  </si>
  <si>
    <t>Columbia Center for Teaching and Learning; National Institute of Nursing Research (NINR) of the National Institutes of Health (NIH)</t>
  </si>
  <si>
    <t>This project was funded through a grant from the Columbia Center for Teaching and Learning. M.R.T. is also funded by National Institute of Nursing Research (NINR) of the National Institutes of Health (NIH). (grant no.:R00NR019124).</t>
  </si>
  <si>
    <t>[Turchioe, Meghan Reading; Kisselev, Sergey; Bakken, Suzanne] Columbia Univ, Sch Nursing, New York, NY USA; [Van Bulck, Liesbet] Univ Leuven, KU Leuven, Dept Publ Hlth &amp; Primary Care, Leuven, Belgium; [Bakken, Suzanne] Columbia Univ, Dept Biomed Informat, New York, NY USA; [Bakken, Suzanne] Columbia Univ, Data Sci Inst, New York, NY USA</t>
  </si>
  <si>
    <t>Columbia University; KU Leuven; Columbia University; Columbia University</t>
  </si>
  <si>
    <t>Increasing Generative Artificial Intelligence Competency among Students Enrolled in Doctoral Nursing Research Coursework</t>
  </si>
  <si>
    <t>artificial intelligence; nursing informatics; informatics; medical informatics; nursing students; graduate nursing education; nursing education research</t>
  </si>
  <si>
    <t>Turchioe, Meghan/AAR-2353-2020; Van Bulck, Liesbet/AAT-1508-2020</t>
  </si>
  <si>
    <t>05</t>
  </si>
  <si>
    <t>842</t>
  </si>
  <si>
    <t>851</t>
  </si>
  <si>
    <t>10.1055/a-2373-3151</t>
  </si>
  <si>
    <t>http://dx.doi.org/10.1055/a-2373-3151</t>
  </si>
  <si>
    <t>J0O6H</t>
  </si>
  <si>
    <t>39053615</t>
  </si>
  <si>
    <t>WOS:001334155700003</t>
  </si>
  <si>
    <t>Neha, F; Bhati, D; Shukla, DK</t>
  </si>
  <si>
    <t>Kidney disease poses a significant global health challenge, affecting millions and straining healthcare systems due to limited nephrology resources. This paper examines the transformative potential of Generative AI (GenAI), Large Language Models (LLMs), and Large Vision Models (LVMs) in addressing critical challenges in kidney care. GenAI supports research and early interventions through the generation of synthetic medical data. LLMs enhance clinical decision-making by analyzing medical texts and electronic health records, while LVMs improve diagnostic accuracy through advanced medical image analysis. Together, these technologies show promise for advancing patient education, risk stratification, disease diagnosis, and personalized treatment strategies. This paper highlights key advancements in GenAI, LLMs, and LVMs from 2018 to 2024, focusing on their applications in kidney care and presenting common use cases. It also discusses their limitations, including knowledge cutoffs, hallucinations, contextual understanding challenges, data representation biases, computational demands, and ethical concerns. By providing a comprehensive analysis, this paper outlines a roadmap for integrating these AI advancements into nephrology, emphasizing the need for further research and real-world validation to fully realize their transformative potential.</t>
  </si>
  <si>
    <t>Neha, Fnu; Bhati, Deepshikha; Shukla, Deepak Kumar</t>
  </si>
  <si>
    <t>Neha, F (corresponding author), Kent State Univ, Dept Comp Sci, Kent, OH 44242 USA.</t>
  </si>
  <si>
    <t>neha@kent.edu; ds1640@scarletmail.rutgers.edu; dbhati@kent.edu</t>
  </si>
  <si>
    <t>Kent State University's Open Access APC</t>
  </si>
  <si>
    <t>This work was partly supported by Kent State University's Open Access APC Support Fund.</t>
  </si>
  <si>
    <t>[Neha, Fnu; Bhati, Deepshikha] Kent State Univ, Dept Comp Sci, Kent, OH 44242 USA; [Shukla, Deepak Kumar] Rutgers State Univ, Rutgers Business Sch, Newark, NJ 07102 USA</t>
  </si>
  <si>
    <t>University System of Ohio; Kent State University; Kent State University Kent; Kent State University Salem; Rutgers University System; Rutgers University New Brunswick; Rutgers University Newark</t>
  </si>
  <si>
    <t>Generative AI Models (2018-2024): Advancements and Applications in Kidney Care</t>
  </si>
  <si>
    <t>BIOMEDINFORMATICS</t>
  </si>
  <si>
    <t>generative AI (GenAI); large language models (LLM); large vision models (LVM); natural language processing; medical AI; kidney; nephrology; healthcare</t>
  </si>
  <si>
    <t>DISEASE; CHATGPT</t>
  </si>
  <si>
    <t>Neha, FNU/MSZ-8911-2025</t>
  </si>
  <si>
    <t>2673-7426</t>
  </si>
  <si>
    <t>BioMedInformatics</t>
  </si>
  <si>
    <t>APR 3 2025</t>
  </si>
  <si>
    <t>10.3390/biomedinformatics5020018</t>
  </si>
  <si>
    <t>http://dx.doi.org/10.3390/biomedinformatics5020018</t>
  </si>
  <si>
    <t>Mathematical &amp; Computational Biology; Medical Informatics</t>
  </si>
  <si>
    <t>AB6BQ</t>
  </si>
  <si>
    <t>WOS:001644262200001</t>
  </si>
  <si>
    <t>Mac Oscar, M; Boland, M; Cadogan, C</t>
  </si>
  <si>
    <t>Background: A substantial cohort of individuals rely on online resources, such as discussion forums, for support on tapering antidepressants. This study aimed to assess the performance of generative artificial intelligence (AI) in responding to clinical queries on tapering antidepressants. Methods: Ten queries on tapering antidepressants were developed based on previous research, prescribing guidelines, and online peer support forums. Queries covered areas including reasons for discontinuing antidepressants, tapering methods, withdrawal symptoms, and relapse. Each query was submitted to ChatGPT (OpenAI, San Francisco, CA) using the GPT-4 model as an independent standalone query using standardised prompts. Responses were evaluated in terms of relevance, accuracy, completeness, and clarity by two researchers working independently. Results: GPT-4 responses to all tapering queries were considered relevant and within scope. Most responses (8/ 10) incorporated safety netting by emphasising the importance of consulting healthcare professionals before making any medication changes. The overall accuracy, completeness, and clarity of responses compared less favourably. The response to a query on hyperbolic tapering had the least favourable assessment. This was due to inaccuracies as the response incorrectly referred to logarithmic reductions and provided inaccurate examples of fixed dosage reductions. Several instances of AI hallucinations were identified, including fabricated references. Conclusion: Generative AI is having a transformative impact on healthcare, including how healthcare professionals and patients access information about clinical queries, such as antidepressant tapering. The study findings show that GPT-4 was able to provide relevant and safety-conscious responses on antidepressant tapering. However, performance issues such as inconsistencies and inaccuracies in tapering recommendations highlight the important role that healthcare professionals continue to play in providing patients with clinically trained, professional support in safely managing health-related issues. Further research on developing AI evaluation tools is needed to ensure consistency in the approaches used in evaluating the performance of AI in addressing clinical queries.</t>
  </si>
  <si>
    <t>Mac Oscar, Maeve; Boland, Miriam; Cadogan, Cathal</t>
  </si>
  <si>
    <t>Cadogan, C (corresponding author), Trinity Coll Dublin, Sch Pharm &amp; Pharmaceut Sci, Dublin, Ireland.</t>
  </si>
  <si>
    <t>cathal.cadogan@tcd.ie</t>
  </si>
  <si>
    <t>[Mac Oscar, Maeve; Boland, Miriam; Cadogan, Cathal] Trinity Coll Dublin, Sch Pharm &amp; Pharmaceut Sci, Dublin, Ireland</t>
  </si>
  <si>
    <t>Trinity College Dublin</t>
  </si>
  <si>
    <t>An assessment of generative artificial intelligence in responding to clinical queries on tapering antidepressants</t>
  </si>
  <si>
    <t>RESEARCH IN SOCIAL &amp; ADMINISTRATIVE PHARMACY</t>
  </si>
  <si>
    <t>Psychiatry; Tapering; Antidepressants; Artificial intelligence; ChatGPT</t>
  </si>
  <si>
    <t>COUNTRIES</t>
  </si>
  <si>
    <t>Cadogan, Cathal/ADM-2870-2022; Boland, Miriam/KFS-4354-2024</t>
  </si>
  <si>
    <t>Cadogan, Cathal/0000-0002-8778-0112</t>
  </si>
  <si>
    <t>1551-7411</t>
  </si>
  <si>
    <t>1934-8150</t>
  </si>
  <si>
    <t>RES SOC ADMIN PHARM</t>
  </si>
  <si>
    <t>Res. Soc. Adm. Pharm.</t>
  </si>
  <si>
    <t>924</t>
  </si>
  <si>
    <t>930</t>
  </si>
  <si>
    <t>10.1016/j.sapharm.2025.06.107</t>
  </si>
  <si>
    <t>http://dx.doi.org/10.1016/j.sapharm.2025.06.107</t>
  </si>
  <si>
    <t>Public, Environmental &amp; Occupational Health; Pharmacology &amp; Pharmacy</t>
  </si>
  <si>
    <t>7CR9P</t>
  </si>
  <si>
    <t>40579346</t>
  </si>
  <si>
    <t>WOS:001567895600007</t>
  </si>
  <si>
    <t>Mccaffrey, P; Jackups, R; Seheult, J; Zaydman, MA; Balis, U; Thaker, HM; Rashidi, H; Gullapalli, RR</t>
  </si>
  <si>
    <t>Context.-Generative artificial intelligence (GAI) technologies are likely to dramatically impact health care workflows in clinical pathology (CP). Applications in CP include education, data mining, decision support, result summaries, and patient trend assessments. Objective.-To review use cases of GAI in CP, with a particular focus on large language models. Specific examples are provided for the applications of GAI in the subspecialties of clinical chemistry, microbiology, hematopathology, and molecular diagnostics. Additionally, the review addresses potential pitfalls of GAI paradigms. Data Sources.-Current literature on GAI in health care was reviewed broadly. The use case scenarios for each CP subspecialty review common data sources generated in each subspecialty. The potential for utilization of CP data in the GAI context was subsequently assessed, focusing on issues such as future reporting paradigms, impact on quality metrics, and potential for translational research activities. Conclusions.-GAI is a powerful tool with the potential to revolutionize health care for patients and practitioners alike. However, GAI must be implemented with much caution considering various shortcomings of the technology such as biases, hallucinations, practical challenges of implementing GAI in existing CP workflows, and end-user acceptance. Human-in-the-loop models of GAI implementation have the potential to revolutionize CP by delivering deeper, meaningful insights into patient outcomes both at an individual and a population level.</t>
  </si>
  <si>
    <t>Mccaffrey, Peter; Jackups, Ronald; Seheult, Jansen; Zaydman, Mark A.; Balis, Ulysses; Thaker, Harshwardhan M.; Rashidi, Hooman; Gullapalli, Rama R.</t>
  </si>
  <si>
    <t>Gullapalli, RR (corresponding author), Univ New Mexico, Dept Pathol, Room 333A,1 MSC08-4640, Albuquerque, NM 87131 USA.</t>
  </si>
  <si>
    <t>RGullapalli@salud.unm.edu</t>
  </si>
  <si>
    <t>National Institutes of Health-National Institutes of General Medical Sciences (NIH-NIGMS) [P20 GM130422]</t>
  </si>
  <si>
    <t>National Institutes of Health-National Institutes of General Medical Sciences (NIH-NIGMS)</t>
  </si>
  <si>
    <t>Gullapalli is funded and salary supported through the National Institutes of Health-National Institutes of General Medical Sciences (NIH-NIGMS) grant P20 GM130422 award mechanism.</t>
  </si>
  <si>
    <t>[Mccaffrey, Peter; Thaker, Harshwardhan M.] Univ Texas Med Branch, Dept Pathol, Galveston, TX USA; [Mccaffrey, Peter] Univ Texas Med Branch, Dept Radiol, Galveston, TX USA; [Jackups, Ronald; Zaydman, Mark A.] Washington Univ, Sch Med, Dept Pathol &amp; Immunol, St Louis, MO USA; [Seheult, Jansen] Mayo Clin, Dept Lab Med &amp; Pathol, Rochester, MN USA; [Balis, Ulysses] Univ Michigan, Dept Pathol, Ann Arbor, MI USA; [Balis, Ulysses] Univ Pittsburgh, Computat Pathol &amp; AI Ctr Excellence, Sch Med, Pittsburgh, PA USA; [Balis, Ulysses] UPMC, Pittsburgh, PA USA; [Gullapalli, Rama R.] Univ New Mexico, Dept Pathol, Dept Chem &amp; Biol Engn, Albuquerque, NM USA</t>
  </si>
  <si>
    <t>University of Texas Medical Branch Galveston; University of Texas System; University of Texas Medical Branch Galveston; University of Texas System; University of Texas Medical Branch Galveston; Washington University (WUSTL); Mayo Clinic; University of Michigan; University of Michigan System; University of Michigan; Pennsylvania Commonwealth System of Higher Education (PCSHE); University of Pittsburgh; Pennsylvania Commonwealth System of Higher Education (PCSHE); University of Pittsburgh; University of New Mexico; University of New Mexico's Health Sciences Center</t>
  </si>
  <si>
    <t>Evaluating Use of Generative Artificial Intelligence in Clinical Pathology Practice Opportunities and the Way Forward</t>
  </si>
  <si>
    <t>ARCHIVES OF PATHOLOGY &amp; LABORATORY MEDICINE</t>
  </si>
  <si>
    <t>Seheult, Jansen/AAB-6713-2020</t>
  </si>
  <si>
    <t>Seheult, Jansen/0000-0002-6850-7495; Balis, Ulysses/0000-0002-4168-1477</t>
  </si>
  <si>
    <t>COLL AMER PATHOLOGISTS</t>
  </si>
  <si>
    <t>NORTHFIELD</t>
  </si>
  <si>
    <t>C/O KIMBERLY GACKI, 325 WAUKEGAN RD, NORTHFIELD, IL 60093-2750 USA</t>
  </si>
  <si>
    <t>0003-9985</t>
  </si>
  <si>
    <t>1543-2165</t>
  </si>
  <si>
    <t>ARCH PATHOL LAB MED</t>
  </si>
  <si>
    <t>Arch. Pathol. Lab. Med.</t>
  </si>
  <si>
    <t>130</t>
  </si>
  <si>
    <t>10.5858/arpa.2024-0208-RA</t>
  </si>
  <si>
    <t>http://dx.doi.org/10.5858/arpa.2024-0208-RA</t>
  </si>
  <si>
    <t>Medical Laboratory Technology; Medicine, Research &amp; Experimental; Pathology</t>
  </si>
  <si>
    <t>Medical Laboratory Technology; Research &amp; Experimental Medicine; Pathology</t>
  </si>
  <si>
    <t>W1O8R</t>
  </si>
  <si>
    <t>39384182</t>
  </si>
  <si>
    <t>WOS:001416363100006</t>
  </si>
  <si>
    <t>Chu, KL; Wang, CL; Chang, CM; Liang, JC; Chen, LYA; Liu, CY; Lin, CP</t>
  </si>
  <si>
    <t>Background: Generative artificial intelligence (GenAI) can automate time-intensive tasks and support clinical decision-making in care settings. Nurses require appropriate competencies to ensure that integration of GenAI strengthens care quality and patient safety. However, validated literacy assessment tools remain limited. In particular, instruments tailored to nurses' role-specific GenAI competencies, including hallucination detection, risk identification, and ethical accountability, are lacking. These gaps highlight the need for a nurse-specific GenAI literacy scale. Objective: This study aimed to develop and psychometrically validate the Generative Artificial Intelligence Literacy Scale for Nurses (GenAILS). Methods: We conducted a two-phase, cross-sectional online survey of registered nurses nationwide in Taiwan between June 2025 and October 2025. Phase 1 involved conceptualization and item generation based on a literature review, followed by content appraisal through expert discussion with 6 external reviewers. A 50-item pool was generated. Subsequently, 5 external reviewers evaluated content validity. Items with a content validity index of &lt;0.78 or flagged for revision were revised or deleted. Phase 2 evaluated psychometric properties (item analysis, internal consistency, split-half reliability, and criterion-related validity) and construct validity via exploratory factor analysis (factor loading &gt;= 0.60), followed by confirmatory factor analysis (CFA). The total sample was randomly split into 2 independent subsamples for exploratory factor analysis and CFA. Results: In phase 1, the initial 50 items underwent expert content validation and were revised to 46 items (scale content validity index based on the average method=0.92). In phase 2, 1313 questionnaires were collected, of which 191 invalid responses were excluded; 1122 valid responses were analyzed. Participants had a mean age of 34.66 (SD 7.8) years. Extreme-group comparison revealed statistically significant differences for each item (P&lt;.001). The final scale comprised 24 items across six dimensions: responsible use, updated competencies, risk identification, fundamental knowledge, critical evaluation, and ethics and law. The cumulative variance explained was 53.1%. The first-order CFA demonstrated excellent model fit: root-mean-square error of approximation=0.035, standardized root-mean-square residual=0.032, comparative fit index=0.99, goodness-of-fit index=0.94, adjusted goodness-of-fit index=0.93, nonnormed fit index=0.99, and parsimony normed fit index=0.84. The second-order CFA demonstrated excellent model fit: root-mean-square error of approximation=0.039, standardized root-mean-square residual=0.040, comparative fit index=0.99, goodness-of-fit index=0.94, adjusted goodness-of-fit index=0.92, nonnormed fit index=0.99, and parsimony normed fit index=0.87. All heterotrait-monotrait ratio values were below 0.85, supporting discriminant validity. The scale was moderately correlated with the Short Form Meta-AI Literacy Scale (r=0.57; P&lt;.001). Reliability was excellent (Cronbach alpha=0.92; McDonald omega=0.92; split-half reliability=0.81). Conclusions: The GenAILS is a concise, nurse-specific self-report instrument with good psychometric properties across 6 clinically relevant domains. It supports needs assessment, targeted training, and intervention evaluation to promote the safe and ethical use of GenAI in nursing.</t>
  </si>
  <si>
    <t>Chu, Kuan-Lin; Wang, Ching-Ling; Chang, Che-Ming; Liang, Jyh-Chong; Chen, Lu-Yen Anny; Liu, Chieh-Yu; Lin, Cheng-Pei</t>
  </si>
  <si>
    <t>Lin, CP (corresponding author), Natl Yang Ming Chiao Tung Univ, Inst Community Hlth Care, Coll Nursing, 155 Sec 2,Linong St, Taipei 112304, Taiwan.</t>
  </si>
  <si>
    <t>cheng-pei.lin@nycu.edu.tw</t>
  </si>
  <si>
    <t>Taipei Hospital, Ministry of Health and Welfare [202525]; Academy of Finland (AKA) [202525] Funding Source: Academy of Finland (AKA)</t>
  </si>
  <si>
    <t>Taipei Hospital, Ministry of Health and Welfare; Academy of Finland (AKA) (Research Council of Finland)</t>
  </si>
  <si>
    <t>This work was supported by Taipei Hospital, Ministry of Health and Welfare (Grant number: 202525) . The funder did not play any role in study design, data collection, analysis, or manuscript preparation.</t>
  </si>
  <si>
    <t>[Chu, Kuan-Lin] Taipei Vet Gen Hosp, Dept Nursing, Taipei, Taiwan; [Chu, Kuan-Lin; Wang, Ching-Ling; Chen, Lu-Yen Anny] Natl Yang Ming Chiao Tung Univ, Inst Clin Nursing, Coll Nursing, Taipei, Taiwan; [Wang, Ching-Ling] Minist Hlth &amp; Welf, Taipei Hosp, Dept Nursing, Taipei, Taiwan; [Chang, Che-Ming] MacKay Mem Hosp, Dept Nursing, Taipei, Taiwan; [Liang, Jyh-Chong] Natl Taiwan Normal Univ, Program Learning Sci, Taipei, Taiwan; [Liang, Jyh-Chong] Natl Taiwan Normal Univ, Inst Res Excellence Learning Sci, Taipei, Taiwan; [Liu, Chieh-Yu; Lin, Cheng-Pei] Natl Yang Ming Chiao Tung Univ, Inst Community Hlth Care, Coll Nursing, 155 Sec 2,Linong St, Taipei 112304, Taiwan; [Lin, Cheng-Pei] Kings Coll London, Cicely Saunders Inst Palliat Care Policy &amp; Rehabil, London, England</t>
  </si>
  <si>
    <t>Taipei Veterans General Hospital; National Yang Ming Chiao Tung University; Mackay Memorial Hospital; National Taiwan Normal University; National Taiwan Normal University; National Yang Ming Chiao Tung University; University of London; King's College London</t>
  </si>
  <si>
    <t>Generative Artificial Intelligence Literacy Scale for Nurses: Development and Psychometric Evaluation</t>
  </si>
  <si>
    <t>artificial intelligence; generative artificial intelligence; literacy; nurses; psychometrics; surveys and questionnaires</t>
  </si>
  <si>
    <t>VALIDITY</t>
  </si>
  <si>
    <t>chu, kuan-lin/0009-0007-9373-049X; CHANG, CHE MING/0009-0008-9724-4672; Wang, Ching-Ling/0000-0003-4753-8361</t>
  </si>
  <si>
    <t>JUL 6 2026</t>
  </si>
  <si>
    <t>e95547</t>
  </si>
  <si>
    <t>10.2196/95547</t>
  </si>
  <si>
    <t>http://dx.doi.org/10.2196/95547</t>
  </si>
  <si>
    <t>LB8QE</t>
  </si>
  <si>
    <t>42407060</t>
  </si>
  <si>
    <t>WOS:001820891700001</t>
  </si>
  <si>
    <t>Li, ZY; Xiong, TY; Li, WC; Chishti, MNU; Zeng, L; Chen, Y; Yu, TJ; Li, L; Liao, JL</t>
  </si>
  <si>
    <t>Preoperative psychological screening in plastic surgery faces inconsistent implementation due to time constraints and patients' reluctance to disclose distress. This narrative review explores the emerging roles of generative artificial intelligence (AI), particularly large language models (LLMs), in supporting preoperative psychological assessment and patient empowerment. This review synthesizes literature across four key domains: (1) psychological risk constructs; (2) conversational screening and language-based signal detection; (3) patient-facing psychoeducation and expectation management; and (4) system design, governance, and limitations. Current evidence suggests that LLM-enabled conversational agents can facilitate structured history-taking, elicit expectation-related cues, and deliver tailored psychoeducation in a low-stigma format. Hybrid approaches, combining validated psychometric instruments with free-text dialogue, may further improve contextualization for clinician review. Despite these potential benefits, key risks persist. These include hallucinations, demographic and aesthetic bias, privacy concerns, and a lack of standardized clinical validation. While generative AI can augment preoperative care by expanding access to screening-like interactions and expectation calibration, its deployment must be strictly bounded by a clearly defined scope, human oversight, and safety-by-design governance.To enable safer risk stratification and real-world implementation, future research should prioritize prospective clinical validation, robust escalation protocols, and multimodal approaches.</t>
  </si>
  <si>
    <t>Li, Zhengyang; Xiong, Tianyu; Li, Wencan; Chishti, Muhammad Naveed Ul Haq; Zeng, Li; Chen, Yan; Yu, Tianjing; Li, Li; Liao, Junlin</t>
  </si>
  <si>
    <t>Liao, JL (corresponding author), Univ South China, Affiliated Hosp 1, Ctr Burn Plast &amp; Wound Repair, Hengyang Med Sch, Hengyang 421001, Hunan, Peoples R China.; Li, L (corresponding author), Univ South China, Affiliated Hosp 1, Hengyang Med Sch, Dept Obstet &amp; Gynecol, Hengyang 421001, Hunan, Peoples R China.</t>
  </si>
  <si>
    <t>215657028@qq.com; liaojunlin85@163.com</t>
  </si>
  <si>
    <t>Education Ministry's Collaborative Education Program with Industry, China [220603565172212]; School-level Educational Reform Project at the University of South China, China [2022CY009]</t>
  </si>
  <si>
    <t>Education Ministry's Collaborative Education Program with Industry, China; School-level Educational Reform Project at the University of South China, China</t>
  </si>
  <si>
    <t>This work was supported by the Education Ministry's Collaborative Education Program with Industry, China (No.220603565172212) , and the School-level Educational Reform Project at the University of South China, China (No.2022CY009) .</t>
  </si>
  <si>
    <t>[Li, Zhengyang; Xiong, Tianyu; Chishti, Muhammad Naveed Ul Haq; Zeng, Li; Chen, Yan; Yu, Tianjing; Liao, Junlin] Univ South China, Affiliated Hosp 1, Ctr Burn Plast &amp; Wound Repair, Hengyang Med Sch, Hengyang 421001, Hunan, Peoples R China; [Li, Wencan] Shanghai Jiao Tong Univ, Xinhua Hosp, Dermatol Ctr, Sch Med, Shanghai 200092, Peoples R China; [Li, Li] Univ South China, Affiliated Hosp 1, Hengyang Med Sch, Dept Obstet &amp; Gynecol, Hengyang 421001, Hunan, Peoples R China</t>
  </si>
  <si>
    <t>University of South China; Shanghai Jiao Tong University; University of South China</t>
  </si>
  <si>
    <t>Generative artificial intelligence in plastic surgery: emerging applications in preoperative psychological screening and patient empowerment</t>
  </si>
  <si>
    <t>PLASTIC AND AESTHETIC RESEARCH</t>
  </si>
  <si>
    <t>Plastic surgery; generative; artificial intelligence; large; language models; preoperative psychological; screening; patient; empowerment; clinical; decision support</t>
  </si>
  <si>
    <t>OAE PUBLISHING INC</t>
  </si>
  <si>
    <t>ALHAMBRA</t>
  </si>
  <si>
    <t>245 E MAIN ST, ST122, ALHAMBRA, CA 91801 USA</t>
  </si>
  <si>
    <t>2347-9264</t>
  </si>
  <si>
    <t>2349-6150</t>
  </si>
  <si>
    <t>PLAST AESTHET RES</t>
  </si>
  <si>
    <t>Plast. Aesthet. Res.</t>
  </si>
  <si>
    <t>10.20517/2347-9264.2026.17</t>
  </si>
  <si>
    <t>http://dx.doi.org/10.20517/2347-9264.2026.17</t>
  </si>
  <si>
    <t>JB4WP</t>
  </si>
  <si>
    <t>WOS:001785369700001</t>
  </si>
  <si>
    <t>Lubis, LE; Raharja, HDR; Fajri, GM; Wibowo, WE; Pawiro, SA; Haryanto, F</t>
  </si>
  <si>
    <t>Purpose: To evaluate adoption patterns and attitudes toward generative AI-particularly large language models (LLMs) such as ChatGPT-among medical physicists in Indonesia. Methods: A cross-sectional online survey was conducted in October 2025 among 165 Indonesian medical physicists. The questionnaire captured demographics, awareness and use of LLMs, professional use cases, perceived productivity benefits, verification behaviors, concerns, and views on future integration. Descriptive statistics were used for analysis. Results: LLM awareness was nearly universal (95%), and 96% had used an LLM. Most respondents (72%) used LLMs at least several times per week. Common applications included literature search and summarization (67%), solving technical or clinical questions (58%), drafting professional communications (46%), preparing teaching materials (41%), and assisting scientific writing (39%). Perceived benefits were strong: over 85% reported increased perceived efficiency, with 61% noting significant productivity gains and none reporting decreased productivity. Trust remained moderate; only 11% expressed high confidence in LLM accuracy, and the majority routinely verified important outputs. Key concerns included potential inaccuracies or hallucinations (63%), overreliance (59%), limited domain understanding (59%), ethical or plagiarism risks (55%), and data privacy (44%). Despite these concerns, 94% expected a positive future impact of LLMs on the profession, 79% supported incorporating AI/LLM competencies into training, and 92% would recommend LLM use to colleagues, albeit with caution. Conclusions: Indonesian medical physicists have rapidly integrated generative AI into research, education, and problem-solving activities, reporting perceived efficiency gains while maintaining critical oversight. Their optimism underscores the need for guidance and training to ensure responsible, effective use of AI tools in medical physics. Cautions should be made on ethical issues of an overuse/abuse of generative AI especially among early-career or in-training medical physicists.</t>
  </si>
  <si>
    <t>Lubis, L. E.; Raharja, H. D. R.; Fajri, G. M.; Wibowo, W. E.; Pawiro, S. A.; Haryanto, F.</t>
  </si>
  <si>
    <t>Lubis, LE (corresponding author), Univ Indonesia, Fac Math &amp; Nat Sci, Dept Phys, Kampus UI, Depok 16424, Indonesia.</t>
  </si>
  <si>
    <t>lukmanda.evan@sci.ui.ac.id</t>
  </si>
  <si>
    <t>[Lubis, L. E.; Pawiro, S. A.] Univ Indonesia, Fac Math &amp; Nat Sci, Dept Phys, Kampus UI, Depok 16424, Indonesia; [Lubis, L. E.] Univ Indonesia Hosp, Radiol Unit, Kampus UI, Depok 16424, Indonesia; [Raharja, H. D. R.] MRCCC Siloam Hosp, Radiol Dept, Jakarta 12930, Indonesia; [Fajri, G. M.] Fatmawati Gen Hosp, Canc Ctr Unit, Jakarta 12430, Indonesia; [Wibowo, W. E.] Cipto Mangunkusumo Natl Gen Hosp, Radiotherapy Dept, Jakarta 10430, Indonesia; [Haryanto, F.] Bandung Inst Technol, Fac Math &amp; Nat Sci, Bandung 40132, Indonesia</t>
  </si>
  <si>
    <t>University of Indonesia; Institute Technology of Bandung</t>
  </si>
  <si>
    <t>Beyond hype: Adoption and attitudes toward generative AI among Indonesian medical physicists</t>
  </si>
  <si>
    <t>PHYSICA MEDICA-EUROPEAN JOURNAL OF MEDICAL PHYSICS</t>
  </si>
  <si>
    <t>generative AI; Large language models; Medical physicists; Technology adoption; Professional practice</t>
  </si>
  <si>
    <t>Pawiro, Supriyanto/GLU-1766-2022; Lubis, Lukmanda Evan/GQB-2108-2022</t>
  </si>
  <si>
    <t>1120-1797</t>
  </si>
  <si>
    <t>1724-191X</t>
  </si>
  <si>
    <t>PHYS MEDICA</t>
  </si>
  <si>
    <t>Phys. Medica</t>
  </si>
  <si>
    <t>105759</t>
  </si>
  <si>
    <t>10.1016/j.ejmp.2026.105759</t>
  </si>
  <si>
    <t>http://dx.doi.org/10.1016/j.ejmp.2026.105759</t>
  </si>
  <si>
    <t>EQ2GT</t>
  </si>
  <si>
    <t>41762967</t>
  </si>
  <si>
    <t>WOS:001707130900001</t>
  </si>
  <si>
    <t>Hack, S; Craig, JR; Lin, CF; Fu, CH; Kwiatkowska, MA; Kocum, P; Allevi, F; Saibene, AM</t>
  </si>
  <si>
    <t>Purpose This exploratory pilot study evaluated whether combining structured clinical information, medical imaging, and literature-derived knowledge could enhance the diagnostic reasoning and output quality of a large language model in distinguishing odontogenic sinusitis from maxillary sinus mucositis. Methods Six complex clinical cases were constructed with nasal endoscopy, computed tomography findings, and clinical vignettes. ChatGPT-4.0 was prompted using four strategies: (1) clinical text only, (2) text with medical imaging, (3) text with structured literature excerpts, and (4) text with both imaging and literature input. Seven blinded expert reviewers rated 168 responses across diagnostic accuracy, clinical reasoning, safety, and overall usefulness using a five-point scale. Statistical comparisons and inter-rater reliability were assessed. Results All prompting strategies produced clinically safe outputs with minimal hallucinations or unsafe recommendations. Combining structured literature and imaging with clinical text significantly improved clinical reasoning scores (F(3,123) = 4.32, p = 0.0058), ranking first or second in six of seven evaluation domains. No significant differences were observed in diagnostic accuracy or safety across strategies. Inter-rater reliability was substantial (kappa = 0.7). Conclusion Providing structured evidence and imaging appeared to enhance the clinical reasoning quality of large language models in this small, simulated dataset, without compromising diagnostic accuracy or safety. These preliminary findings suggest that structured multimodal prompting may help improve the interpretability and reliability of artificial intelligence tools for supporting diagnostic reasoning in sinus-related diseases, though larger prospective validation studies are needed before clinical implementation.</t>
  </si>
  <si>
    <t>Hack, Sholem; Craig, John R.; Lin, Chih-Feng; Fu, Chia-Hsiang; Kwiatkowska, Marta Aleksandra; Kocum, Petr; Allevi, Fabiana; Saibene, Alberto Maria</t>
  </si>
  <si>
    <t>Hack, S (corresponding author), City St Georges Univ London, Program Delivered Univ Nicosia, Sch Med, Chaim Sheba Med Ctr, Ramat Gan, Israel.</t>
  </si>
  <si>
    <t>sholemhack1@gmail.com</t>
  </si>
  <si>
    <t>[Hack, Sholem] City St Georges Univ London, Program Delivered Univ Nicosia, Sch Med, Chaim Sheba Med Ctr, Ramat Gan, Israel; [Craig, John R.] Henry Ford Hlth, Dept Otolaryngol Head &amp; Neck Surg, Detroit, MI USA; [Lin, Chih-Feng; Fu, Chia-Hsiang] Natl Taiwan Univ Hosp, Dept Otolaryngol Head &amp; Neck Surg, Taipei, Taiwan; [Fu, Chia-Hsiang] Chang Gung Univ, Grad Inst Clin Med Sci, Coll Med, Taoyuan, Taiwan; [Kwiatkowska, Marta Aleksandra] Mil Inst Med, Natl Res Inst, Dept Otolaryngol &amp; Laryngol Oncol, Warsaw, Poland; [Kocum, Petr] Na Homolce Hosp, Dept ENT Head &amp; Neck Surg, Prague, Czech Republic; [Allevi, Fabiana] Univ Milan, Santi Paolo &amp; Carlo Hosp, Dept Hlth Sci, Maxillofacial Surg Unit, Milan, Italy; [Saibene, Alberto Maria] Univ Milan, Santi Paolo &amp; Carlo Hosp, Dept Hlth Sci, Otolaryngol Unit, Milan, Italy</t>
  </si>
  <si>
    <t>Tel Aviv University; Chaim Sheba Medical Center; Sackler Faculty of Medicine; Henry Ford Health System; National Taiwan University; National Taiwan University Hospital; Chang Gung University; Military Institute of Aviation Medicine; Na Homolce Hospital; University of Milan; University of Milan</t>
  </si>
  <si>
    <t>Retrieval-augmented generative AI enhances clinical reasoning in odontogenic sinusitis versus maxillary sinus mucositis</t>
  </si>
  <si>
    <t>Large language models; Otolaryngology; Odontogenic sinusitis; Clinical reasoning; Retrieval-augmented generation; Maxillary sinus mucositis; Diagnostic reasoning; Multimodal prompting; Nasal endoscopy; Computed tomography</t>
  </si>
  <si>
    <t>MODELS</t>
  </si>
  <si>
    <t>Kwiatkowska, Marta/OOM-0733-2025; Allevi, Fabiana/AAO-2330-2020; Saibene, Alberto/H-7702-2019; Hack, Sholem/ODK-2792-2025</t>
  </si>
  <si>
    <t>2353</t>
  </si>
  <si>
    <t>2360</t>
  </si>
  <si>
    <t>10.1007/s00405-026-10040-2</t>
  </si>
  <si>
    <t>http://dx.doi.org/10.1007/s00405-026-10040-2</t>
  </si>
  <si>
    <t>GD3MH</t>
  </si>
  <si>
    <t>41838153</t>
  </si>
  <si>
    <t>WOS:001716304200001</t>
  </si>
  <si>
    <t>Loor, AHL; Orejuela, JAC; Sosa, AM; Moreira, PCA; Sornoza, TPV; Macías, RYV; Zambrano, GPZ; Andrade, SCP</t>
  </si>
  <si>
    <t>The rapid advancement of generative artificial intelligence (GAI) presents both opportunities and ethical challenges in nursing education. GAI has the potential to enhance teaching, learning, and clinical decision-making through personalized learning resources and simulation of healthcare sce-narios. However, it also introduces multifaceted ethical dilemmas, which require careful considera-tion in its integration into nursing curricula. This study aims to critically examine the ethical implica-tions of GAI adoption in nursing education, focusing on its impact on ethical principles, clinical rea-soning, academic integrity, and pedagogical strategies. We synthesized peer-reviewed evidence published between January 2023 and August 2025 in a state-ofthe-art review. Studies were selected from PubMed, Scopus, and Web of Science using specific search terms related to GAI, ethics, and nursing education. Data extraction was performed using a predefined template, capturing key variables such as ethical principles, methodological approaches, and recommended pedagogical safeguards. The integration of GAI in nursing education raises concerns regarding academic integrity, automation bias, AI "hallucinations," data privacy, and equity. However, it also offers opportunities for improving clinical reasoning, knowledge, and attitudes among students. The results underscore the need for clear gov-ernance frameworks, hybrid pedagogical approaches with "human-in-the-loop," and explicit guide-lines for transparency, bias mitigation, and data protection. GAI can enhance learning in nursing education when used responsibly. Ethical risks, such as the degradation of ethical reasoning and issues of privacy and equity, require careful management. A hybrid design approach, coupled with ethical training and continuous evaluation of AI use, is essential to ensure GAI's benefits while safeguarding professional judgment and patient safety.</t>
  </si>
  <si>
    <t>Loor, Andy Hermogenes Luque; Orejuela, Jose Andre Cedeno; Sosa, Ariel Melis; Moreira, Paola Ceciliana Anazco; Sornoza, Tatiana Paola Vinces; Macias, Reina Yadira Villavicencio; Zambrano, Gema Paola Zambrano; Andrade, Silvia Cristina Pino</t>
  </si>
  <si>
    <t>Orejuela, JAC (corresponding author), Univ San Gregorio Portoviejo, Carrera Med, Portoviejo, Ecuador.</t>
  </si>
  <si>
    <t>tpvinces@sangregorio.edu.ec; ryvillavicencio@sangregorio.edu.ec; jacedeno2@sangregorio.edu.ec; amelis@sangregorio.edu.ec; silcriss2093@gmail.com; ahluque@sangregorio.edu.ec; paola.anazco@uleam.edu.ec; nd_paoestetic24@outlook.es</t>
  </si>
  <si>
    <t>[Loor, Andy Hermogenes Luque; Orejuela, Jose Andre Cedeno; Sosa, Ariel Melis] Univ San Gregorio Portoviejo, Carrera Med, Portoviejo, Ecuador; [Moreira, Paola Ceciliana Anazco] Univ Laica Eloy Alfaro Manabi, Carrera Med, Manabi, Ecuador; [Sornoza, Tatiana Paola Vinces; Macias, Reina Yadira Villavicencio] Univ San Gregorio Portoviejo, Carrera Enfermeria, Portoviejo, Ecuador; [Zambrano, Gema Paola Zambrano] Cosmiatra, Portoviejo, Ecuador; [Andrade, Silvia Cristina Pino] Hosp Gen Dr Napoleon Davila Cordova, Docencia Invest, Hosp Gen Dr, Chone, Ecuador</t>
  </si>
  <si>
    <t>Universidad San Gregorio de Portoviejo USGP; Universidad Laica Eloy Alfaro De Manabi; Universidad San Gregorio de Portoviejo USGP</t>
  </si>
  <si>
    <t>Implications of Generative Artificial Intelligence on Ethics in Nursing Education: State of The Art Review</t>
  </si>
  <si>
    <t>SPANISH JOURNAL OF MEDICAL EDUCATION</t>
  </si>
  <si>
    <t>Generative Artificial Intelligence; Chat GPT; Nursing Ethic; Nursing Ethics</t>
  </si>
  <si>
    <t>Luque Loor, Andy/PLC-3411-2026; Zambrano Zambrano, Gema Paola/PQV-7080-2026</t>
  </si>
  <si>
    <t>Melis, Ariel/0009-0009-0671-2723; Zambrano Zambrano, Gema Paola/0009-0000-8724-4494; Pino Andrade, Silvia/0009-0006-6822-0423</t>
  </si>
  <si>
    <t>UNIV MURCIA</t>
  </si>
  <si>
    <t>Murcia</t>
  </si>
  <si>
    <t>Edificio Pleiades Campus de Espinardo, Murcia, 30071, SPAIN</t>
  </si>
  <si>
    <t>2660-8529</t>
  </si>
  <si>
    <t>SPAN J MED EDUC</t>
  </si>
  <si>
    <t>Span. J. Med. Educ.</t>
  </si>
  <si>
    <t>676041</t>
  </si>
  <si>
    <t>10.6018/edumed.676041</t>
  </si>
  <si>
    <t>http://dx.doi.org/10.6018/edumed.676041</t>
  </si>
  <si>
    <t>AT1HJ</t>
  </si>
  <si>
    <t>WOS:001656131800001</t>
  </si>
  <si>
    <t>Pan, HX; Liu, JL; Liu, SR</t>
  </si>
  <si>
    <t>As generative artificial intelligence (AI), particularly large language model-based tools, is increasingly integrated into diagnosis, triage, decision support, and treatment planning, it offers potential gains in efficiency and information access. However, real-world deployment also introduces important risks, including hallucinations, miscalibrated confidence, automation bias, and increased verification burden on physicians. This burden may divert attention from independent clinical reasoning, contribute to deskilling, and increase vulnerability when models fail silently or perform poorly in unfamiliar clinical contexts. Existing AI governance frameworks emphasize data quality, transparency, accountability, and ethical deployment, but pay less attention to physician-facing resilience, defined in this paper as the capacity to sustain independent and safe clinical judgment when collaborating with generative AI. In this viewpoint, we propose a multilevel governance framework organized around 3 coordinated domains: cognitive workload shaping, clinical authority governance and allocation, and organizational safety governance and accountability. Together, these domains aim to reduce verification burden, preserve physician decisional authority, and align institutional oversight with safe and context-sensitive AI use. The framework includes mechanisms such as risk-sensitive verification triggers, bounded delegation, structured interprofessional review, and organizational monitoring to support safe clinical integration while minimizing avoidable workflow disruption. At the same time, implementation may be limited by workflow friction, alert fatigue, variable institutional resources, and the need for ongoing monitoring and recalibration to ensure that safeguards remain clinically useful rather than burdensome. Accordingly, this paper outlines a structured governance framework to guide safer integration of generative AI into clinical care and inform future evaluation across specialties, workflows, and institutional settings.</t>
  </si>
  <si>
    <t>Pan, Hongxia; Liu, Jialin; Liu, Siru</t>
  </si>
  <si>
    <t>Liu, JL (corresponding author), Sichuan Univ, West China Hosp, Dept Med Informat, Guoxue Xiang St, Chengdu 610041, Sichuan, Peoples R China.</t>
  </si>
  <si>
    <t>Funding The authors declared no financial support was received for this work.</t>
  </si>
  <si>
    <t>[Pan, Hongxia] Sichuan Univ, West China Hosp, Rehabil Med Ctr, Chengdu, Sichuan, Peoples R China; [Pan, Hongxia] Sichuan Univ, West China Hosp, Inst Rehabil Med, Chengdu, Sichuan, Peoples R China; [Liu, Jialin] Sichuan Univ, West China Hosp, Dept Med Informat, Guoxue Xiang St, Chengdu 610041, Sichuan, Peoples R China; [Liu, Jialin] Sichuan Univ, West China Hosp, Dept Otolaryngol Head &amp; Neck Surg, Chengdu, Sichuan, Peoples R China; [Liu, Siru] Vanderbilt Univ, Med Ctr, Dept Biomed Informat, Nashville, TN USA</t>
  </si>
  <si>
    <t>Sichuan University; Sichuan University; Sichuan University; Sichuan University; Vanderbilt University</t>
  </si>
  <si>
    <t>Enhancing Physician Resilience to Generative AI: Multilevel Framework for Shared Authority, Verification, and Skill Preservation</t>
  </si>
  <si>
    <t>cognitive load; authority; accountability; artificial intelligence; AI; generative artificial intelligence; generative AI; clinical safety; physician</t>
  </si>
  <si>
    <t>JUN 24 2026</t>
  </si>
  <si>
    <t>e88058</t>
  </si>
  <si>
    <t>10.2196/88058</t>
  </si>
  <si>
    <t>http://dx.doi.org/10.2196/88058</t>
  </si>
  <si>
    <t>KS6DP</t>
  </si>
  <si>
    <t>42341297</t>
  </si>
  <si>
    <t>WOS:001814621800004</t>
  </si>
  <si>
    <t>Zhang, Q; Huang, ZJ; Huang, YQ; Wang, G; Zhang, RP; Yang, JL; Cheng, YL; Chen, BY; Wang, HX; Qiu, KL; Chen, HY</t>
  </si>
  <si>
    <t>Objective To evaluate the feasibility and educational value of employing large language models (LLMs) to generate clinical case scenario with multiple-choice questions (MCQs) for undergraduate medical education. Methods Twelve ophthalmology clinical case scenarios with MCQs generated by ChatGPT 4.0 were assessed for quality by eight teachers. High-scoring cases with MCQs were selected for review classes to test students' learning. Student perceptions were collected via in-class and after-class questionnaires using a 5-point Likert scale. Results The average quality score of the 12 cases with MCQs was 52.33 +/- 5.44 (range: 48-54.25; max = 60). There were statistical differences in the teachers' scores for identical clinical cases (F = 16.050, P &lt; 0.001). Among 20 students, 95% agreed AI-generated cases enriched learning resources, 80% reported improved interdisciplinary integration and learning efficiency, while 85% used LLMs for post-class practice but raised concerns about content accuracy and difficulty calibration. Conclusion LLMs like ChatGPT can rapidly generate clinically relevant case scenarios and MCQs under precise prompts, offering a novel tool for educators and learners. However, expert review remains critical to mitigate risks of AI hallucinations (observed in 16.67% of cases, 2/12) and ensure alignment with curricular standards. Key issues included contradictions in imaging descriptions (e.g., inappropriate use of high-frequency ultrasound for chalazion) and diagnostic logic (e.g., inconsistent gonioscopy findings), underscoring the necessity of human oversight to refine content accuracy and educational utility.</t>
  </si>
  <si>
    <t>Zhang, Qi; Huang, Zijing; Huang, Yuqiang; Wang, Geng; Zhang, Riping; Yang, Jianling; Cheng, Yinglin; Chen, Binyao; Wang, Hongxi; Qiu, Kunliang; Chen, Haoyu</t>
  </si>
  <si>
    <t>Chen, HY (corresponding author), Shantou Univ, Joint Shantou Int Eye Ctr, North Dongxia Rd, Shantou 515041, Guangdong, Peoples R China.; Chen, HY (corresponding author), Chinese Univ Hong Kong, North Dongxia Rd, Shantou 515041, Guangdong, Peoples R China.</t>
  </si>
  <si>
    <t>drchenhaoyu@gmail.com</t>
  </si>
  <si>
    <t>[Zhang, Qi; Huang, Zijing; Huang, Yuqiang; Wang, Geng; Zhang, Riping; Yang, Jianling; Cheng, Yinglin; Chen, Binyao; Wang, Hongxi; Qiu, Kunliang; Chen, Haoyu] Shantou Univ, Joint Shantou Int Eye Ctr, North Dongxia Rd, Shantou 515041, Guangdong, Peoples R China; [Zhang, Qi; Huang, Zijing; Huang, Yuqiang; Wang, Geng; Zhang, Riping; Yang, Jianling; Cheng, Yinglin; Chen, Binyao; Wang, Hongxi; Qiu, Kunliang; Chen, Haoyu] Chinese Univ Hong Kong, North Dongxia Rd, Shantou 515041, Guangdong, Peoples R China</t>
  </si>
  <si>
    <t>Shantou University</t>
  </si>
  <si>
    <t>Generative AI in medical education: feasibility and educational value of LLM-generated clinical cases with MCQs</t>
  </si>
  <si>
    <t>Large language models; Undergraduate medical education; Clinical case scenarios; Multiple-choice questions</t>
  </si>
  <si>
    <t>MULTIPLE-CHOICE QUESTIONNAIRE; OFFICERS</t>
  </si>
  <si>
    <t>chen, binyao/GSD-2496-2022; Qiu, Kunliang/AAF-2967-2020; Huang, Yuqiang/NRY-4699-2025; Wang, Hongxi/OYF-4892-2025; wang, geng/T-9490-2019; Chen, Haoyu/A-7432-2013</t>
  </si>
  <si>
    <t>Chen, Binyao/0000-0002-4134-4550; Wang, Hongxi/0000-0002-1391-5328; Chen, Haoyu/0000-0003-0676-4610</t>
  </si>
  <si>
    <t>1502</t>
  </si>
  <si>
    <t>10.1186/s12909-025-08085-8</t>
  </si>
  <si>
    <t>http://dx.doi.org/10.1186/s12909-025-08085-8</t>
  </si>
  <si>
    <t>9DF0G</t>
  </si>
  <si>
    <t>41146115</t>
  </si>
  <si>
    <t>WOS:001603550000002</t>
  </si>
  <si>
    <t>Zaretsky, J; Kim, JM; Baskharoun, S; Zhao, YN; Austrian, J; Aphinyanaphongs, Y; Gupta, R; Blecker, SB; Feldman, J</t>
  </si>
  <si>
    <t>Importance By law, patients have immediate access to discharge notes in their medical records. Technical language and abbreviations make notes difficult to read and understand for a typical patient. Large language models (LLMs [eg, GPT-4]) have the potential to transform these notes into patient-friendly language and format. Objective To determine whether an LLM can transform discharge summaries into a format that is more readable and understandable. Design, Setting, and Participants This cross-sectional study evaluated a sample of the discharge summaries of adult patients discharged from the General Internal Medicine service at NYU (New York University) Langone Health from June 1 to 30, 2023. Patients discharged as deceased were excluded. All discharge summaries were processed by the LLM between July 26 and August 5, 2023. Interventions A secure Health Insurance Portability and Accountability Act-compliant platform, Microsoft Azure OpenAI, was used to transform these discharge summaries into a patient-friendly format between July 26 and August 5, 2023. Main Outcomes and Measures Outcomes included readability as measured by Flesch-Kincaid Grade Level and understandability using Patient Education Materials Assessment Tool (PEMAT) scores. Readability and understandability of the original discharge summaries were compared with the transformed, patient-friendly discharge summaries created through the LLM. As balancing metrics, accuracy and completeness of the patient-friendly version were measured. Results Discharge summaries of 50 patients (31 female [62.0%] and 19 male [38.0%]) were included. The median patient age was 65.5 (IQR, 59.0-77.5) years. Mean (SD) Flesch-Kincaid Grade Level was significantly lower in the patient-friendly discharge summaries (6.2 [0.5] vs 11.0 [1.5]; P &lt; .001). PEMAT understandability scores were significantly higher for patient-friendly discharge summaries (81% vs 13%; P &lt; .001). Two physicians reviewed each patient-friendly discharge summary for accuracy on a 6-point scale, with 54 of 100 reviews (54.0%) giving the best possible rating of 6. Summaries were rated entirely complete in 56 reviews (56.0%). Eighteen reviews noted safety concerns, mostly involving omissions, but also several inaccurate statements (termed hallucinations). Conclusions and Relevance The findings of this cross-sectional study of 50 discharge summaries suggest that LLMs can be used to translate discharge summaries into patient-friendly language and formats that are significantly more readable and understandable than discharge summaries as they appear in electronic health records. However, implementation will require improvements in accuracy, completeness, and safety. Given the safety concerns, initial implementation will require physician review.</t>
  </si>
  <si>
    <t>Zaretsky, Jonah; Kim, Jeong Min; Baskharoun, Samuel; Zhao, Yunan; Austrian, Jonathan; Aphinyanaphongs, Yindalon; Gupta, Ravi; Blecker, Saul B.; Feldman, Jonah</t>
  </si>
  <si>
    <t>Zaretsky, J (corresponding author), NYU Langone Hlth, 550 First Ave, New York, NY 10016 USA.</t>
  </si>
  <si>
    <t>jonah.zaretsky@nyulangone.org</t>
  </si>
  <si>
    <t>[Zaretsky, Jonah] NYU Langone Hlth, 550 First Ave, New York, NY 10016 USA; [Zaretsky, Jonah; Kim, Jeong Min; Austrian, Jonathan; Blecker, Saul B.] NYU New York Univ Langone Hlth, Div Hosp Med, Dept Med, New York, NY USA; [Baskharoun, Samuel; Feldman, Jonah] NYU Long Isl Sch Med, Dept Med, Mineola, NY USA; [Zhao, Yunan; Aphinyanaphongs, Yindalon; Blecker, Saul B.] NYU Langone Hlth, Dept Populat Hlth, New York, NY USA; [Austrian, Jonathan; Feldman, Jonah] NYU Langone Med Ctr Informat Technol, Dept Hlth Informat, New York, NY USA; [Aphinyanaphongs, Yindalon] Predict Analyt Unit, NYU Langone Hlth, New York, NY USA; [Gupta, Ravi] Long Isl Community Hosp, Dept Internal Med, NYU Langone Hlth, New York, NY USA</t>
  </si>
  <si>
    <t>NYU Langone Medical Center; NYU Langone Medical Center; NYU Langone Medical Center; NYU Langone Medical Center</t>
  </si>
  <si>
    <t>Generative Artificial Intelligence to Transform Inpatient Discharge Summaries to Patient-Friendly Language and Format</t>
  </si>
  <si>
    <t>JAMA NETWORK OPEN</t>
  </si>
  <si>
    <t>READABILITY; UNDERSTANDABILITY; INFORMATION; ACTIVATION</t>
  </si>
  <si>
    <t>Blecker, Saul/0000-0003-4460-1046; Feldman, Jonah/0000-0002-5821-0946</t>
  </si>
  <si>
    <t>211</t>
  </si>
  <si>
    <t>238</t>
  </si>
  <si>
    <t>2574-3805</t>
  </si>
  <si>
    <t>JAMA NETW OPEN</t>
  </si>
  <si>
    <t>JAMA Netw. Open</t>
  </si>
  <si>
    <t>MAR 11 2024</t>
  </si>
  <si>
    <t>e240357</t>
  </si>
  <si>
    <t>10.1001/jamanetworkopen.2024.0357</t>
  </si>
  <si>
    <t>http://dx.doi.org/10.1001/jamanetworkopen.2024.0357</t>
  </si>
  <si>
    <t>LG9Q6</t>
  </si>
  <si>
    <t>38466307</t>
  </si>
  <si>
    <t>WOS:001185758300008</t>
  </si>
  <si>
    <t>Foo, WYX; Wong, KPL; Mahadev, A; bin Zainuddin, MA; Chou, ACC</t>
  </si>
  <si>
    <t>Background: Parents of children with pediatric orthopaedic conditions frequently have questions after their clinic visit, and a reliable postconsultation resource to address these enquiries is lacking. Online resources are variable in quality, and general purpose artificial intelligence (AI) models have demonstrated safety limitations, including unprompted treatment recommendations and citation inaccuracies. A purpose-built, supervised generative AI solution may offer a safer and more reliable alternative. Methods: A generative AI chatbot was developed using retrieval-augmented generation and trained on OrthoKids educational materials covering 5 common pediatric orthopaedic conditions: in-toeing, flatfoot, scoliosis, bow legs, and knock knees. After iterative refinement by 2 fellowship-trained pediatric orthopaedic surgeons, the chatbot was evaluated by 18 multidisciplinary clinicians using a structured 12-item 5-point Likert scale survey assessing accuracy, safety, usability, and clinical acceptability. Results: Mean scores exceeded 4.0 of 5.0 on 11 of 12 domains. Clarity of explanation achieved unanimous positive endorsement (100%), while protocol alignment received the highest mean score (4.50 +/- 0.62). Citation accuracy was the lowest-rated domain (4.00 +/- 0.77). No hallucinations were identified, and 88.9% of evaluators confirmed the absence of unprompted treatment recommendations. The reverse-scored safety item (Q8) demonstrated the greatest inter-rater variability (mean 3.11 +/- 1.57), with orthopaedic specialists rating perceived harm substantially lower (mean 1.33) than nurses (mean 4.40). Conclusion: A purpose-built gen AI chatbot demonstrated high clinical accuracy and acceptability among multidisciplinary evaluators, with effective avoidance of unprompted treatment recommendations. These pilot findings support feasibility for use as a parental education adjunct in pediatric orthopaedic practice. Level of Evidence: Level III. See Instructions for Authors for a complete description of levels of evidence.</t>
  </si>
  <si>
    <t>Foo, Wayne Yong Xiang; Wong, Kenneth Pak Leung; Mahadev, Arjandas; bin Zainuddin, Mohammad Ashik; Chou, Andrew Chia Chen</t>
  </si>
  <si>
    <t>Foo, WYX (corresponding author), Sengkang Gen Hosp, Dept Orthopaed Surg, Singapore, Singapore.</t>
  </si>
  <si>
    <t>Kenneth.Wong.P.L@singhealth.com.sg; mohammad.ashik.zainuddin@singhealth.com.sg; andrew.chou.c.c@singhealth.com.sg; arjandas.mahadev@singhealth.com.sg; yxwayne@gmail.com</t>
  </si>
  <si>
    <t>[Foo, Wayne Yong Xiang] Sengkang Gen Hosp, Dept Orthopaed Surg, Singapore, Singapore; [Wong, Kenneth Pak Leung; Mahadev, Arjandas; bin Zainuddin, Mohammad Ashik; Chou, Andrew Chia Chen] KK Womens &amp; Childrens Hosp, Dept Orthopaed Surg, Singapore, Singapore; [Wong, Kenneth Pak Leung; Mahadev, Arjandas; bin Zainuddin, Mohammad Ashik; Chou, Andrew Chia Chen] Duke NUS Med Sch, Singapore, Singapore</t>
  </si>
  <si>
    <t>KK Women's &amp; Children's Hospital; National University of Singapore</t>
  </si>
  <si>
    <t>Generative Artificial Intelligence Chatbots for Parental Guidance in Pediatric Orthopaedics: A Pilot Feasibility Study</t>
  </si>
  <si>
    <t>JBJS OPEN ACCESS</t>
  </si>
  <si>
    <t>Ashik, Mohammad/KCY-8651-2024</t>
  </si>
  <si>
    <t>2472-7245</t>
  </si>
  <si>
    <t>JBJS Open Access</t>
  </si>
  <si>
    <t>APR-JUN 2026</t>
  </si>
  <si>
    <t>e2600078</t>
  </si>
  <si>
    <t>10.2106/JBJS.OA.26.00078</t>
  </si>
  <si>
    <t>http://dx.doi.org/10.2106/JBJS.OA.26.00078</t>
  </si>
  <si>
    <t>JF4VH</t>
  </si>
  <si>
    <t>42256001</t>
  </si>
  <si>
    <t>WOS:001788077800001</t>
  </si>
  <si>
    <t>Thesen, T; Park, SH</t>
  </si>
  <si>
    <t>Medical education faces a scalability crisis, where rising class sizes strain individualized instruction, while students increasingly adopt unvalidated Generative AI (GenAI) tools for individualized learning support. This study investigated how medical students integrate constrained GenAI systems into their self-directed learning practices using Retrieval-Augmented Generation (RAG), which limits large language model responses to instructor-curated materials, thereby reducing hallucinations while maintaining pedagogical utility. We deployed a RAG-based teaching assistant in a medical school basic science course across two consecutive cohorts, examining usage patterns, conversation content, and student feedback to understand adoption and learning behaviors. Students demonstrated strategic, context-dependent usage, with engagement intensifying during high-stakes assessment periods and substantial after-hours utilization. Users primarily sought clarification on foundational concepts and valued the system's continuous availability and source-grounded responses. However, knowledge-base constraints that ensured accuracy also limited broader inquiries, creating tension between reliability and comprehensiveness that shaped how students incorporated the tool into their study routines. These findings provide empirical evidence of how medical students navigate constrained AI tools for self-directed learning, informing institutional strategies for integrating these technologies into pedagogical frameworks.</t>
  </si>
  <si>
    <t>Thesen, Thomas; Park, Soo Hwan</t>
  </si>
  <si>
    <t>Thesen, T (corresponding author), Geisel Sch Med Dartmouth, Dept Med Educ, Hanover, NH 03755 USA.; Thesen, T (corresponding author), Dartmouth Coll, Dept Comp Sci, Hanover, NH 03755 USA.</t>
  </si>
  <si>
    <t>thomas.thesen@dartmouth.edu</t>
  </si>
  <si>
    <t>American Medical Association; American Academy of Neurology</t>
  </si>
  <si>
    <t>We thank Robert A. Shumsky for inspiration and discussion.</t>
  </si>
  <si>
    <t>[Thesen, Thomas] Geisel Sch Med Dartmouth, Dept Med Educ, Hanover, NH 03755 USA; [Thesen, Thomas] Dartmouth Coll, Dept Comp Sci, Hanover, NH 03755 USA; [Park, Soo Hwan] Stanford Sch Med, Calif Pacific Med Ctr, Dept Med, Palo Alto, CA USA</t>
  </si>
  <si>
    <t>Dartmouth College; Dartmouth College; Stanford University; California Pacific Medical Center; Stanford Medicine</t>
  </si>
  <si>
    <t>A generative AI teaching assistant for personalized learning in medical education</t>
  </si>
  <si>
    <t>TECHNOLOGY ACCEPTANCE MODEL</t>
  </si>
  <si>
    <t>NOV 4 2025</t>
  </si>
  <si>
    <t>627</t>
  </si>
  <si>
    <t>10.1038/s41746-025-02022-1</t>
  </si>
  <si>
    <t>http://dx.doi.org/10.1038/s41746-025-02022-1</t>
  </si>
  <si>
    <t>9IW2F</t>
  </si>
  <si>
    <t>41188616</t>
  </si>
  <si>
    <t>WOS:001607409100001</t>
  </si>
  <si>
    <t>Lim, WH; Lee, JY; Lee, JH; Kim, S; Kim, H</t>
  </si>
  <si>
    <t>Objectives To benchmark medical image-specific vision-language models (VLMs) against real-world radiologist-written reports, focusing on diagnostic quality, clinical acceptability, hallucinations, and language clarity. Materials and methods This retrospective study included adult patients who presented to the emergency department of a tertiary center between January 2022 and April 2025 and underwent same-day chest radiograph (CXR) and CT for febrile or respiratory symptoms. Reports from five VLMs (AIRead, Lingshu, MAIRA-2, MedGemma, and MedVersa) and radiologist-written reports were randomly presented and blindly evaluated by three thoracic radiologists using four criteria: RADPEER, clinical acceptability, hallucination, and language clarity. Comparative performance was assessed using generalized linear mixed models, with radiologist-written reports treated as the reference. Finding-level analyses were also performed with CT as a reference. Results A total of 478 patients (median age, 67 years [interquartile range, 50-78]; 282 males [59.0%]) were included. AIRead demonstrated the lowest RADPEER 3b rate (5.3% [76/1434] vs radiologists 13.9% [200/1434]; p &lt; 0.001) and the highest clinical acceptability (84.5% [1212/1434] vs radiologists 74.3% [1065/1434]; p &lt; 0.001), with hallucination rates comparable to radiologists (0.3% [4/1425]) vs 0.1% [1/1425]; p = 0.21). Other VLMs showed higher disagreement (16.8-43.0%; p &lt; 0.05), lower acceptability (41.1-71.4%; p &lt; 0.05), and more frequent hallucinations (5.4-17.4%; p &lt; 0.05). Language clarity was higher for several VLMs (AIRead, Lingshu, and MedVersa) than for radiologist-written reports (82.9-88.4% [1189-1268/1434] vs 78.1% [1120/1434]; p &lt; 0.05). Finding-level analyses showed substantial variability in sensitivity across VLMs for common thoracic findings. Conclusion Medical VLMs for CXR report generation exhibited variable performance in report quality and diagnostic measures.</t>
  </si>
  <si>
    <t>Lim, Woo Hyeon; Lee, Ji Young; Lee, Jong Hyuk; Kim, Saehoon; Kim, Hyungjin</t>
  </si>
  <si>
    <t>Kim, H (corresponding author), Seoul Natl Univ Hosp, Dept Radiol, Seoul, South Korea.; Kim, H (corresponding author), Seoul Natl Univ, Coll Med, Dept Radiol, Seoul, South Korea.; Kim, H (corresponding author), Soombit Ai, Bundang, South Korea.</t>
  </si>
  <si>
    <t>kiche29@snu.ac.kr</t>
  </si>
  <si>
    <t>Open Access funding enabled and organized by Seoul National University.</t>
  </si>
  <si>
    <t>[Lim, Woo Hyeon; Lee, Ji Young; Lee, Jong Hyuk; Kim, Hyungjin] Seoul Natl Univ Hosp, Dept Radiol, Seoul, South Korea; [Lee, Jong Hyuk; Kim, Hyungjin] Seoul Natl Univ, Coll Med, Dept Radiol, Seoul, South Korea; [Kim, Saehoon; Kim, Hyungjin] Soombit Ai, Bundang, South Korea</t>
  </si>
  <si>
    <t>Seoul National University (SNU); Seoul National University Hospital; Seoul National University (SNU); Seoul National University Hospital</t>
  </si>
  <si>
    <t>Comparative evaluation of generative AI models for chest radiograph report generation in the emergency department</t>
  </si>
  <si>
    <t>Diagnostic imaging; Generative artificial intelligence; Natural language processing; Radiography (Thoracic); Radiologists</t>
  </si>
  <si>
    <t>10.1007/s00330-026-12648-8</t>
  </si>
  <si>
    <t>http://dx.doi.org/10.1007/s00330-026-12648-8</t>
  </si>
  <si>
    <t>JG9DS</t>
  </si>
  <si>
    <t>42268300</t>
  </si>
  <si>
    <t>WOS:001789053200001</t>
  </si>
  <si>
    <t>Maghsoudi, A; Sharafkhaneh, A; Azarian, M; Ramezani, A; Hirshkowitz, M; Razjouyan, J</t>
  </si>
  <si>
    <t>Generative artificial intelligence utilizing transformer technology is widely seen as a groundbreaking advancement in applied artificial intelligence. The technology creates a unique opportunity to extract unstructured data from medical notes. In the current experiments, we extracted fundamental sleep parameters from polysomnography notes of veterans in the Corporate Data Warehouse national database using large language models. The "SOLAR-10.7B-Instruct" model extracted values associated with total sleep time, sleep onset latency, and sleep efficiency from the polysomnography notes. The model's performance was evaluated using 464 human annotated notes. The analysis showed close accuracy for the large language model compared to the human total sleep time and sleep efficiency extraction, and a considerable accuracy improvement (7.6%) in extracting sleep onset latency for the machine compared to human annotation. The large language model shows negligible hallucination (no more than 3.6%), and it has the capability to perform complicated reasoning to extract the desired sleep parameter.</t>
  </si>
  <si>
    <t>Maghsoudi, Arash; Sharafkhaneh, Amir; Azarian, Mehrnaz; Ramezani, Amin; Hirshkowitz, Max; Razjouyan, Javad</t>
  </si>
  <si>
    <t>Sharafkhaneh, A (corresponding author), Baylor Coll Med, Dept Med, 2002 Holcombe Blvd, Houston, TX 77030 USA.</t>
  </si>
  <si>
    <t>amirs@bcm.edu</t>
  </si>
  <si>
    <t>Michael E. DeBakey Veterans Affairs Medical Center; National Institutes of Health, National Heart, Lung, and Blood Institute (NHLBI) K25 funding [1K25HL152006-01, CIN 13-413]; Michael E. DeBakey Veterans Affairs Medical Center, Houston, TX</t>
  </si>
  <si>
    <t>Michael E. DeBakey Veterans Affairs Medical Center; National Institutes of Health, National Heart, Lung, and Blood Institute (NHLBI) K25 funding; Michael E. DeBakey Veterans Affairs Medical Center, Houston, TX</t>
  </si>
  <si>
    <t>All the authors have reviewed and approved the manuscript. This work was done in its entirety at Baylor College of Medicine and Michael E. DeBakey Veterans Affairs Medical Center. This study was financially supported by National Institutes of Health, National Heart, Lung, and Blood Institute (NHLBI) K25 funding (1K25HL152006-01 [J.R.] ) ; and the use of facilities and resources at the Center for Innovations in Quality, Effectiveness, and Safety (CIN 13-413) , Michael E. DeBakey Veterans Affairs Medical Center, Houston, TX. The opinions expressed are those of the authors and not necessarily those of the Department of Veterans Affairs, the U.S. government, or Baylor College of Medicine. The authors do not report any off-label or investigational use and no relevant conflict of interest related to the topic of this study.</t>
  </si>
  <si>
    <t>[Maghsoudi, Arash; Azarian, Mehrnaz; Ramezani, Amin; Hirshkowitz, Max; Razjouyan, Javad] Michael E DeBakey VA Med Ctr, Ctr Innovat Qual Effectiveness &amp; Safety, Houston, TX USA; [Maghsoudi, Arash; Sharafkhaneh, Amir; Azarian, Mehrnaz; Ramezani, Amin; Razjouyan, Javad] Baylor Coll Med, Dept Med, 2002 Holcombe Blvd, Houston, TX 77030 USA; [Sharafkhaneh, Amir] Michael E DeBakey VA Med Ctr, Pulm Crit Care &amp; Sleep Med Sect, Med Care Line, Houston, TX USA; [Hirshkowitz, Max] Stanford Univ, Sch Med, Stanford, CA USA; [Razjouyan, Javad] Vet Affairs Off Res &amp; Dev, Big Data Sci Training Enhancement Program BD STEP, Washington, DC USA</t>
  </si>
  <si>
    <t>Baylor College of Medicine; Baylor College Medical Hospital; Baylor College of Medicine; Baylor College of Medicine; Baylor College Medical Hospital; Stanford University; Stanford Medicine</t>
  </si>
  <si>
    <t>A case study on generative artificial intelligence to extract the fundamental sleep parameters from polysomnography notes</t>
  </si>
  <si>
    <t>JOURNAL OF CLINICAL SLEEP MEDICINE</t>
  </si>
  <si>
    <t>large language model; polysomnography; sleep notes; artificial intelligence</t>
  </si>
  <si>
    <t>Azarian, Mehrnaz/0009-0000-1555-678X</t>
  </si>
  <si>
    <t>1550-9389</t>
  </si>
  <si>
    <t>1550-9397</t>
  </si>
  <si>
    <t>J CLIN SLEEP MED</t>
  </si>
  <si>
    <t>J. Clin. Sleep Med.</t>
  </si>
  <si>
    <t>JUN 1 2025</t>
  </si>
  <si>
    <t>1123</t>
  </si>
  <si>
    <t>1127</t>
  </si>
  <si>
    <t>10.5664/jcsm.11594</t>
  </si>
  <si>
    <t>http://dx.doi.org/10.5664/jcsm.11594</t>
  </si>
  <si>
    <t>Clinical Neurology</t>
  </si>
  <si>
    <t>4GO1O</t>
  </si>
  <si>
    <t>40012317</t>
  </si>
  <si>
    <t>WOS:001517502500018</t>
  </si>
  <si>
    <t>Barrett, DJ; Heng, RC; Perchik, JD</t>
  </si>
  <si>
    <t>Rationale and Objectives: Large language models (LLMs) show promise in radiology through various clinical applications as well as in assisting with research manuscript development. Recent studies show 52.6% of medical researchers use LLMs in manuscript development, with non-medical researchers showing similar rates. Given concerns about hallucinations, bias, etc., many publishers now require disclosure of LLM use. While most medical imaging journals have LLM policies as of 2025, the actual disclosure rates for LLM usage remain unknown. Our study examines trends in LLM disclosure by analyzing 1998 radiology publications for LLM disclosures. Materials and Methods: A bibliometric analysis of nine radiology journals with LLM use disclosure requirements was performed. The study included primary investigations and secondary research while excluding short-form publications. The LLM disclosure rate was calculated overall. Logistic regression assessed temporal trends in disclosure rates, while a linear mixed effects model evaluated the relationship between disclosure status and peer review duration. Chi-square analysis examined associations between manuscript type and disclosure rates. Results: Of 1998 manuscripts, 34 (1.7%) declared LLM use. Most disclosures involved ChatGPT (32, 94.1%), primarily for readability/ grammar purposes (33, 97.1%). The majority of manuscripts disclosing LLM use originated from institutions in non-English speaking countries (22, 64.7%). No significant increase in disclosure rates over time was observed (OR: 1.06 [95% CI: 0.98, 1.16], p = 0.15), and no relationship with peer review duration (coefficient: -4.85, SE = 11.25, p = 0.67) was found. Secondary research manuscripts disclosed LLM use more frequently (3.9% vs. 1.3%, p &lt; 0.001) with a small effect size (Cramer's V: 0.08 [0.04, 1.00]). Conclusion: Our findings demonstrate remarkably low disclosure rates in radiology manuscripts despite surveys indicating significant LLM adoption among researchers. This discrepancy may result from true non-use, fear of stigma, perceived advantages of undisclosed use, disagreement with disclosure requirements for minor editing, or policy unawareness, among other reasons. These findings suggest a need for more accepting research environments that recognize legitimate LLM benefits while developing nuanced disclosure policies addressing risks.</t>
  </si>
  <si>
    <t>Barrett, D. Jonah; Heng, Richard; Perchik, Jordan D.</t>
  </si>
  <si>
    <t>Perchik, JD (corresponding author), Univ Alabama Birmingham, Sch Med, Birmingham, AL 35294 USA.; Perchik, JD (corresponding author), Univ Alabama Birmingham, Dept Radiol, Birmingham, AL 35294 USA.</t>
  </si>
  <si>
    <t>djbarr55@uab.edu</t>
  </si>
  <si>
    <t>[Barrett, D. Jonah; Heng, Richard; Perchik, Jordan D.] Univ Alabama Birmingham, Sch Med, Birmingham, AL 35294 USA; [Barrett, D. Jonah; Heng, Richard; Perchik, Jordan D.] Univ Alabama Birmingham, Dept Radiol, Birmingham, AL 35294 USA</t>
  </si>
  <si>
    <t>University of Alabama System; University of Alabama Birmingham; University of Alabama System; University of Alabama Birmingham</t>
  </si>
  <si>
    <t>Documenting Disclosure: Limited Reporting of Generative AI Usage in Radiology Research Manuscripts</t>
  </si>
  <si>
    <t>Large language models; Generative artificial intelligence; Research disclosure</t>
  </si>
  <si>
    <t>REVIEWS; CHATGPT</t>
  </si>
  <si>
    <t>, Jonah Barrett/PGT-4651-2026</t>
  </si>
  <si>
    <t>, Jonah Barrett/0009-0001-3295-3493</t>
  </si>
  <si>
    <t>5686</t>
  </si>
  <si>
    <t>5692</t>
  </si>
  <si>
    <t>10.1016/j.acra.2025.06.057</t>
  </si>
  <si>
    <t>http://dx.doi.org/10.1016/j.acra.2025.06.057</t>
  </si>
  <si>
    <t>8JL7H</t>
  </si>
  <si>
    <t>40675866</t>
  </si>
  <si>
    <t>WOS:001590129500004</t>
  </si>
  <si>
    <t>Stadler, M; Horrer, A; Fischer, MR</t>
  </si>
  <si>
    <t>As medical educators grapple with the consistent demand for highquality assessments, the integration of artificial intelligence presents a novel solution. This how-to article delves into the mechanics of employing ChatGPT for generating Multiple Choice Questions (MCQs) within the medical curriculum. Focusing on the intricacies of prompt engineering, we elucidate the steps and considerations imperative for achieving targeted, high-fidelity results. The article presents varying outcomes based on different prompt structures, highlighting the AI's adaptability in producing questions of distinct complexities. While emphasizing the transformative potential of ChatGPT, we also spotlight challenges, including the AI's occasional "hallucination", underscoring the importance of rigorous review. This guide aims to furnish educators with the know-how to integrate AI into their assessment creation process, heralding a new era in medical education tools.</t>
  </si>
  <si>
    <t>Stadler, Matthias; Horrer, Anna; Fischer, Martin R.</t>
  </si>
  <si>
    <t>Stadler, M (corresponding author), Ludwig Maximilians Univ Munchen, LMU Univ Hosp, Inst Med Educ, Pettenkoferstr 8a, D-80336 Munich, Germany.</t>
  </si>
  <si>
    <t>Matthias.Stadler@med.uni-muenchen.de</t>
  </si>
  <si>
    <t>[Stadler, Matthias; Horrer, Anna; Fischer, Martin R.] Ludwig Maximilians Univ Munchen, LMU Univ Hosp, Inst Med Educ, Pettenkoferstr 8a, D-80336 Munich, Germany</t>
  </si>
  <si>
    <t>University of Munich</t>
  </si>
  <si>
    <t>Crafting medical MCQs with generative AI: A how-to guide on leveraging ChatGPT</t>
  </si>
  <si>
    <t>GMS JOURNAL FOR MEDICAL EDUCATION</t>
  </si>
  <si>
    <t>medical education; generative AI; ChatGPT; MCQ creation; prompt engineering</t>
  </si>
  <si>
    <t>Stadler, Matthias/ABD-7105-2021; Fischer, Martin/T-8533-2019</t>
  </si>
  <si>
    <t>Horrer, Anna/0000-0003-1029-5896</t>
  </si>
  <si>
    <t>GERMAN MEDICAL SCIENCE-GMS</t>
  </si>
  <si>
    <t>DUESSELDORF</t>
  </si>
  <si>
    <t>UBIERSTRASSE 20, DUESSELDORF, 40223, GERMANY</t>
  </si>
  <si>
    <t>2366-5017</t>
  </si>
  <si>
    <t>GMS J MED EDU</t>
  </si>
  <si>
    <t>GMS J. Med. Educ.</t>
  </si>
  <si>
    <t>Doc20</t>
  </si>
  <si>
    <t>10.3205/zma001675</t>
  </si>
  <si>
    <t>http://dx.doi.org/10.3205/zma001675</t>
  </si>
  <si>
    <t>OJ7K9</t>
  </si>
  <si>
    <t>38779693</t>
  </si>
  <si>
    <t>WOS:001206966700005</t>
  </si>
  <si>
    <t>Park, J; Oh, K; Han, K; Lee, YH</t>
  </si>
  <si>
    <t>The purposes were to assess the efficacy of AI-generated radiology reports in terms of report summary, patient-friendliness, and recommendations and to evaluate the consistent performance of report quality and accuracy, contributing to the advancement of radiology workflow. Total 685 spine MRI reports were retrieved from our hospital database. AI-generated radiology reports were generated in three formats: (1) summary reports, (2) patient-friendly reports, and (3) recommendations. The occurrence of artificial hallucinations was evaluated in the AI-generated reports. Two radiologists conducted qualitative and quantitative assessments considering the original report as a standard reference. Two non-physician raters assessed their understanding of the content of original and patient-friendly reports using a 5-point Likert scale. The scoring of the AI-generated radiology reports were overall high average scores across all three formats. The average comprehension score for the original report was 2.71 +/- 0.73, while the score for the patient-friendly reports significantly increased to 4.69 +/- 0.48 (p &lt; 0.001). There were 1.12% artificial hallucinations and 7.40% potentially harmful translations. In conclusion, the potential benefits of using generative AI assistants to generate these reports include improved report quality, greater efficiency in radiology workflow for producing summaries, patient-centered reports, and recommendations, and a move toward patient-centered radiology.</t>
  </si>
  <si>
    <t>Park, Jiwoo; Oh, Kangrok; Han, Kyunghwa; Lee, Young Han</t>
  </si>
  <si>
    <t>Han, K; Lee, YH (corresponding author), Yonsei Univ, Res Inst Radiol Sci, Coll Med, Dept Radiol, 50-1 Yonsei Ro, Seoul 03722, South Korea.; Han, K; Lee, YH (corresponding author), Yonsei Univ, Coll Med, Ctr Clin Imaging Data Sci CCIDS, 50-1 Yonsei Ro, Seoul 03722, South Korea.; Lee, YH (corresponding author), Yonsei Univ, Inst Innovat Digital Healthcare, Seoul, South Korea.</t>
  </si>
  <si>
    <t>khhan@yuhs.ac; sando@yuhs.ac</t>
  </si>
  <si>
    <t>National Research Foundation of Korea [NRF-2022R1F1A1071702]; NRF - Korean government</t>
  </si>
  <si>
    <t>National Research Foundation of Korea (National Research Foundation of Korea); NRF - Korean government (Korean Government)</t>
  </si>
  <si>
    <t>This work was supported by an NRF grant funded by the Korean government (NRF-2022R1F1A1071702). Thanks to development and evaluation: Hangil Kim. MID (Medical Illustration &amp; Design), as a member of the Medical Research Support Services of Yonsei University College of Medicine, providing excellent support with medical illustration.</t>
  </si>
  <si>
    <t>[Park, Jiwoo; Oh, Kangrok; Han, Kyunghwa; Lee, Young Han] Yonsei Univ, Res Inst Radiol Sci, Coll Med, Dept Radiol, 50-1 Yonsei Ro, Seoul 03722, South Korea; [Park, Jiwoo; Oh, Kangrok; Han, Kyunghwa; Lee, Young Han] Yonsei Univ, Coll Med, Ctr Clin Imaging Data Sci CCIDS, 50-1 Yonsei Ro, Seoul 03722, South Korea; [Lee, Young Han] Yonsei Univ, Inst Innovat Digital Healthcare, Seoul, South Korea</t>
  </si>
  <si>
    <t>Patient-centered radiology reports with generative artificial intelligence: adding value to radiology reporting</t>
  </si>
  <si>
    <t>Large language model; Radiologic report; Patient-centered radiology; Artificial intelligence; Artificial hallucination</t>
  </si>
  <si>
    <t>ACCESS</t>
  </si>
  <si>
    <t>Lee, Young Han/0000-0002-5602-391X</t>
  </si>
  <si>
    <t>JUN 8 2024</t>
  </si>
  <si>
    <t>13218</t>
  </si>
  <si>
    <t>10.1038/s41598-024-63824-z</t>
  </si>
  <si>
    <t>http://dx.doi.org/10.1038/s41598-024-63824-z</t>
  </si>
  <si>
    <t>UL6R9</t>
  </si>
  <si>
    <t>38851825</t>
  </si>
  <si>
    <t>WOS:001248258900019</t>
  </si>
  <si>
    <t>Hsieh, SC; Lee, KH; Karmakar, R; Kandalkar, A; Mukundan, A; Wang, HC</t>
  </si>
  <si>
    <t>Artificial intelligence (AI) has rapidly evolved into an essential tool in biomedical imaging and scientific publishing, facilitating efficient data processing, hypothesis generation, and image reconstruction through advanced computational models such as variational autoencoders, generative adversarial networks, and diffusion models. Comprehensive editorial procedures emphasize author accountability and the disclosure of AI usage to ensure scientific accuracy amid the increasing use of AI-assisted writing. Despite considerable advancements, difficulties persist that result in false claims due to inadequate performance measurements, highlighting the necessity for robust evaluation systems. AI methodologies employing diverse techniques offer an enhanced integration of heterogeneous medical data, thus augmenting diagnostic accuracy across many different fields. Global regulatory frameworks exhibit significant variation yet align on objectives for transparency, risk management, and lifecycle governance to facilitate the utilization of AI medical devices.</t>
  </si>
  <si>
    <t>Hsieh, Shang-Chin; Lee, Kun-Hua; Karmakar, Riya; Kandalkar, Aditya; Mukundan, Arvind; Wang, Hsiang-Chen</t>
  </si>
  <si>
    <t>Mukundan, A; Wang, HC (corresponding author), Natl Chung Cheng Univ, Hsinchu, Taiwan.</t>
  </si>
  <si>
    <t>arvindmukund96@gmail.com; hcwang@ccu.edu.tw</t>
  </si>
  <si>
    <t>National Science and Technology Council, the Republic of China [NSTC 113-2221-E-194-011-MY3, 113-2634-F-194-001]; Emerging Technology Application Project of Southern Taiwan Science Park [113CM-1-02]; Ditmanson Medical Foundation Chia-Yi Christian Hospital [R113-33]; Dalin Tzu Chi Hospital, Buddhist Tzu Chi Medical Foundation-National Chung Cheng University Joint Research Program and Kaohsiung Armed Forces General Hospital Research Program in Taiwan [KAFGH_D_114029]</t>
  </si>
  <si>
    <t>National Science and Technology Council, the Republic of China; Emerging Technology Application Project of Southern Taiwan Science Park; Ditmanson Medical Foundation Chia-Yi Christian Hospital; Dalin Tzu Chi Hospital, Buddhist Tzu Chi Medical Foundation-National Chung Cheng University Joint Research Program and Kaohsiung Armed Forces General Hospital Research Program in Taiwan</t>
  </si>
  <si>
    <t>This research was supported by the National Science and Technology Council, the Republic of China, under grants NSTC 113-2221-E-194-011-MY3, 113-2634-F-194-001, and Emerging Technology Application Project of Southern Taiwan Science Park under the grants 113CM-1-02. This study was financially or partially supported by the Ditmanson Medical Foundation Chia-Yi Christian Hospital (R113-33) , and the Dalin Tzu Chi Hospital, Buddhist Tzu Chi Medical Foundation-National Chung Cheng University Joint Research Program and Kaohsiung Armed Forces General Hospital Research Program KAFGH_D_114029 in Taiwan..</t>
  </si>
  <si>
    <t>[Hsieh, Shang-Chin] Kaohsiung Armed Forces Gen Hosp, Kaohsiung, Taiwan; [Lee, Kun-Hua; Karmakar, Riya; Mukundan, Arvind; Wang, Hsiang-Chen] Natl Chung Cheng Univ, Hsinchu, Taiwan; [Kandalkar, Aditya] Sanjivani Coll Engn, Kopargaon, India</t>
  </si>
  <si>
    <t>National Chung Cheng University</t>
  </si>
  <si>
    <t>Generative AI and Scientific Authorship: A New Paradigm for Biomedical Imaging Research</t>
  </si>
  <si>
    <t>INTERNATIONAL JOURNAL OF SOFTWARE SCIENCE AND COMPUTATIONAL INTELLIGENCE-IJSSCI</t>
  </si>
  <si>
    <t>Artificial Intelligence; Biomedical Imaging; Scientific Writing; Large Language Models; Radiology; Ethical Guidelines; Quality Assurance; Artificial Intelligence Hallucination; Regulations; Multimodal Models</t>
  </si>
  <si>
    <t>ARTIFICIAL-INTELLIGENCE; GUIDELINES</t>
  </si>
  <si>
    <t>Wang, Hsiang-Chen/F-8674-2018; karmakar, Riya/PSM-7136-2026; Mukundan, Arvind/JXY-1561-2024</t>
  </si>
  <si>
    <t>Kandalkar, Aditya/0009-0002-4793-6546; Mukundan, Arvind/0000-0002-7741-3722</t>
  </si>
  <si>
    <t>97</t>
  </si>
  <si>
    <t>IGI GLOBAL</t>
  </si>
  <si>
    <t>HERSHEY</t>
  </si>
  <si>
    <t>701 E CHOCOLATE AVE, STE 200, HERSHEY, PA 17033-1240 USA</t>
  </si>
  <si>
    <t>1942-9045</t>
  </si>
  <si>
    <t>1942-9037</t>
  </si>
  <si>
    <t>INT J SOFTW SCI COMP</t>
  </si>
  <si>
    <t>Int. J. Softw. Sci. Comput. Intell.</t>
  </si>
  <si>
    <t>JAN-DEC 2025</t>
  </si>
  <si>
    <t>394323</t>
  </si>
  <si>
    <t>10.4018/IJSSCI.394323</t>
  </si>
  <si>
    <t>http://dx.doi.org/10.4018/IJSSCI.394323</t>
  </si>
  <si>
    <t>Computer Science, Artificial Intelligence; Computer Science, Information Systems; Computer Science, Software Engineering</t>
  </si>
  <si>
    <t>AB9FB</t>
  </si>
  <si>
    <t>WOS:001644473900001</t>
  </si>
  <si>
    <t>Burford, KG; Itzkowitz, NG; Ortega, AG; Teitler, JO; Rundle, AG</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</si>
  <si>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kappa test statistics. Fleiss kappa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kappa = 0.74 [95% CI, 0.73-0.75) and weak (Cohen kappa = 0.53 [95% CI, 0.52-0.54]) agreement were found between the text string-search approach and the LLM for the low- and intermediate-detail prompts, respectively. The high-detail prompt had almost perfect agreement (kappa = 1.00 [95% CI, 1.00-1.00]) but required the greatest amount of time to complete. The LLM did not perfectly replicate its analyses across new sessions and days (Fleiss kappa = 0.91 across 5 trials; P &lt; .001). The LLM often hallucinated and was consistent in replicating its hallucinations. It also showed high validity compared with the criterion standard (n = 400; kappa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t>
  </si>
  <si>
    <t>Burford, Kathryn G.; Itzkowitz, Nicole G.; Ortega, Ashley G.; Teitler, Julien O.; Rundle, Andrew G.</t>
  </si>
  <si>
    <t>Burford, KG (corresponding author), Columbia Univ, Mailman Sch Publ Hlth, Dept Environm Hlth Sci, 722 W 168th St,Room 1616, New York, NY 10031 USA.</t>
  </si>
  <si>
    <t>kb3424@cumc.columbia.edu</t>
  </si>
  <si>
    <t>National Institute of Health and Human Development [5P2CHD058486]; National Institute of Environmental Health Sciences [5T32ES007322-21, 5T32ES007322-22]; Centers for Disease Control and Prevention [R49CE003094]</t>
  </si>
  <si>
    <t>National Institute of Health and Human Development; National Institute of Environmental Health Sciences (United States Department of Health &amp; Human Services, National Institutes of Health (NIH) - USA, NIH National Institute of Environmental Health Sciences (NIEHS)); Centers for Disease Control and Prevention (United States Department of Health &amp; Human Services, Centers for Disease Control &amp; Prevention - USA)</t>
  </si>
  <si>
    <t>This study was supported by a P2C grant from the National Institute of Health and Human Development (5P2CHD058486). Dr Burford and Ms Itzkowitz are funded by the National Institute of Environmental Health Sciences (Dr Burford: 5T32ES007322-21; Ms Itzkowitz: 5T32ES007322-22). Prof Rundle is supported by the Centers for Disease Control and Prevention-funded "The Columbia Center for Injury Science and Prevention" (R49CE003094)</t>
  </si>
  <si>
    <t>[Burford, Kathryn G.] Columbia Univ, Mailman Sch Publ Hlth, Dept Environm Hlth Sci, 722 W 168th St,Room 1616, New York, NY 10031 USA; [Itzkowitz, Nicole G.; Rundle, Andrew G.] Columbia Univ, Mailman Sch Publ Hlth, Dept Epidemiol, New York, NY USA; [Ortega, Ashley G.] Columbia Univ, Columbia Populat Res Ctr, New York, NY USA; [Teitler, Julien O.] Columbia Univ, Sch Social Work, New York, NY USA</t>
  </si>
  <si>
    <t>Columbia University; Columbia University; Columbia University; Columbia University</t>
  </si>
  <si>
    <t>Use of Generative AI to Identify Helmet Status Among Patients With Micromobility-Related Injuries From Unstructured Clinical Notes</t>
  </si>
  <si>
    <t>INFORMATION; MODELS</t>
  </si>
  <si>
    <t>Rundle, Andrew/A-5282-2009</t>
  </si>
  <si>
    <t>Itzkowitz, Nicole/0000-0001-5076-3522</t>
  </si>
  <si>
    <t>AUG 13 2024</t>
  </si>
  <si>
    <t>e2425981</t>
  </si>
  <si>
    <t>10.1001/jamanetworkopen.2024.25981</t>
  </si>
  <si>
    <t>http://dx.doi.org/10.1001/jamanetworkopen.2024.25981</t>
  </si>
  <si>
    <t>C9I4X</t>
  </si>
  <si>
    <t>39136946</t>
  </si>
  <si>
    <t>WOS:001292425900002</t>
  </si>
  <si>
    <t>Xie, WY; Liu, F; Liu, JL; Liu, SR</t>
  </si>
  <si>
    <t>Problem: Health systems are rapidly integrating generative artificial intelligence (GenAI) into clinical workflows, introducing safety risks including hallucinations and automation bias. These risks threaten patient safety when frontline nurses lack preparation to critically verify AI-generated outputs. Nurses are uniquely positioned to serve as safety gatekeepers in AI-augmented care; however, realizing this potential requires strengthened GenAI competencies in nursing education. Current curricula have emphasized academic integrity concerns over clinical preparedness, leaving gaps in verification skills, uncertainty communication, and accountability frameworks essential for safe AI integration. Background: Established nursing education standards, such as the American Association of Colleges of Nursing (AACN) Essentials, Quality and Safety Education for Nurses (QSEN) competencies, and the Nursing and Midwifery Council (NMC) Future Nurse standards, provide foundational scaffolds for integrating digital and AI-related capabilities into nursing curricula. Yet pedagogical approaches often treat GenAI primarily as a threat to academic integrity rather than as a clinical tool requiring systematic verification, critical appraisal, and accountable use. Integrating GenAI-specific competencies into nursing education is therefore essential for prepare practitioners who can use these technologies while maintaining professional accountability and patient safety. Aim: This discussion paper proposes the Generative AI Nursing Competency (GANC) framework, offering educators and health-system leaders a standards-aligned pathway for preparing nurses to use GenAI without relinquishing professional judgment. The framework specifies seven competency domains: patient-centered assessment, safety-critical clinical reasoning, therapeutic communication, evidence verification, documentation integrity, interprofessional collaboration, and ethical accountability. These domains are translated into observable indicators and assessment exemplars, including simulation and objective structured clinical examination (OSCE) stations. By embedding generative-system risks within routine workflows and emphasizing manual-mode readiness when AI reliability is compromised, GANC provides practical guidance for cultivating nurses as accountable clinical validators in AI-augmented practice environments.</t>
  </si>
  <si>
    <t>Xie, Wenyi; Liu, Fan; Liu, Jialin; Liu, Siru</t>
  </si>
  <si>
    <t>Liu, JL (corresponding author), West China Med Sch, Dept Med Informat, Chengdu, Sichuan, Peoples R China.; Liu, SR (corresponding author), Vanderbilt Univ, Med Ctr, Dept Biomed Informat, Nashville, TN 37235 USA.</t>
  </si>
  <si>
    <t>siru.liu@vumc.org; dljl8@163.com</t>
  </si>
  <si>
    <t>[Xie, Wenyi] Sichuan Univ, West China Hosp, Med Intens Care Unit, Chengdu, Peoples R China; [Liu, Fan] Sichuan Univ, West China Hosp Stomatol, Dept Nursing, Chengdu, Sichuan, Peoples R China; [Liu, Jialin] West China Med Sch, Dept Med Informat, Chengdu, Sichuan, Peoples R China; [Liu, Jialin] Sichuan Univ, West China Hosp, Dept Otolaryngol Head &amp; Neck Surg, Chengdu, Sichuan, Peoples R China; [Liu, Siru] Vanderbilt Univ, Med Ctr, Dept Biomed Informat, Nashville, TN 37235 USA</t>
  </si>
  <si>
    <t>Beyond literacy to clinical competency: A framework for integrating generative AI into nursing education</t>
  </si>
  <si>
    <t>NURSE EDUCATION TODAY</t>
  </si>
  <si>
    <t>Generative artificial intelligence; Nursing education; Clinical competency; Workforce readiness; Digital health; Competency framework</t>
  </si>
  <si>
    <t>CARE SIMULATION STANDARDS; DELIBERATE PRACTICE; MODEL; PRACTICE(TM)</t>
  </si>
  <si>
    <t>Liu, Fan/HGU-0623-2022</t>
  </si>
  <si>
    <t>0260-6917</t>
  </si>
  <si>
    <t>1532-2793</t>
  </si>
  <si>
    <t>NURS EDUC TODAY</t>
  </si>
  <si>
    <t>Nurse Educ. Today</t>
  </si>
  <si>
    <t>107108</t>
  </si>
  <si>
    <t>10.1016/j.nedt.2026.107108</t>
  </si>
  <si>
    <t>http://dx.doi.org/10.1016/j.nedt.2026.107108</t>
  </si>
  <si>
    <t>Education, Scientific Disciplines; Nursing</t>
  </si>
  <si>
    <t>Education &amp; Educational Research; Nursing</t>
  </si>
  <si>
    <t>GO5AL</t>
  </si>
  <si>
    <t>41950601</t>
  </si>
  <si>
    <t>WOS:001741272800001</t>
  </si>
  <si>
    <t>Tseng, MH; Chen, YC; Chen, WT</t>
  </si>
  <si>
    <t>Large language models (LLMs) have demonstrated strong potential in medical knowledge applications; however, their reliability in knowledge-intensive medical reasoning-remains limited due to hallucination, inadequate domain grounding, and unstable inference behavior. These limitations are particularly pronounced in tasks of professional medical reasoning that require strict logical consistency and authoritative knowledge support. This study proposes a generative AI architecture that integrates RAG (Retrieval-Augmented Generation) with parameter-efficient supervised fine-tuning based on Low-Rank Adaptation (LoRA) to improve reasoning stability and diagnostic accuracy in complex medical domains. The architecture combines internalized domain reasoning learned through LoRA-based fine-tuning with external knowledge grounding enabled by a dynamic RAG mechanism, allowing the model to selectively retrieve domain-specific knowledge only when it is semantically relevant and evidence supported. To validate the proposed architecture, a large-scale real-world dataset comprising 11,476 multiple-choice questions from Taiwan's national Traditional Chinese Medicine (TCM) licensing examinations (2005-2025) is constructed as a representative case study of knowledge-intensive medical reasoning. The experimental results show that the baseline LLM achieves an accuracy of 61.0%. Incorporating RAG improves accuracy to 89.0%, while combined LoRA-based fine-tuning and RAG architecture further increases accuracy to 90.1%, with reduced variance across repeated evaluations. Statistical analysis using McNemar's test confirms that the performance improvements introduced by the retrieval mechanism are highly significant. The results demonstrate that integrating parameter-efficient fine-tuning with dynamically controlled retrieval is critical to balancing reasoning stability and knowledge enhancement in generative AI systems. Beyond the specific medical case study examined in this work, the proposed architecture offers a reproducible and extensible framework for developing reliable generative AI systems in other knowledge-intensive professional reasoning and educational domains.</t>
  </si>
  <si>
    <t>Tseng, Ming-Hseng; Chen, Yu-Chuan; Chen, Wei-Ting</t>
  </si>
  <si>
    <t>Tseng, MH (corresponding author), Chung Shan Med Univ, Dept Med Informat, Taichung 402, Taiwan.; Tseng, MH (corresponding author), Chung Shan Med Univ Hosp, Informat Technol Off, Taichung 402, Taiwan.</t>
  </si>
  <si>
    <t>mht@csmu.edu.tw</t>
  </si>
  <si>
    <t>National Science and Technology Council, Taiwan [NSTC 114-2121-M-040-001]</t>
  </si>
  <si>
    <t>National Science and Technology Council, Taiwan</t>
  </si>
  <si>
    <t>This research was funded by the National Science and Technology Council, Taiwan, grant number: NSTC 114-2121-M-040-001.</t>
  </si>
  <si>
    <t>[Tseng, Ming-Hseng; Chen, Yu-Chuan; Chen, Wei-Ting] Chung Shan Med Univ, Dept Med Informat, Taichung 402, Taiwan; [Tseng, Ming-Hseng] Chung Shan Med Univ Hosp, Informat Technol Off, Taichung 402, Taiwan</t>
  </si>
  <si>
    <t>Chung Shan Medical University; Chung Shan Medical University; Chung Shan Medical University Hospital</t>
  </si>
  <si>
    <t>A Generative AI Architecture Integrating Retrieval-Augmented Generation and Low-Rank Adaptation for Knowledge-Intensive Medical Reasoning</t>
  </si>
  <si>
    <t>FUTURE INTERNET</t>
  </si>
  <si>
    <t>large language models; retrieval-augmented generation; low-rank adaptation; parameter-efficient fine-tuning; generative ai architecture; knowledge-intensive medical reasoning; traditional Chinese medicine; medicine licensing examinations</t>
  </si>
  <si>
    <t>Tseng, Ming-Hseng/ABT-6716-2022</t>
  </si>
  <si>
    <t>1999-5903</t>
  </si>
  <si>
    <t>Future Internet</t>
  </si>
  <si>
    <t>280</t>
  </si>
  <si>
    <t>10.3390/fi18060280</t>
  </si>
  <si>
    <t>http://dx.doi.org/10.3390/fi18060280</t>
  </si>
  <si>
    <t>KC1KC</t>
  </si>
  <si>
    <t>WOS:001803444400001</t>
  </si>
  <si>
    <t>Cha, HY; Shin, SJ; Sim, JA; Yu, JY; Chang, HW; Kim, J</t>
  </si>
  <si>
    <t>Background While generative artificial intelligence (AI) is rapidly proliferating in healthcare research and clinical settings, there is a lack of actionable research ethics standards that reflect the unique technical features of generative AI, such as hallucination, agentic autonomy, and decontextualization. Existing AI ethics studies primarily focus on presenting universal principles, and Delphi studies report difficulties in deriving expert consensus owing to the overly broad scope of AI concepts. We aim to systematically identify ethical issues in generative AI research within the healthcare domain and to develop practical ethical guidelines and a checklist that researchers can use across the entire research and development lifecycle. Methods We applied a three-stage modified Delphi method in accordance with the Conducting and REporting DElphi Studies (CREDES) guidelines. Thirty-five experts spanning the fields of medicine, law/ethics/policy, and AI technology were invited. Round 1 was conducted as an in-person workshop involving 18 experts, while Rounds 2 (n = 32) and 3 (n = 27) were conducted via online surveys rating 56 and 43 items, respectively, using a 7-point Likert scale. Consensus criteria were set at interquartile range (IQR) &lt;= 1.5 and coefficient of variation (CV) &lt; 0.5 (high consensus) for Round 2, and a stricter criterion of IQR &lt;= 1.0 (strengthened consensus) for Round 3. Results In Round 2, 97.7% of Likert-scaled items (42/43) entered the acceptable range for guideline adoption. In Round 3, 60.5% of items reached consensus under the strengthened criterion (IQR &lt;= 1.0), and 46.5% achieved strong consensus (IQR &lt;= 1.0 and CV &lt;= 0.2). By domain, documentation standards (mean 6.06), safety measures (mean 5.95), and evaluation methods (mean 5.86) recorded the highest importance. For individual items, explainable AI (mean 6.48), ensuring the diversity of training data (mean 6.44), and human-in-the-loop (mean 6.33) were derived as core items and top-priority strategies. Based on these findings, an ethical framework comprising three domains (data, governance, and design-by-value) and eight value dimensions, alongside a lifecycle checklist categorized into pre-development, development, and post-deployment stages, was developed. Conclusions We developed a differentiated ethical framework and practical checklist that reflect the technical features of generative AI. These outputs can serve as sector-specific guidance for healthcare under the Framework Act on AI and as criteria for institutional review board reviews.</t>
  </si>
  <si>
    <t>Cha, Hyunjae; Shin, Sung Joon; Sim, Jin-Ah; Yu, JaeYong; Chang, Hawon; Kim, Junhewk</t>
  </si>
  <si>
    <t>Kim, J (corresponding author), Yonsei Univ, Coll Dent, Dept Dent Educ, Seoul, South Korea.</t>
  </si>
  <si>
    <t>mole0619@yuhs.ac</t>
  </si>
  <si>
    <t>Korea Disease Control and Prevention Agency</t>
  </si>
  <si>
    <t>This work was supported by the Division of Healthcare Artificial Intelligence Research, National Institute of Health, Korea Disease Control and Prevention Agency (Project No.: 11-1790399-100091-01).</t>
  </si>
  <si>
    <t>[Cha, Hyunjae] Ajou Univ, Dept Med Humanities &amp; Social Med, Sch Med, Suwon, South Korea; [Shin, Sung Joon] Dongguk Univ, Ilsan Hosp, Inst AI Healthcare &amp; Ethics, Dept Internal Med,Coll Med, Goyang, South Korea; [Sim, Jin-Ah] Catholic Univ Korea, Grad Sch Publ Hlth &amp; Management, Seoul, South Korea; [Yu, JaeYong] Hallym Univ, Div Data Sci, Chunchon, South Korea; [Chang, Hawon] Pusan Natl Univ, Korean Studies Inst, Busan, South Korea; [Kim, Junhewk] Yonsei Univ, Coll Dent, Dept Dent Educ, Seoul, South Korea</t>
  </si>
  <si>
    <t>Ajou University; NHIS Ilsan Hospital; Dongguk University; Catholic University of Korea; Hallym University; Pusan National University; Yonsei University; Yonsei University Health System</t>
  </si>
  <si>
    <t>Development of research ethics guidelines for healthcare generative artificial intelligence: deriving expert consensus through a Delphi study</t>
  </si>
  <si>
    <t>BMC MEDICAL ETHICS</t>
  </si>
  <si>
    <t>generative AI; healthcare ethics; Delphi study; research ethics guidelines; explainable AI; value alignment; checklist</t>
  </si>
  <si>
    <t>1472-6939</t>
  </si>
  <si>
    <t>BMC MED ETHICS</t>
  </si>
  <si>
    <t>BMC Med. Ethics</t>
  </si>
  <si>
    <t>JUN 4 2026</t>
  </si>
  <si>
    <t>10.1186/s12910-026-01513-4</t>
  </si>
  <si>
    <t>http://dx.doi.org/10.1186/s12910-026-01513-4</t>
  </si>
  <si>
    <t>Ethics; Medical Ethics; Social Sciences, Biomedical</t>
  </si>
  <si>
    <t>Social Sciences - Other Topics; Medical Ethics; Biomedical Social Sciences</t>
  </si>
  <si>
    <t>ML9ZB</t>
  </si>
  <si>
    <t>42243854</t>
  </si>
  <si>
    <t>WOS:001845414600002</t>
  </si>
  <si>
    <t>Altorfer, FCS; Kelly, MJ; Avrumova, F; Rohatgi, V; Zhu, JQ; Bono, CM; Lebl, DR</t>
  </si>
  <si>
    <t>BACKGROUND CONTEXT: Generative artificial intelligence (AI), ChatGPT being the most popular example, has been extensively assessed for its capability to respond to medical questions, such as queries in spine treatment approaches or technological advances. However, it often lacks scientific foundation or fabricates inauthentic references, also known as AI hallucinations. PURPOSE: To develop an understanding of the scientific basis of generative AI tools by studying the authenticity of references and reliability in comparison to the alignment of responses of evidence-based guidelines. STUDY DESIGN: Comparative study. METHODS: Thirty-three previously published North American Spine Society (NASS) guideline questions were posed as prompts to 2 freely available generative AI tools (Tools I and II). The responses were scored for correctness compared with the published NASS guideline responses using a 5-point "alignment score." Furthermore, all cited references were evaluated for authenticity, source type, year of publication, and inclusion in the scientific guidelines. RESULTS: Both tools' responses to guideline questions achieved an overall score of 3.5 +/- 1.1, which is considered acceptable to be equivalent to the guideline. Both tools generated 254 references to support their responses, of which 76.0% (n=193) were authentic and 24.0% (n=61) were fabricated. From these, authentic references were: peer-reviewed scientific research papers (147, 76.2%), guidelines (16, 8.3%), educational websites (9, 4.7%), books (9, 4.7%), a government website (1, 0.5%), insurance websites (6, 3.1%) and newspaper websites (5, 2.6%). Claude referenced significantly more authentic peer-reviewed scientific papers (Claude: n=111, 91.0%; Gemini: n=36, 50.7%; p&lt;.001). The year of publication amongst all references ranged from 1988-2023, with significantly older references provided by Claude (Claude: 2008 +/- 6; Gemini: 2014 +/- 6; p&lt;.001). Lastly, significantly more references provided by Claude were also referenced in the published NASS guidelines (Claude: n=27, 24.3%; Gemini: n=1, 2.8%; p=.04). CONCLUSIONS: Both generative AI tools provided responses that had acceptable alignment with NASS evidence-based guideline recommendations and offered references, though nearly a quarter of the references were inauthentic or nonscientific sources. This deficiency of legitimate scientific references does not meet standards for clinical implementation. Considering this limitation, caution should be exercised when applying the output of generative AI tools to clinical applications. (c) 2025 Elsevier Inc. All rights are reserved, including those for text and data mining, AI training, and similar technologies.</t>
  </si>
  <si>
    <t>Altorfer, Franziska C. S.; Kelly, Michael J.; Avrumova, Fedan; Rohatgi, Varun; Zhu, Jiaqi; Bono, Christopher M.; Lebl, Darren R.</t>
  </si>
  <si>
    <t>Lebl, DR (corresponding author), Hosp Special Surg, Dept Spine Surg, 523 East 72nd St, 2nd Floor, New York, NY 10021 USA.</t>
  </si>
  <si>
    <t>research@leblspinemd.com</t>
  </si>
  <si>
    <t>Rama and Shashi Marda Foundation</t>
  </si>
  <si>
    <t>This study has been funded by a research grant from the Rama and Shashi Marda Foundation.</t>
  </si>
  <si>
    <t>[Altorfer, Franziska C. S.; Kelly, Michael J.; Avrumova, Fedan; Lebl, Darren R.] Hosp Special Surg, Dept Spine Surg, 523 East 72nd St, 2nd Floor, New York, NY 10021 USA; [Zhu, Jiaqi] Hosp Special Surg, Dept Biostat, New York, NY USA; [Rohatgi, Varun] Weill Cornell Med, Dept Surg, New York, NY USA; [Bono, Christopher M.] Harvard Med Sch, Massachusetts Gen Hosp, Dept Orthoped, Boston, MA USA; [Altorfer, Franziska C. S.] Univ Zurich, Balgrist Univ Hosp, Univ Spine Ctr Zurich, Zurich, Switzerland</t>
  </si>
  <si>
    <t>Cornell University; Weill Cornell Medicine; Harvard University; Harvard Medical School; Harvard University Medical Affiliates; Massachusetts General Hospital; University of Zurich</t>
  </si>
  <si>
    <t>The double-edged sword of generative AI: surpassing an expert or a deceptive "false friend"?</t>
  </si>
  <si>
    <t>SPINE JOURNAL</t>
  </si>
  <si>
    <t>Bard; ChatGPT; Claude; Evidence-based; Gemini; Generative; LLM; NASS; Spine</t>
  </si>
  <si>
    <t>LUMBAR DISC HERNIATION; CLINICAL GUIDELINE; CHATGPT; RADICULOPATHY; QUESTIONS; DIAGNOSIS; SOCIETY</t>
  </si>
  <si>
    <t>Kelly, Michael/CAE-8607-2022</t>
  </si>
  <si>
    <t>Avrumova, Fedan/0000-0003-3760-8776; Altorfer, Franziska C. S/0000-0001-5497-6808</t>
  </si>
  <si>
    <t>1529-9430</t>
  </si>
  <si>
    <t>1878-1632</t>
  </si>
  <si>
    <t>SPINE J</t>
  </si>
  <si>
    <t>Spine Journal</t>
  </si>
  <si>
    <t>1635</t>
  </si>
  <si>
    <t>1643</t>
  </si>
  <si>
    <t>10.1016/j.spinee.2025.02.010</t>
  </si>
  <si>
    <t>http://dx.doi.org/10.1016/j.spinee.2025.02.010</t>
  </si>
  <si>
    <t>5EB3S</t>
  </si>
  <si>
    <t>40049450</t>
  </si>
  <si>
    <t>WOS:001533476100006</t>
  </si>
  <si>
    <t>Hamilton, Z; Aseem, A; Chen, ZJ; Naffakh, N; Reizine, NM; Weinberg, F; Jain, S; Kessler, LG; Gadi, VK; Bun, C; Nguyen, RH</t>
  </si>
  <si>
    <t>PURPOSE Precision oncology in non-small cell lung cancer (NSCLC) relies on biomarker testing for clinical decision making. Despite its importance, challenges like the lack of genomic oncology training, nonstandardized biomarker reporting, and a rapidly evolving treatment landscape hinder its practice. Generative artificial intelligence (AI), such as ChatGPT, offers promise for enhancing clinical decision support. Effective performance metrics are crucial to evaluate these models' accuracy and their propensity for producing incorrect or hallucinated information. We assessed various ChatGPT versions' ability to generate accurate next-generation sequencing reports and treatment recommendations for NSCLC, using a novel Generative AI Performance Score (G-PS), which considers accuracy, relevancy, and hallucinations. METHODS We queried ChatGPT versions for first-line NSCLC treatment recommendations with an Food and Drug Administration-approved targeted therapy, using a zero-shot prompt approach for eight oncogenes. Responses were assessed against National Comprehensive Cancer Network (NCCN) guidelines for accuracy, relevance, and hallucinations, with G-PS calculating scores from -1 (all hallucinations) to 1 (fully NCCN-compliant recommendations). G-PS was designed as a composite measure with a base score for correct recommendations (weighted for preferred treatments) and a penalty for hallucinations. RESULTS Analyzing 160 responses, generative pre-trained transformer (GPT)-4 outperformed GPT-3.5, showing higher base score (90% v 60%; P &lt; .01) and fewer hallucinations (34% v 53%; P &lt; .01). GPT-4's overall G-PS was significantly higher (0.34 v -0.15; P &lt; .01), indicating superior performance. CONCLUSION This study highlights the rapid improvement of generative AI in matching treatment recommendations with biomarkers in precision oncology. Although the rate of hallucinations improved in the GPT-4 model, future generative AI use in clinical care requires high levels of accuracy with minimal to no room for hallucinations. The GP-S represents a novel metric quantifying generative AI utility in health care compared with national guidelines, with potential adaptation beyond precision oncology.</t>
  </si>
  <si>
    <t>Hamilton, Zacharie; Aseem, Aseem; Chen, Zhengjia; Naffakh, Noor; Reizine, Natalie M.; Weinberg, Frank; Jain, Shikha; Kessler, Larry G.; Gadi, Vijayakrishna K.; Bun, Christopher; Nguyen, Ryan H.</t>
  </si>
  <si>
    <t>Hamilton, Z (corresponding author), Univ Illinois, Chicago, IL 60607 USA.</t>
  </si>
  <si>
    <t>zhamil3@uic.edu</t>
  </si>
  <si>
    <t>UIC Institute for Equitable Health Data Science Research; Robert A. Winn Diversity in Clinical Trials Career Development Award - Bristol Myers Squibb Foundation</t>
  </si>
  <si>
    <t>Supported by the UIC Institute for Equitable Health Data Science Research. R.H.N. is a recipient of the Robert A. Winn Diversity in Clinical Trials Career Development Award, funded by Bristol Myers Squibb Foundation.</t>
  </si>
  <si>
    <t>[Hamilton, Zacharie; Aseem, Aseem; Chen, Zhengjia; Naffakh, Noor; Reizine, Natalie M.; Weinberg, Frank; Jain, Shikha; Gadi, Vijayakrishna K.; Nguyen, Ryan H.] Univ Illinois, Chicago, IL 60607 USA; [Kessler, Larry G.] Univ Washington, Seattle, WA USA; [Bun, Christopher] Kirkland &amp; Ellis, Chicago, IL USA</t>
  </si>
  <si>
    <t>University of Illinois System; University of Illinois Chicago; University of Illinois Chicago Hospital; University of Washington; University of Washington Seattle</t>
  </si>
  <si>
    <t>Comparative Analysis of Generative Pre-Trained Transformer Models in Oncogene-Driven Non-Small Cell Lung Cancer: Introducing the Generative Artificial Intelligence Performance Score</t>
  </si>
  <si>
    <t>Weinberg, Frank/AAC-9915-2020</t>
  </si>
  <si>
    <t>, Aseem/0009-0000-2940-5974; Reizine, Natalie/0000-0001-9240-9943; Gadi, Vijayakrishna/0000-0002-5427-7465; Jain, Shikha/0000-0002-5684-7898; Weinberg, Frank/0000-0002-0094-3725; Hamilton, Zacharie/0009-0009-0904-7220</t>
  </si>
  <si>
    <t>e2400123</t>
  </si>
  <si>
    <t>10.1200/CCI.24.00123</t>
  </si>
  <si>
    <t>http://dx.doi.org/10.1200/CCI.24.00123</t>
  </si>
  <si>
    <t>P8C6Y</t>
  </si>
  <si>
    <t>39661913</t>
  </si>
  <si>
    <t>WOS:001380126700001</t>
  </si>
  <si>
    <t>Xu, SY</t>
  </si>
  <si>
    <t>The integration of Large Language Models (LLMs) into clinical workflows has blurred the boundary between passive decision-support tools and systems capable of autonomous diagnostic reasoning. Current regulatory instruments-including the US FDA Clinical Decision Support Software (CDSS) guidance and the EU Artificial Intelligence Act (Regulation EU 2024/1689)-classify these systems primarily as "decision support," yet the non-deterministic outputs and emergent reasoning of generative AI introduce liability complexities these frameworks were not designed to address. This hypothesis and theory article examines the regulatory gap surrounding LLM-associated clinical errors. Drawing on regulatory precedents, case law, and a representative scenario of polypharmacy mismanagement, we analyze the risks of automation bias and the structural inadequacy of the Learned Intermediary Doctrine when applied to generative AI. We advance the autonomy-liability correspondence hypothesis: legal liability should be allocated as a monotonic function of a system's structural autonomy from meaningful human review. From this we derive a "Three-Tiered Liability Escalation Framework" (T-LEF) that allocates accountability among AI developers, healthcare institutions, and clinicians according to measurable degrees of autonomy. Arguing that traditional Explainable AI is technically insufficient for foundation models, we propose Clinical Algorithmic Audit Trails (CAAT)-a cryptographically secured, privacy-preserving traceability infrastructure-as a complement to explainability, uncertainty estimation, human-factors evaluation, and post-market surveillance, alongside a structured Safe Harbor provision to support compliant innovation. Because paediatric patients-from neonates to adolescents-constitute a population in which these failure modes are both more probable and more consequential, we give paediatric care explicit focus: under-representation of paediatric data in training corpora, weight- and development-based dosing across narrow therapeutic windows, and children's inability to detect or contest erroneous recommendations jointly intensify these concerns, and a dedicated section examines how the T-LEF, the Clinically Deceptive Hallucination (CDH) evidentiary test, and CAAT apply to paediatric deployment. We acknowledge that the T-LEF and CAAT remain prospective proposals requiring empirical validation, stakeholder consultation, and refinement before adoption. This framework is offered as a structured contribution to regulatory deliberation, not a finalized implementation blueprint.</t>
  </si>
  <si>
    <t>Xu, Shiyi</t>
  </si>
  <si>
    <t>Xu, SY (corresponding author), Capital Med Univ, Clin Sch 2, Beijing, Peoples R China.</t>
  </si>
  <si>
    <t>xsy4831@mail.ccmu.edu.cn</t>
  </si>
  <si>
    <t>[Xu, Shiyi] Capital Med Univ, Clin Sch 2, Beijing, Peoples R China</t>
  </si>
  <si>
    <t>From "assistant" to "autonomous": legal liability and ethical traceability frameworks for generative AI in clinical misdiagnosis scenarios, with a special focus on paediatrics</t>
  </si>
  <si>
    <t>artificial intelligence ethics; clinical decision support; generative AI; health policy; medical liability; paediatric patient safety; paediatrics</t>
  </si>
  <si>
    <t>AUTOMATION BIAS</t>
  </si>
  <si>
    <t>1849190</t>
  </si>
  <si>
    <t>10.3389/fdgth.2026.1849190</t>
  </si>
  <si>
    <t>http://dx.doi.org/10.3389/fdgth.2026.1849190</t>
  </si>
  <si>
    <t>KZ0KG</t>
  </si>
  <si>
    <t>42453683</t>
  </si>
  <si>
    <t>WOS:001818978700001</t>
  </si>
  <si>
    <t>Taylor, SL; Jost, M; MacDonald, S; Ren, YY; Hilton, S; Davenport, S; Aizenberg, D; Hall, B; Lyles, CR; Adams, JY</t>
  </si>
  <si>
    <t>Background: Physicians routinely document specifics of patient encounters in clinic visit notes, a critical but potentially time-consuming task. Ambient listening artificial intelligence (AI) technology is being integrated into clinical workflows to reduce documentation burden by creating draft visit notes. While this technology is promising, it is not perfect, and the potential for patient harm needs to be understood and mitigated. We developed and piloted an efficient, standardized approach to evaluating AI-generated notes for safety concerns in ambulatory care visits. Objective: The objective of this quality improvement project was to develop and pilot an efficient, standardized, and scalable approach to evaluating AI-generated notes for safety concerns in ambulatory care visits. Methods: During a 2-month pilot (July to August 2024), 31 physicians across multiple specialties used an ambient listening AI scribe to assist with the creation of 7545 clinic notes. A novel survey instrument was developed to assess note quality, focusing on 4 error types: accidental inclusions, accidental omissions, hallucinations, and bias. Physicians evaluated 356 (4.7%) AI-generated notes. Where an error was present, physicians rated its severity based on its potential to cause patient harm if it was not corrected, on a 0 to 5 scale. Additionally, a vendor-reported metric on the percentage of note content edited by physicians was analyzed. Results: Of the 356 evaluated notes, accidental omissions were the most frequent error (n=64, 18%), followed by hallucinations (n=41, 11.5%), and accidental inclusions (n=33, 9.3%). Bias was rare (n=4, 1.1%). Most (119/142, 83.8%) errors were rated as mild to moderate (severity 1-3), with only 19 (5.3%) notes containing errors rated as posing serious or imminent risk (severity 4-5). Editing metrics across all AI-created notes showed a median of 9.0% (IQR 2.5%-21.9%) of AI-generated words were changed, with 14.9% (143/960) of notes left entirely unedited. Physician editing practices varied widely, with average percentages of AI-generated words changed ranging from 1.9% to 69.3% (median 9.0%, IQR 2.5%-21.9%). Conclusions: AI-generated clinical notes were generally of high quality, with 94.7% (337/356) free from significant errors. However, because a small number contained errors that carried the risk of serious harm if not corrected, careful clinician review of notes remains imperative. Prior to deploying an AI scribe, organizations should pilot the technology and include an efficient review process to understand the nature and type of errors common at their organization. This pilot provides a scalable model for other health systems seeking to implement AI scribe technology responsibly.</t>
  </si>
  <si>
    <t>Taylor, Sandra L.; Jost, Melissa; MacDonald, Scott; Ren, Yunyi; Hilton, Shelley; Davenport, Sadie; Aizenberg, Debbie; Hall, Bruce; Lyles, Courtney R.; Adams, Jason Y.</t>
  </si>
  <si>
    <t>Taylor, SL (corresponding author), Univ Calif Davis, Sch Med, Dept Publ Hlth Sci, 4480 2nd Ave,Suite 4152, Sacramento, CA 95817 USA.</t>
  </si>
  <si>
    <t>sltaylor@health.ucdavis.edu</t>
  </si>
  <si>
    <t>National Center for Advancing Translational Sciences, National Institutes of Health [UL1 TR001860]; National Center for Advancing Translational Sciences, National Institutes of Health</t>
  </si>
  <si>
    <t>National Center for Advancing Translational Sciences, National Institutes of Health (United States Department of Health &amp; Human Services, National Institutes of Health (NIH) - USA, NIH National Center for Advancing Translational Sciences (NCATS)); National Center for Advancing Translational Sciences, National Institutes of Health (United States Department of Health &amp; Human Services, National Institutes of Health (NIH) - USA, NIH National Center for Advancing Translational Sciences (NCATS))</t>
  </si>
  <si>
    <t>Funding was provided by the National Center for Advancing Translational Sciences, National Institutes of Health, through grant UL1 TR001860.</t>
  </si>
  <si>
    <t>[Taylor, Sandra L.; Ren, Yunyi; Lyles, Courtney R.] Univ Calif Davis, Sch Med, Dept Publ Hlth Sci, 4480 2nd Ave,Suite 4152, Sacramento, CA 95817 USA; [Taylor, Sandra L.; Lyles, Courtney R.] Univ Calif Davis, Clin &amp; Translat Sci Ctr, Sacramento, CA USA; [Jost, Melissa; MacDonald, Scott; Hall, Bruce] Univ Calif Davis, Dept Clin Informat, Sacramento, CA USA; [Hilton, Shelley] Univ Calif Davis, IT Clin Applicat, Sacramento, CA USA; [Davenport, Sadie] Univ Calif Davis, Blaisdell Med Lib, Sacramento, CA USA; [Aizenberg, Debbie] Univ Calif Davis, Sch Med, Dept Otolaryngol Head &amp; Neck Surg, Sacramento, CA USA; [Adams, Jason Y.] Univ Calif Davis, Sch Med, Dept Internal Med, Sacramento, CA USA; [Adams, Jason Y.] Univ Calif Davis, IT Enterprise Analyt &amp; Data Serv, Sacramento, CA USA</t>
  </si>
  <si>
    <t>University of California Davis; University of California System; University of California Davis; University of California Davis; University of California System; University of California Davis; University of California System; University of California Davis; University of California System; University of California Davis; University of California System; University of California Davis; University of California System; University of California Davis; University of California Davis; University of California System; University of California Davis; University of California System; University of California Davis</t>
  </si>
  <si>
    <t>Quality of Clinical Notes Created by Ambient Listening Generative AI: Pragmatic Prospective Pilot Study</t>
  </si>
  <si>
    <t>generative artificial intelligence; generative AI; artificial intelligence scribe; AI scribe; clinical documentation; ambient listening; quality of care; generative artificial intelligence; generative AI; artificial intelligence scribe; AI scribe; clinical documentation; ambient listening; quality of care</t>
  </si>
  <si>
    <t>Hall, Bruce/HGV-0612-2022; MacDonald, Scott/HPD-5005-2023</t>
  </si>
  <si>
    <t>e86474</t>
  </si>
  <si>
    <t>10.2196/86474</t>
  </si>
  <si>
    <t>http://dx.doi.org/10.2196/86474</t>
  </si>
  <si>
    <t>GX4SE</t>
  </si>
  <si>
    <t>41996389</t>
  </si>
  <si>
    <t>WOS:001747369400001</t>
  </si>
  <si>
    <t>Nishida, M; Tou, R; Kato, H; Hirotani, N; Kitano, S; Okuyama, Y; Matsui, C; Matsumoto, S; Watanabe, A; Iguchi, E; Iizuka-Ohashi, M; Kato, C; Morita, M; Sakaguchi, K; Yoshii, K; Naoi, Y</t>
  </si>
  <si>
    <t>Background Large language models (LLMs), a form of generative artificial intelligence (AI), are increasingly explored for clinical applications due to their ability to synthesize medical information. In breast cancer care, where therapeutic decision-making is complex because of expanding treatment options, AI-based decision support tools may improve efficiency and consistency. However, their clinical validity and safety remain insufficiently evaluated in real-world settings. The present study aimed to compare the characteristics of treatment recommendations generated by a large language model with those proposed by breast cancer specialists using identical clinical information. Methods This retrospective observational study included 100 patients with advanced or recurrent breast cancer. Clinical information was provided to ChatGPT using a standardized prompt to generate treatment recommendations. Six board-certified breast cancer specialists independently proposed treatment strategies for the same cases. Recommendations were evaluated using five predefined criteria: 1. Comprehensiveness and appropriateness of literature selection, 2. Accuracy of interpretation of key evidence, 3. Clinical appropriateness and diversity of treatment options, 4. Accuracy of adverse event information, 5. Time required to generate recommendations. Group comparisons were performed using linear mixed-effects models with case and evaluator as random effects. Results ChatGPT achieved higher scores than specialists across all five evaluation criteria, with the largest difference observed for accuracy of key evidence interpretation. The mean total score was 93.7 for ChatGPT and 44.1 for specialists, and linear mixed-effects model analysis confirmed a significantly higher total score for ChatGPT (p &lt; 0.001). These findings suggest that AI-generated responses tended to provide more comprehensive and structured summaries of available evidence within the predefined evaluation framework. Conclusions LLMs were able to generate comprehensive and structured treatment recommendations based on the provided clinical information. However, these findings primarily reflect differences in information synthesis under predefined evaluation criteria rather than superiority in real-world clinical decision-making. Given the potential risk of hallucinations, AI should be positioned as an assistive tool to support specialist-led decision-making in breast cancer care.</t>
  </si>
  <si>
    <t>Nishida, Maiko; Tou, Rie; Kato, Hiroki; Hirotani, Nagisa; Kitano, Sae; Okuyama, Yuka; Matsui, Chise; Matsumoto, Saya; Watanabe, Akira; Iguchi, Erika; Iizuka-Ohashi, Mahiro; Kato, Chikage; Morita, Midori; Sakaguchi, Koichi; Yoshii, Kengo; Naoi, Yasuto</t>
  </si>
  <si>
    <t>Naoi, Y (corresponding author), Kyoto Prefectural Univ Med, Grad Sch Med Sci, Dept Endocrine &amp; Breast Surg, 465 Kajii Cho Kawaramachi Hirokoji,Kamigyo Ku, Kyoto 6028566, Japan.</t>
  </si>
  <si>
    <t>saya-m@koto.kpu-m.ac.jp; hiroki.kato124@gmail.com; midori@koto.kpu-m.ac.jp; ksak@koto.kpu-m.ac.jp; skitano@koto.kpu-m.ac.jp; erika628@koto.kpu-m.ac.jp; yuka-oym@koto.kpu-m.ac.jp; yoshii-k@koto.kpu-m.ac.jp; maiko119@koto.kpu-m.ac.jp; hirotani@koto.kpu-m.ac.jp; iom0220@koto.kpu-m.ac.jp; chise-k@koto.kpu-m.ac.jp; akiraw@koto.kpu-m.ac.jp; naoi@koto.kpu-m.ac.jp; c-kato@koto.kpu-m.ac.jp; tourie@koto.kpu-m.ac.jp</t>
  </si>
  <si>
    <t>[Nishida, Maiko; Tou, Rie] Japanese Red Cross Kyoto Daini Hosp, Dept Breast Surg, 355-5 Haruta Cho,Kamigyo Ku, Kyoto 6028026, Japan; [Nishida, Maiko; Hirotani, Nagisa; Kitano, Sae; Okuyama, Yuka; Matsui, Chise; Matsumoto, Saya; Watanabe, Akira; Iguchi, Erika; Kato, Chikage; Morita, Midori; Sakaguchi, Koichi; Naoi, Yasuto] Kyoto Prefectural Univ Med, Grad Sch Med Sci, Dept Endocrine &amp; Breast Surg, 465 Kajii Cho Kawaramachi Hirokoji,Kamigyo Ku, Kyoto 6028566, Japan; [Kato, Hiroki; Yoshii, Kengo] Kyoto Prefectural Univ Med, Grad Sch Med Sci, Dept Math &amp; Stat Med Sci, 465 Kajii Cho Kawaramachi Hirokoji,Kamigyo Ku, Kyoto 6028566, Japan; [Watanabe, Akira] Fukuchiyama City Hosp, Dept Breast Surg, 231 Atsunaka Cho, Fukuchiyama, Kyoto 6208505, Japan; [Iizuka-Ohashi, Mahiro] Japanese Red Cross Kyoto Daiichi Hosp, Dept Breast Surg, 15-749 Honmachi,Higashiyama Ku, Kyoto 6050981, Japan</t>
  </si>
  <si>
    <t>Kyoto Prefectural University of Medicine; Kyoto Prefectural University of Medicine</t>
  </si>
  <si>
    <t>Comparative evaluation of treatment recommendations generated by generative AI and breast cancer specialists for advanced and recurrent breast cancer: a multidimensional assessment of evidence interpretation and clinical decision support</t>
  </si>
  <si>
    <t>BREAST CANCER</t>
  </si>
  <si>
    <t>Large language models; Generative artificial intelligence; Breast cancer; Clinical decision-making; Treatment recommendation</t>
  </si>
  <si>
    <t>DOUBLE-BLIND; TRASTUZUMAB</t>
  </si>
  <si>
    <t>SPRINGER JAPAN KK</t>
  </si>
  <si>
    <t>SHIROYAMA TRUST TOWER 5F, 4-3-1 TORANOMON, MINATO-KU, TOKYO, 105-6005, JAPAN</t>
  </si>
  <si>
    <t>1340-6868</t>
  </si>
  <si>
    <t>1880-4233</t>
  </si>
  <si>
    <t>BREAST CANCER-TOKYO</t>
  </si>
  <si>
    <t>Breast Cancer</t>
  </si>
  <si>
    <t>841</t>
  </si>
  <si>
    <t>852</t>
  </si>
  <si>
    <t>10.1007/s12282-026-01858-z</t>
  </si>
  <si>
    <t>http://dx.doi.org/10.1007/s12282-026-01858-z</t>
  </si>
  <si>
    <t>Oncology; Obstetrics &amp; Gynecology</t>
  </si>
  <si>
    <t>JT6CS</t>
  </si>
  <si>
    <t>42159946</t>
  </si>
  <si>
    <t>WOS:001771147200001</t>
  </si>
  <si>
    <t>Gwon, YN; Kim, JH; Chung, HS; Jung, EJ; Chun, J; Lee, S; Shim, SR</t>
  </si>
  <si>
    <t>Background: A large language model is a type of artificial intelligence (AI) model that opens up great possibilities for health care practice, research, and education, although scholars have emphasized the need to proactively address the issue of unvalidated and inaccurate information regarding its use. One of the best-known large language models is ChatGPT (OpenAI). It is believed to be of great help to medical research, as it facilitates more efficient data set analysis, code generation, and literature review, allowing researchers to focus on experimental design as well as drug discovery and development. Objective: This study aims to explore the potential of ChatGPT as a real -time literature search tool for systematic reviews and clinical decision support systems, to enhance their efficiency and accuracy in health care settings. Methods: The search results of a published systematic review by human experts on the treatment of Peyronie disease were selected as a benchmark, and the literature search formula of the study was applied to ChatGPT and Microsoft Bing AI as a comparison to human researchers. Peyronie disease typically presents with discomfort, curvature, or deformity of the penis in association with palpable plaques and erectile dysfunction. To evaluate the quality of individual studies derived from AI answers, we created a structured rating system based on bibliographic information related to the publications. We classified its answers into 4 grades if the title existed: A, B, C, and F. No grade was given for a fake title or no answer. Results: From ChatGPT, 7 (0.5%) out of 1287 identified studies were directly relevant, whereas Bing AI resulted in 19 (40%) relevant studies out of 48, compared to the human benchmark of 24 studies. In the qualitative evaluation, ChatGPT had 7 grade A, 18 grade B, 167 grade C, and 211 grade F studies, and Bing AI had 19 grade A and 28 grade C studies. Conclusions: This is the first study to compare AI and conventional human systematic review methods as a real -time literature collection tool for evidence-based medicine. The results suggest that the use of ChatGPT as a tool for real -time evidence generation is not yet accurate and feasible. Therefore, researchers should be cautious about using such AI. The limitations of this study using the generative pre-trained transformer model are that the search for research topics was not diverse and that it did not prevent the hallucination of generative AI. However, this study will serve as a standard for future studies by providing an index to verify the reliability and consistency of generative AI from a user's point of view. If the reliability and consistency of AI literature search services are verified, then the use of these technologies will help medical research greatly.</t>
  </si>
  <si>
    <t>Gwon, Yong Nam; Kim, Jae Heon; Chung, Hyun Soo; Jung, Eun Jee; Chun, Joey; Lee, Serin; Shim, Sung Ryul</t>
  </si>
  <si>
    <t>Shim, SR (corresponding author), Konyang Univ, Coll Med, Dept Biomed Informat, 158 Gwanjeodong Ro, Daejeon 35365, South Korea.</t>
  </si>
  <si>
    <t>sungryul.shim@gmail.com</t>
  </si>
  <si>
    <t>Soonchunhyang University Research Fund</t>
  </si>
  <si>
    <t>Soonchunhyang University Research Fund (Soonchunhyang University Research Fund)</t>
  </si>
  <si>
    <t>This work was supported by the Soonchunhyang University Research Fund. This body had no involvement in the study design; in the collection, analysis, and interpretation of data; in the writing of the report; and in the decision to submit the article for publication.</t>
  </si>
  <si>
    <t>[Gwon, Yong Nam; Kim, Jae Heon; Chun, Joey; Lee, Serin] Soonchunhyang Univ, Seoul Hosp, Coll Med, Dept Urol, Seoul, South Korea; [Chung, Hyun Soo; Jung, Eun Jee] Soonchunhyang Univ, Coll Med, Cheonan, South Korea; [Chun, Joey] Cranbrook Kingswood Upper Sch, Bloomfield Hills, MI USA; [Lee, Serin] Case Western Reserve Univ, Dept Biochem, Cleveland, OH USA; [Shim, Sung Ryul] Konyang Univ, Coll Med, Dept Biomed Informat, 158 Gwanjeodong Ro, Daejeon 35365, South Korea; [Shim, Sung Ryul] Konyang Univ Hosp, Konyang Med Data Res Grp, KYMERA, Daejeon, South Korea</t>
  </si>
  <si>
    <t>Soonchunhyang University; Soonchunhyang University; University System of Ohio; Case Western Reserve University; Konyang University; Konyang University; Konyang University Hospital</t>
  </si>
  <si>
    <t>The Use of Generative AI for Scientific Literature Searches for Systematic Reviews: ChatGPT and Microsoft Bing AI Performance Evaluation</t>
  </si>
  <si>
    <t>artificial intelligence; search engine; systematic review; evidence-based medicine; ChatGPT; language model; education; tool; clinical decision support system; decision support; support; treatment</t>
  </si>
  <si>
    <t>e51187</t>
  </si>
  <si>
    <t>10.2024/1/e51187</t>
  </si>
  <si>
    <t>http://dx.doi.org/10.2024/1/e51187</t>
  </si>
  <si>
    <t>RG0L9</t>
  </si>
  <si>
    <t>WOS:001226395600002</t>
  </si>
  <si>
    <t>Gwon, YN; Kim, JH; Chung, HS; Jung, EJ; Chun, J; Lee, SR; Shim, SR</t>
  </si>
  <si>
    <t>Background: A large language model is a type of artificial intelligence (AI) model that opens up great possibilities for health care practice, research, and education, although scholars have emphasized the need to proactively address the issue of unvalidated and inaccurate information regarding its use. One of the best-known large language models is ChatGPT (OpenAI). It is believed to be of great help to medical research, as it facilitates more efficient data set analysis, code generation, and literature review, allowing researchers to focus on experimental design as well as drug discovery and development. Objective: This study aims to explore the potential of ChatGPT as a real-time literature search tool for systematic reviews and clinical decision support systems, to enhance their efficiency and accuracy in health care settings. Methods: The search results of a published systematic review by human experts on the treatment of Peyronie disease were selected as a benchmark, and the literature search formula of the study was applied to ChatGPT and Microsoft Bing AI as a comparison to human researchers. Peyronie disease typically presents with discomfort, curvature, or deformity of the penis in association with palpable plaques and erectile dysfunction. To evaluate the quality of individual studies derived from AI answers, we created a structured rating system based on bibliographic information related to the publications. We classified its answers into 4 grades if the title existed: A, B, C, and F. No grade was given for a fake title or no answer. Results: From ChatGPT, 7 (0.5%) out of 1287 identified studies were directly relevant, whereas Bing AI resulted in 19 (40%) relevant studies out of 48, compared to the human benchmark of 24 studies. In the qualitative evaluation, ChatGPT had 7 grade A, 18 grade B, 167 grade C, and 211 grade F studies, and Bing AI had 19 grade A and 28 grade C studies. Conclusions: This is the first study to compare AI and conventional human systematic review methods as a real-time literature collection tool for evidence -based medicine. The results suggest that the use of ChatGPT as a tool for real-time evidence generation is not yet accurate and feasible. Therefore, researchers should be cautious about using such AI. The limitations of this study using the generative pre -trained transformer model are that the search for research topics was not diverse and that it did not prevent the hallucination of generative AI. However, this study will serve as a standard for future studies by providing an index to verify the reliability and consistency of generative AI from a user's point of view. If the reliability and consistency of AI literature search services are verified, then the use of these technologies will help medical research greatly.</t>
  </si>
  <si>
    <t>Shim, SR (corresponding author), Konyang Univ, Coll Med, Dept Biomed Informat, 158 Gwanjeodong Ro, Daejeon 35365, South Korea.; Shim, SR (corresponding author), Konyang Univ Hosp, Konyang Med data Res Grp, KYMERA, Daejeon, South Korea.</t>
  </si>
  <si>
    <t>[Gwon, Yong Nam; Kim, Jae Heon; Chun, Joey; Lee, Serin] Soonchunhyang Univ, Soonchunhyang Univ Seoul Hosp, Dept Urol, Coll Med, Seoul, South Korea; [Chung, Hyun Soo; Jung, Eun Jee] Soonchunhyang Univ, Coll Med, Cheonan, South Korea; [Chun, Joey] Cranbrook Kingswood Upper Sch, Bloomfield Hills, MI USA; [Lee, Serin] Case Western Reserve Univ, Dept Biochem, Cleveland, OH USA; [Shim, Sung Ryul] Konyang Univ, Coll Med, Dept Biomed Informat, 158 Gwanjeodong Ro, Daejeon 35365, South Korea; [Shim, Sung Ryul] Konyang Univ Hosp, Konyang Med data Res Grp, KYMERA, Daejeon, South Korea</t>
  </si>
  <si>
    <t>shim, sungryul/D-3792-2016</t>
  </si>
  <si>
    <t>Kim, Jae Heon/0000-0002-4490-3610; shim, sungryul/0000-0003-4143-7383; Gwon, Yong Nam/0000-0002-8732-327X; Lee, Serin/0009-0007-4839-8512</t>
  </si>
  <si>
    <t>98</t>
  </si>
  <si>
    <t>10.2196/51187</t>
  </si>
  <si>
    <t>http://dx.doi.org/10.2196/51187</t>
  </si>
  <si>
    <t>SI7Y4</t>
  </si>
  <si>
    <t>38771247</t>
  </si>
  <si>
    <t>WOS:001233902800001</t>
  </si>
  <si>
    <t>Romero-Rodriguez, LM; Castillo-Abdul, B</t>
  </si>
  <si>
    <t>Objective: This conceptual paper explores the transition from apomediation to AIMediation, allowing patients or users to independently seek and access health information on their own, often using the internet and social networks, rather than relying exclusively on the intermediation of health professionals. It examines how generative artificial intelligence (GAI) reconfigures the dynamics of informational authority, access, and user autonomy in digital health environments in light of the increasing use of generative AI tools in healthcare contexts.Method: This study examined how mediation models in health information have changed over time. It uses Eysenbach's framework and new developments in large language models (LLMs). A new model was created to compare intermediation, apomediation, and AImediation.Results: AImediation emerges as a new paradigm in which patients or users interact directly with AI tools such as ChatGPT, Claude, Perplexity, or Gemini to access compiled multi-source health information. While this model retains the user autonomy characteristic of apomediation, it centralizes information flows and removes peer-based social layers. Key challenges include algorithmic opacity, prompt dependence, and the risk of misinformation due to hallucinations or biased outputs.Conclusion: AImediation redefines how individuals access and evaluate health information, requiring critical engagement from users and responsible development by technology providers. This framework calls for more research to determine how it affects patient actions, the roles of professionals, and the ethical use of AI in healthcare.</t>
  </si>
  <si>
    <t>Romero-Rodriguez, Luis M.; Castillo-Abdul, Barbara</t>
  </si>
  <si>
    <t>Romero-Rodriguez, LM (corresponding author), Univ Sharjah, Coll Commun, W7 Bldg,109-A,POB 27272, Sharjah, U Arab Emirates.</t>
  </si>
  <si>
    <t>lromero@sharjah.ac.ae</t>
  </si>
  <si>
    <t>[Romero-Rodriguez, Luis M.] Rey Juan Carlos Univ, Madrid, Spain; [Romero-Rodriguez, Luis M.] Espiritu Santo Univ, Guayaquil, Ecuador; [Castillo-Abdul, Barbara] Univ Design Innovat &amp; Technol UDIT, Madrid, Spain; [Castillo-Abdul, Barbara] Ecotec Univ, Guayaquil, Ecuador; [Romero-Rodriguez, Luis M.] Univ Sharjah, Sharjah, U Arab Emirates</t>
  </si>
  <si>
    <t>Universidad Rey Juan Carlos; Universidad de Especialidades Espiritu Santo; Universidad de Diseno, Innovacion y Tecnologia; Universidad Tecnologica Ecotec; University of Sharjah</t>
  </si>
  <si>
    <t>From Apomediation to AImediation: Generative AI and the Reconfiguration of Informational Authority in Health Communication</t>
  </si>
  <si>
    <t>JOURNAL OF PRIMARY CARE AND COMMUNITY HEALTH</t>
  </si>
  <si>
    <t>medical consultation; health literacy; digital literacy; health communication; information quality</t>
  </si>
  <si>
    <t>Romero-Rodriguez, Luis M/P-8698-2014; Castillo-Abdul, Barbara/AAY-4187-2020</t>
  </si>
  <si>
    <t>Romero-Rodriguez, Luis M/0000-0003-3924-1517</t>
  </si>
  <si>
    <t>2150-1319</t>
  </si>
  <si>
    <t>2150-1327</t>
  </si>
  <si>
    <t>J PRIM CARE COMMUNIT</t>
  </si>
  <si>
    <t>J. Prim. Care Community Health</t>
  </si>
  <si>
    <t>21501319251381878</t>
  </si>
  <si>
    <t>10.1177/21501319251381878</t>
  </si>
  <si>
    <t>http://dx.doi.org/10.1177/21501319251381878</t>
  </si>
  <si>
    <t>Primary Health Care</t>
  </si>
  <si>
    <t>7RI7X</t>
  </si>
  <si>
    <t>40990570</t>
  </si>
  <si>
    <t>WOS:001577829100001</t>
  </si>
  <si>
    <t>Ynsufu, A; Ngossaha, JM; Eteme, AA; Tsakou, SB</t>
  </si>
  <si>
    <t>Interoperability across heterogeneous information systems remains a persistent challenge, particularly in resource constrained contexts where infrastructures are fragmented and data formats remain incompatible. This study introduces a novel methodology that integrates generative Artificial Intelligence (AI) with the urbanization of information systems to enable scalable and seamless interoperability. The approach employs AutoGen AI, an open-source orchestration framework powered by Large Language Models (LLMs), specifically GPT-4o, to coordinate task-specific intelligent agents for data extraction, transformation, and harmonization. By converting disparate data into a standardized JSON representation, the architecture resolves both syntactic and semantic inconsistencies while simultaneously emphasizing multi-agent concurrency, distributed orchestration, and computational scalability, resulting in improved throughput, reduced latency, and enhanced robustness. A real-world healthcare case study is presented to illustrate the framework's effectiveness: heterogeneous clinical datasets were unified into a coherent JSON structure, enabling accurate health indicator generation and reliable decision support. Experimental results demonstrate substantial improvements in system connectivity, processing efficiency, and integration reliability, with potential to generalize far beyond the medical sector. Moreover, the methodology incorporates advanced prompt engineering and context-aware dialogue design, minimizing model hallucinations and ensuring trustworthy outputs in LLM-driven processes. Overall, the study positions generative AI not only as a promising solution for interoperability in health informatics, but also as a transformative paradigm for intelligent system integration across diverse domains characterized by distributed, heterogeneous environments.</t>
  </si>
  <si>
    <t>Ynsufu, Ali; Moskolai Ngossaha, Justin; Ayissi Eteme, Adolphe; Bowong Tsakou, Samuel</t>
  </si>
  <si>
    <t>Ynsufu, A (corresponding author), Univ Douala Cameroon, Fac Sci, Dept Math &amp; Comp Sci, POB 24157, Douala, Cameroon.</t>
  </si>
  <si>
    <t>[Ynsufu, Ali; Moskolai Ngossaha, Justin; Bowong Tsakou, Samuel] Univ Douala Cameroon, Fac Sci, Dept Math &amp; Comp Sci, POB 24157, Douala, Cameroon; [Ayissi Eteme, Adolphe] Univ Inst Technol Univ Ngaoundere Cameroon, Dept Comp Sci, POB 455, Douala, Cameroon</t>
  </si>
  <si>
    <t>Generative AI as a Catalyst for Interoperability and Data-Driven Decision Support in Healthcare Systems of Developing Countries</t>
  </si>
  <si>
    <t>Decision support systems; interoperability; genera-tive Artificial Intelligence; Large Language Model (LLM); hetero-geneous data sources; information system</t>
  </si>
  <si>
    <t>INTEGRATION</t>
  </si>
  <si>
    <t>MOSKOLAI NGOSSAHA, Justin/ACK-9192-2022</t>
  </si>
  <si>
    <t>Cleckheaton</t>
  </si>
  <si>
    <t>Summit House, Woodland Park, Bradford Road, Cleckheaton, ENGLAND</t>
  </si>
  <si>
    <t>762</t>
  </si>
  <si>
    <t>775</t>
  </si>
  <si>
    <t>EV1XY</t>
  </si>
  <si>
    <t>WOS:001710512300001</t>
  </si>
  <si>
    <t>Moreno-Molina, M; Suresh, A; Colman, RE; Rodwell, TC</t>
  </si>
  <si>
    <t>BackgroundThe World Health Organization (WHO) 2023 Mutation Catalogue for Mycobacterium tuberculosis is a vital but complex knowledgebase for interpreting drug-resistant TB. Its size and density pose challenges for clinicians and researchers, hindering its accessibility. This study aimed to evaluate the potential of leading generative artificial intelligence (AI) models to facilitate natural language user interaction with the catalogue.ResultsFour prominent AI models (Google Gemini 2.5 Pro, OpenAI ChatGPT 4.1, Perplexity AI, and DeepSeek R1) were benchmarked on general questions, mutation retrieval, and rule application tasks. Performance was measured by accuracy, completeness, clarity, source citation, and hallucinations. Google Gemini 2.5 Pro demonstrated the highest overall performance in accuracy and completeness, particularly on general queries and large dataset searches, with no hallucinations. DeepSeek R1 excelled in the logical task of applying grading rules to novel mutations. ChatGPT 4.1 provided clear responses but failed to cite sources properly. Perplexity AI showed the most variable performance and the highest rate of hallucinations.ConclusionsThis foundational proof-of-concept study demonstrates that while no current AI model is suitable for direct clinical use without further development, some models show significant potential to enhance the usability of complex biomedical documents. The performance differences highlight the importance of careful model selection and rigorous validation. With further refinement, models like Google Gemini 2.5 Pro could form the basis of a custom AI agent to support TB control efforts.</t>
  </si>
  <si>
    <t>Moreno-Molina, Miguel; Suresh, Anita; Colman, Rebecca E.; Rodwell, Timothy C.</t>
  </si>
  <si>
    <t>Rodwell, TC (corresponding author), Fdn Innovat New Diagnost FIND, Geneva, Switzerland.; Rodwell, TC (corresponding author), Univ Calif San Diego UCSD, Div Pulm Crit Care &amp; Sleep Med &amp; Physiol, San Diego, CA 92037 USA.</t>
  </si>
  <si>
    <t>trodwell@health.ucsd.edu</t>
  </si>
  <si>
    <t>Unitaid [2019-32-FIND MDR]</t>
  </si>
  <si>
    <t>Unitaid</t>
  </si>
  <si>
    <t>Funding support for this work was received from Unitaid, grant number: 2019-32-FIND MDR.</t>
  </si>
  <si>
    <t>[Moreno-Molina, Miguel; Suresh, Anita; Colman, Rebecca E.; Rodwell, Timothy C.] Fdn Innovat New Diagnost FIND, Geneva, Switzerland; [Colman, Rebecca E.; Rodwell, Timothy C.] Univ Calif San Diego UCSD, Div Pulm Crit Care &amp; Sleep Med &amp; Physiol, San Diego, CA 92037 USA</t>
  </si>
  <si>
    <t>Foundation For Innovative New Diagnostics; University of California System; University of California San Diego</t>
  </si>
  <si>
    <t>Benchmarking generative AI tools for interpretation of the WHO TB mutation catalogue</t>
  </si>
  <si>
    <t>BMC DIGITAL HEALTH</t>
  </si>
  <si>
    <t>Artificial intelligence; Large language models; Tuberculosis; Drug resistance; Natural language processing; Bioinformatics</t>
  </si>
  <si>
    <t>Moreno-Molina, Miguel/0000-0003-0305-4445; Colman, Rebecca/0000-0002-6854-2100</t>
  </si>
  <si>
    <t>2731-684X</t>
  </si>
  <si>
    <t>BMC DIGIT HEALTH</t>
  </si>
  <si>
    <t>BMC Digit. Health</t>
  </si>
  <si>
    <t>FEB 9 2026</t>
  </si>
  <si>
    <t>10.1186/s44247-025-00225-w</t>
  </si>
  <si>
    <t>http://dx.doi.org/10.1186/s44247-025-00225-w</t>
  </si>
  <si>
    <t>DJ1XM</t>
  </si>
  <si>
    <t>41777857</t>
  </si>
  <si>
    <t>WOS:001684689300001</t>
  </si>
  <si>
    <t>Ganjavi, C; Layne, E; Cei, F; Gill, K; Magoulianitis, V; Abreu, A; Goldenberg, M; Desai, MM; Gill, I; Cacciamani, GE</t>
  </si>
  <si>
    <t>PURPOSETo evaluate a generative artificial intelligence (GAI) framework for creating readable lay abstracts and summaries (LASs) of urologic oncology research, while maintaining accuracy, completeness, and clarity, for the purpose of assessing their comprehension and perception among patients and caregivers. METHODSForty original abstracts (OAs) on prostate, bladder, kidney, and testis cancers from leading journals were selected. LASs were generated using a free GAI tool, with three versions per abstract for consistency. Readability was compared with OAs using validated metrics. Two independent reviewers assessed accuracy, completeness, and clarity and identified AI hallucinations. A pilot study was conducted with 277 patients and caregivers randomly assigned to receive either OAs or LASs and complete comprehension and perception assessments. RESULTSMean GAI-generated LAS generation time was &lt;10 seconds. Across 600 sections generated, readability and quality metrics were consistent (P &gt; .05). Quality scores ranged from 85% to 100%, with hallucinations in 1% of sections. The best test showed significantly better readability (68.9 v 25.3; P &lt; .001), grade level, and text metrics compared with the OA. Methods sections had slightly lower accuracy (85% v 100%; P = .03) and trifecta achievement (82.5% v 100%; P = .01), but other sections retained high quality (&gt;= 92.5%; P &gt; .05). GAI-generated LAS recipients scored significantly better in comprehension and most perception-based questions (P &lt; .001) with LAS being the only consistently significant predictor (P &lt; .001). CONCLUSIONGAI-generated LASs for urologic oncology research are highly readable and generally preserve the quality of the OAs. Patients and caregivers demonstrated improved comprehension and more favorable perceptions of LASs compared with OAs. Human oversight remains essential to ensure the accurate, complete, and clear representations of the original research.</t>
  </si>
  <si>
    <t>Ganjavi, Conner; Layne, Ethan; Cei, Francesco; Gill, Karanvir; Magoulianitis, Vasileios; Abreu, Andre; Goldenberg, Mitchell; Desai, Mihir M.; Gill, Inderbir; Cacciamani, Giovanni E.</t>
  </si>
  <si>
    <t>Cacciamani, GE (corresponding author), Univ Southern Calif, USC Inst Urol, Keck Sch Med, Los Angeles, CA 90007 USA.; Cacciamani, GE (corresponding author), Univ Southern Calif, Keck Sch Med, Catherine &amp; Joseph Aresty Dept Urol, Los Angeles, CA 90007 USA.; Cacciamani, GE (corresponding author), USC Urol, Artificial Intelligence Ctr, Los Angeles, CA 90007 USA.</t>
  </si>
  <si>
    <t>giovanni.cacciamani@med.usc.edu</t>
  </si>
  <si>
    <t>[Ganjavi, Conner; Layne, Ethan; Cei, Francesco; Gill, Karanvir; Magoulianitis, Vasileios; Abreu, Andre; Goldenberg, Mitchell; Desai, Mihir M.; Gill, Inderbir; Cacciamani, Giovanni E.] Univ Southern Calif, USC Inst Urol, Keck Sch Med, Los Angeles, CA 90007 USA; [Ganjavi, Conner; Layne, Ethan; Cei, Francesco; Gill, Karanvir; Magoulianitis, Vasileios; Abreu, Andre; Goldenberg, Mitchell; Desai, Mihir M.; Gill, Inderbir; Cacciamani, Giovanni E.] Univ Southern Calif, Keck Sch Med, Catherine &amp; Joseph Aresty Dept Urol, Los Angeles, CA 90007 USA; [Ganjavi, Conner; Layne, Ethan; Cei, Francesco; Gill, Karanvir; Magoulianitis, Vasileios; Abreu, Andre; Goldenberg, Mitchell; Desai, Mihir M.; Gill, Inderbir; Cacciamani, Giovanni E.] USC Urol, Artificial Intelligence Ctr, Los Angeles, CA 90007 USA; [Cei, Francesco] Osped San Raffaele, Dept Urol, Milan, Italy; [Gill, Karanvir] Drexel Univ, Coll Med, Philadelphia, PA USA</t>
  </si>
  <si>
    <t>University of Southern California; University of Southern California; Vita-Salute San Raffaele University; IRCCS Ospedale San Raffaele; Drexel University</t>
  </si>
  <si>
    <t>Enhancing Readability of Lay Abstracts and Summaries for Urologic Oncology Literature Using Generative Artificial Intelligence: BRIDGE-AI 6 Randomized Controlled Trial</t>
  </si>
  <si>
    <t>IMPACT</t>
  </si>
  <si>
    <t>Ganjavi, Conner/JMQ-3876-2023; Cei, Francesco/KGF-0810-2024; Cacciamani, Giovanni/ABT-9931-2022</t>
  </si>
  <si>
    <t>Ganjavi, Conner/0000-0001-9698-964X; Cacciamani, Giovanni/0000-0002-8892-5539; Layne, Ethan/0009-0007-1639-5157; Abreu, Andre/0000-0002-9167-2587</t>
  </si>
  <si>
    <t>e2500042</t>
  </si>
  <si>
    <t>10.1200/CCI-25-00042</t>
  </si>
  <si>
    <t>http://dx.doi.org/10.1200/CCI-25-00042</t>
  </si>
  <si>
    <t>7EN0T</t>
  </si>
  <si>
    <t>40929631</t>
  </si>
  <si>
    <t>WOS:001569124900001</t>
  </si>
  <si>
    <t>Miura, T; Takahashi, T; Kubota, K</t>
  </si>
  <si>
    <t>Generative artificial intelligence (GenAI) is increasingly integrated into primary care, supporting documentation, clinical summaries, and patient-facing communication. While its potential to reduce cognitive workload is widely recognized, GenAI introduces a safety paradox: as outputs become more fluent, inaccuracies such as hallucinations and omissions may become harder to detect. This creates a largely unrecognized burden in routine care, referred to as the "verification tax," which risks redistributing rather than alleviating clinician workload. A central question is not whether GenAI is sufficiently accurate, but how its outputs are incorporated into clinical workflows and safety structures. In this commentary, we propose a human-in-the-loop (HITL) model that positions advanced practice nurses (APNs) as first-pass reviewers for high-volume, context-sensitive GenAI outputs. This role focuses on routing, contextualization, and verification, ensuring that machine-generated content is appropriately interpreted before influencing patient care. Given their roles in patient education, care coordination, and longitudinal management, APNs may be well-suited to address the gap between standardized model outputs and individualized clinical contexts. A conservative routing architecture and minimum governance framework are outlined, including explicit safety boundaries, structured escalation pathways, and the need for protected time for verification work. Potential limitations include the risk of redistributing invisible labor, model and workflow drift, and equity concerns in patient-facing communication. These considerations suggest that appropriate resourcing, audit mechanisms, and role-based governance are necessary. Positioning APNs as first-pass HITL reviewers may offer a pragmatic approach to integrating GenAI into primary care while supporting patient safety and interprofessional collaboration.</t>
  </si>
  <si>
    <t>Miura, Takeshi; Takahashi, Tomohiko; Kubota, Kazumi</t>
  </si>
  <si>
    <t>Miura, T (corresponding author), Yokohama City Univ, Sch Med, Dept Gerontol Nursing, Yokohama, Japan.; Miura, T (corresponding author), Yokohama City Univ, Dept Hlth Data Sci, Yokohama, Japan.</t>
  </si>
  <si>
    <t>miura.tak.cq@yokohama-cu.ac.jp</t>
  </si>
  <si>
    <t>[Miura, Takeshi] Yokohama City Univ, Sch Med, Dept Gerontol Nursing, Yokohama, Japan; [Miura, Takeshi] Yokohama City Univ, Dept Hlth Data Sci, Yokohama, Japan; [Takahashi, Tomohiko] Univ Tsukuba Hosp, Tsukuba, Japan; [Takahashi, Tomohiko] Univ Tsukuba, Grad Sch Comprehens Human Sci, Doctoral Program Med Sci, Tsukuba, Japan; [Kubota, Kazumi] Natl Ctr Child Hlth &amp; Dev, Dept Womens Hlth, Populat Sci, Tokyo, Japan; [Kubota, Kazumi] Univ Tokyo Hosp, Dept Healthcare Informat Management, Tokyo, Japan</t>
  </si>
  <si>
    <t>Yokohama City University; Yokohama City University; University of Tsukuba; University of Tsukuba; National Center for Child Health &amp; Development - Japan; University of Tokyo</t>
  </si>
  <si>
    <t>Generative AI Needs a Pilot: Positioning Advanced Practice Nurses as the "Human-in-the-Loop" for Primary Care Safety</t>
  </si>
  <si>
    <t>generative artificial intelligence (GenAI); verification tax; human-in-the-loop (HITL); advanced practice nurses (APNs); patient safety</t>
  </si>
  <si>
    <t>10.31662/jmaj.2026-0174</t>
  </si>
  <si>
    <t>http://dx.doi.org/10.31662/jmaj.2026-0174</t>
  </si>
  <si>
    <t>LH1FS</t>
  </si>
  <si>
    <t>WOS:001824454700001</t>
  </si>
  <si>
    <t>Jiang, XF; Liu, JB; Dai, SS; Mao, XW; Cha, RP; Wu, LL</t>
  </si>
  <si>
    <t>Background: Generative artificial intelligence (AI) has shown great potential in various fields, including health care. However, its application for developing patient education materials (PEMs), particularly for those with coronary heart disease (CHD), remains underexplored. Traditional methods for creating these materials are time-consuming and lack personalization, which limit their effectiveness. Objective: This study aims to explore the effectiveness of generative AI tools (ChatGPT and DeepSeek) at generating PEMs for patients with CHD and to compare them with materials developed by a professional medical team. Methods: In February 2025, PEMs for patients with CHD were developed using a framework designed by a professional medical team. Structured prompts were used to generate materials through 2 generative AI models-ChatGPT-4o and DeepSeek R1. These AI-generated materials were compared with those created by the medical team in terms of development time, readability, understandability, actionability, and accuracy. Results: The total time for manual preparation was 14 hours, while ChatGPT and DeepSeek consumed 0.62 hours and 0.78 hours, respectively. Regarding readability, the frequency of difficult words was more variable in manually written and ChatGPT materials, while DeepSeek showed more consistency. The proportion of simple sentences was highest with DeepSeek, followed by ChatGPT, with complete separation between manually written and ChatGPT (delta=1). Content word frequency was highest in manually written PEMs, while ChatGPT had the lowest but most stable values. Personal pronouns were most frequently used in manually written PEMs, with high variability, and least used in DeepSeek, which was stable. All 3 methods had similar readability levels and reached Chinese elementary school-level readability for the proportions of simple sentences and personal pronouns, with high school-level difficulty of words and content word frequency. The understandability and actionability scores were above 70, with ChatGPT being more stable for understandability and DeepSeek being more stable for actionability. No significant differences were found between groups. In terms of accuracy, intergroup comparisons showed significant differences (H=7.27, P=.03) but no significant differences in multiple comparisons. The direct comparison between ChatGPT and DeepSeek showed a negligible effect size (delta=0.02), with no significant difference (z-score=-0.06, P=.96). Accuracy issues in the AI-generated materials were noted by 4 of 8 experts. Conclusions: Generative AI significantly improved the efficiency of developing PEMs for patients with CHD. The materials generated by ChatGPT-4o and DeepSeek R1 were comparable to the professionally written ones in terms of readability, understandability, and actionability. However, improvements related to reducing the number of difficult words and increasing content word frequency are needed to enhance readability. The accuracy of AI-generated materials still poses concerns, including potential AI "hallucinations," and requires review by health care professionals. Generative AI holds considerable potential for generating PEMs, and future research should assess its applicability and effectiveness in real-world patient and family contexts.</t>
  </si>
  <si>
    <t>Jiang, Xiaofang; Liu, Jingbang; Dai, Shanshan; Mao, Xiawen; Cha, Rongping; Wu, Lili</t>
  </si>
  <si>
    <t>Wu, LL (corresponding author), Zhejiang Univ, Sir Run Run Shaw Hosp, Sch Med, Nursing Dept, 3 East Qingchun Rd, Hangzhou 310000, Zhejiang, Peoples R China.</t>
  </si>
  <si>
    <t>3204042@zju.edu.cn</t>
  </si>
  <si>
    <t>Sir Run Run Shaw Hospital</t>
  </si>
  <si>
    <t>This study would not have been possible without the support of Sir Run Run Shaw Hospital, and we are sincerely grateful to all the staff who were involved.</t>
  </si>
  <si>
    <t>[Jiang, Xiaofang; Liu, Jingbang; Dai, Shanshan; Mao, Xiawen; Cha, Rongping; Wu, Lili] Zhejiang Univ, Sir Run Run Shaw Hosp, Sch Med, Nursing Dept, 3 East Qingchun Rd, Hangzhou 310000, Zhejiang, Peoples R China</t>
  </si>
  <si>
    <t>Evaluating the Effectiveness of Generative AI for the Creation of Patient Education Materials on Coronary Heart Disease: A Comparative Study</t>
  </si>
  <si>
    <t>generative artificial intelligence; large language models; coronary heart disease; patient education; ChatGPT; DeepSeek</t>
  </si>
  <si>
    <t>Jiang, Xiaofang/PDX-1363-2025</t>
  </si>
  <si>
    <t>刘, 经邦/0009-0007-1693-8481</t>
  </si>
  <si>
    <t>e78816</t>
  </si>
  <si>
    <t>10.2196/78816</t>
  </si>
  <si>
    <t>http://dx.doi.org/10.2196/78816</t>
  </si>
  <si>
    <t>X0073</t>
  </si>
  <si>
    <t>41270264</t>
  </si>
  <si>
    <t>WOS:001640175200017</t>
  </si>
  <si>
    <t>Gebreab, S; Musamih, A; Salah, K; Jayaraman, R; Boscovic, D</t>
  </si>
  <si>
    <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t>
  </si>
  <si>
    <t>Gebreab, Senay; Musamih, Ahmad; Salah, Khaled; Jayaraman, Raja; Boscovic, Dragan</t>
  </si>
  <si>
    <t>Musamih, A (corresponding author), Khalifa Univ, Dept Management Sci &amp; Engn, Abu Dhabi, U Arab Emirates.</t>
  </si>
  <si>
    <t>ahmad.musamih@ku.ac.ae</t>
  </si>
  <si>
    <t>Khalifa University of Science and Technology [RIG-2023-049]</t>
  </si>
  <si>
    <t>Khalifa University of Science and Technology (Khalifa University of Science &amp; Technology)</t>
  </si>
  <si>
    <t>This work was supported by the Khalifa University of Science and Technology under Award RIG-2023-049.</t>
  </si>
  <si>
    <t>[Gebreab, Senay; Salah, Khaled] Khalifa Univ, Dept Comp &amp; Informat Engn, Abu Dhabi, U Arab Emirates; [Musamih, Ahmad] Khalifa Univ, Dept Management Sci &amp; Engn, Abu Dhabi, U Arab Emirates; [Jayaraman, Raja] New Mexico State Univ, Dept Ind Engn, Las Cruces, NM 88003 USA; [Boscovic, Dragan] Arizona State Univ, Ctr AI &amp; Data Analyt, Blockchain Res Lab, Tempe, AZ 85287 USA</t>
  </si>
  <si>
    <t>Khalifa University of Science &amp; Technology; Khalifa University of Science &amp; Technology; New Mexico State University; Arizona State University; Arizona State University-Tempe</t>
  </si>
  <si>
    <t>Accelerating Digital Twin Development With Generative AI: A Framework for 3D Modeling and Data Integration</t>
  </si>
  <si>
    <t>Three-dimensional displays; Solid modeling; Data models; Rendering (computer graphics); Monitoring; Computational modeling; Adaptation models; Accuracy; Surface treatment; Soft sensors; Generative AI; large language models; 3D generative models; diffusion models; digital twin</t>
  </si>
  <si>
    <t>Musamih, Ahmad/IYJ-2721-2023; Jayaraman, Raja/LKL-0284-2024</t>
  </si>
  <si>
    <t>Musamih, Ahmad/0000-0001-5153-2558; Boscovic, agan/0000-0003-3704-6910</t>
  </si>
  <si>
    <t>185918</t>
  </si>
  <si>
    <t>185936</t>
  </si>
  <si>
    <t>10.1109/ACCESS.2024.3514175</t>
  </si>
  <si>
    <t>http://dx.doi.org/10.1109/ACCESS.2024.3514175</t>
  </si>
  <si>
    <t>P8Z0H</t>
  </si>
  <si>
    <t>WOS:001380707700049</t>
  </si>
  <si>
    <t>Alkhalaf, M; Yu, P; Yin, MY; Deng, C</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</si>
  <si>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</si>
  <si>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Alkhalaf, Mohammad; Yu, Ping; Yin, Mengyang; Deng, Chao</t>
  </si>
  <si>
    <t>Yu, P (corresponding author), Univ Wollongong, Fac Engn &amp; Informat Sci, Sch Comp &amp; Informat Technol, Ctr Digital Transformat, Northfield Ave, Wollongong, NSW 2522, Australia.</t>
  </si>
  <si>
    <t>ping@uow.edu.au</t>
  </si>
  <si>
    <t>Qassim University, Saudi Arabia</t>
  </si>
  <si>
    <t>Qassim University, Saudi Arabia (Qassim University)</t>
  </si>
  <si>
    <t>The first author, Mohammad Alkhalaf, is supported by a full PhD scholarship from Qassim University, Saudi Arabia. The authors are grateful for the aged care organization that shared the de-identified electronic health records, which provided the opportunity to conduct this significant research project.</t>
  </si>
  <si>
    <t>[Alkhalaf, Mohammad; Yu, Ping] Univ Wollongong, Sch Comp &amp; Informat Technol, Wollongong, NSW 2522, Australia; [Alkhalaf, Mohammad] Qassim Univ, Sch Comp Sci, Qasim 51452, Saudi Arabia; [Yin, Mengyang] Opal Healthcare, Level 11,420 George St, Sydney, NSW 2000, Australia; [Deng, Chao] Univ Wollongong, Sch Med Indigenous &amp; Hlth Sci, Wollongong, NSW 2522, Australia</t>
  </si>
  <si>
    <t>University of Wollongong; Qassim University; University of Wollongong</t>
  </si>
  <si>
    <t>Applying generative AI with retrieval augmented generation to summarize and extract key clinical information from electronic health records</t>
  </si>
  <si>
    <t>Generative AI; Nursing notes; LLAMA; Malnutrition; Summarization; RAG</t>
  </si>
  <si>
    <t>BIG DATA; MALNUTRITION; PREVALENCE; ASSOCIATION</t>
  </si>
  <si>
    <t>Yu, Ping/B-1205-2008; Deng, Chao/F-4417-2016; Yin, Mengyang/JMB-7240-2023</t>
  </si>
  <si>
    <t>Yu, Ping/0000-0002-7910-9396; Deng, Chao/0000-0003-1147-5741</t>
  </si>
  <si>
    <t>101</t>
  </si>
  <si>
    <t>156</t>
  </si>
  <si>
    <t>104662</t>
  </si>
  <si>
    <t>10.1016/j.jbi.2024.104662</t>
  </si>
  <si>
    <t>http://dx.doi.org/10.1016/j.jbi.2024.104662</t>
  </si>
  <si>
    <t>H7Y8M</t>
  </si>
  <si>
    <t>38880236</t>
  </si>
  <si>
    <t>WOS:001325570100001</t>
  </si>
  <si>
    <t>Kim, S; Park, C; Jeon, G; Kim, S; Kim, JH</t>
  </si>
  <si>
    <t>Recent advancements in deep learning have significantly improved medical image segmentation. However, the generalization performance and potential risks of data-driven models remain insufficiently validated. Specifically, unrealistic segmentation predictions deviating from actual anatomical structures, known as a Seg-Hallucination, often occur in deep learning-based models. The Seg-Hallucinations can result in erroneous quantitative analyses and distort critical imaging biomarker information, yet effective audits or corrections to address these issues are rare. Therefore, we propose an automated Seg-Hallucination surveillance and correction (ASHSC) algorithm utilizing only 3D organ mask information derived from CT images without reliance on the ground truth. Two publicly available datasets were used in developing the ASHSC algorithm: 280 CT scans from the TotalSegmentator dataset for training and 274 CT scans from the Cancer Imaging Archive (TCIA) dataset for performance evaluation. The ASHSC algorithm utilizes a two-stage on-demand strategy with mesh-based convolutional neural networks and generative artificial intelligence. The segmentation quality level (SQ-level)-based surveillance stage was evaluated using the area under the receiver operating curve, sensitivity, specificity, and positive predictive value. The on-demand correction performance of the algorithm was assessed using similarity metrics: volumetric Dice score, volume error percentage, average surface distance, and Hausdorff distance. Average performance of the surveillance stage resulted in an AUROC of 0.94 +/- 0.01, sensitivity of 0.82 +/- 0.03, specificity of 0.90 +/- 0.01, and PPV of 0.92 +/- 0.01 for test dataset. After the on-demand refinement of the correction stage, all the four similarity metrics were improved compared to a single use of the AI-segmentation model. This study not only enhances the efficiency and reliability of handling the Seg-Hallucination but also eliminates the reliance on ground truth. The ASHSC algorithm offers intuitive 3D guidance for uncertainty regions, while maintaining manageable computational complexity. The SQ-level-based on-demand correction strategy adaptively minimizes uncertainties inherent in deep-learning-based organ masks and advances automated auditing and correction methodologies.</t>
  </si>
  <si>
    <t>Kim, Sihwan; Park, Changmin; Jeon, Gwanghyeon; Kim, Seohee; Kim, Jong Hyo</t>
  </si>
  <si>
    <t>Kim, JH (corresponding author), Seoul Natl Univ, Grad Sch Convergence Sci &amp; Technol, Dept Appl Bioengn, Seoul 08826, South Korea.; Kim, JH (corresponding author), ClariPi Inc, ClariPi Res, Seoul 03088, South Korea.; Kim, JH (corresponding author), Seoul Natl Univ Hosp, Dept Radiol, Seoul 03080, South Korea.; Kim, JH (corresponding author), Seoul Natl Univ, Coll Med, Dept Radiol, Seoul 03080, South Korea.</t>
  </si>
  <si>
    <t>imksh0707@snu.ac.kr; khjeon3014@claripi.com; kimjhyo@snu.ac.kr; smilecmp@snu.ac.kr; ksh0529@snu.ac.kr</t>
  </si>
  <si>
    <t>[Kim, Sihwan; Park, Changmin; Kim, Seohee; Kim, Jong Hyo] Seoul Natl Univ, Grad Sch Convergence Sci &amp; Technol, Dept Appl Bioengn, Seoul 08826, South Korea; [Kim, Sihwan; Park, Changmin; Jeon, Gwanghyeon; Kim, Seohee; Kim, Jong Hyo] ClariPi Inc, ClariPi Res, Seoul 03088, South Korea; [Kim, Jong Hyo] Seoul Natl Univ Hosp, Dept Radiol, Seoul 03080, South Korea; [Kim, Jong Hyo] Seoul Natl Univ, Coll Med, Dept Radiol, Seoul 03080, South Korea</t>
  </si>
  <si>
    <t>Seoul National University (SNU); Seoul National University (SNU); Seoul National University Hospital; Seoul National University (SNU); Seoul National University Hospital</t>
  </si>
  <si>
    <t>Automated Audit and Self-Correction Algorithm for Seg-Hallucination Using MeshCNN-Based On-Demand Generative AI</t>
  </si>
  <si>
    <t>AI audit; Seg-Hallucination; uncertainty; anomaly screening; segmentation</t>
  </si>
  <si>
    <t>JEON, KWANGHEYON/0009-0001-1900-5026; park, changmin/0009-0002-5548-6370; Kim, Jong Hyo/0000-0002-5695-4976; Kim, Seohee/0009-0007-0209-5022; Kim, Sihwan/0000-0001-9444-0303</t>
  </si>
  <si>
    <t>10.3390/bioengineering12010081</t>
  </si>
  <si>
    <t>http://dx.doi.org/10.3390/bioengineering12010081</t>
  </si>
  <si>
    <t>T4F4R</t>
  </si>
  <si>
    <t>39851355</t>
  </si>
  <si>
    <t>WOS:001404583800001</t>
  </si>
  <si>
    <t>Enriquez, KT; Chiang, AD; Smiley, C; Staub, M</t>
  </si>
  <si>
    <t>Objective: Antimicrobial Stewardship Programs (ASPs) need healthcare economic analyses to support and inform ASP strategies. This work aimed to determine whether widely available artificial intelligence (AI) platforms like Microsoft CopilotTM could facilitate healthcare economics analyses for ASP programs without dedicated healthcare economic supports. Design: AI (Microsoft CopilotTM) was prompted to develop a cytomegalovirus prophylaxis protocol for lung transplant recipients using only PubMed-indexed articles. CopilotTM was then prompted to produce probabilistic samples of simulated patients from aggregate statistics of a 165-patient cohort from Vanderbilt University Medical Center and to analyze cost-effectiveness across four distinct cytomegalovirus prophylaxis protocols, including its own. Setting: Tertiary care academic medical center, including outpatient and inpatient environments. Patients or participants: Simulated patient data was developed via random, single-blind, probabilistic selection from pre-defined aggregate cohort statistics. Results: The AI-generated prophylaxis protocol was evidence-based without hallucination, but this conservative protocol relied on outdated evidence and was associated with significant increases in expected per-patient cost (mean +$4740, P &lt; .01) compared to recent guideline-based and institutional protocols. AI independently identified and executed sensitivity analyses, which revealed that in this simplified model, letermovir use had a large impact on expected per-patient cost. Conclusions: The AI-proposed protocol was less cost-effective, but data suggest that careful prompting can provide appropriate PubMed-indexed literature to support ASP protocol development. Additionally, CoPilotTM provided a thorough cost-effectiveness analysis comparing all potential and existing protocols. With appropriate oversight, AI and Microsoft CopilotTM can conduct healthcare economic analyses suitable for ASP strategic planning and implementation.</t>
  </si>
  <si>
    <t>Enriquez, Kyle T.; Dulanto Chiang, Augusto; Smiley, Casey; Staub, Milner</t>
  </si>
  <si>
    <t>Enriquez, KT (corresponding author), Vanderbilt Univ, Sch Med, Med Scientist Training Program, Nashville, TN 37235 USA.</t>
  </si>
  <si>
    <t>kyle.t.enriquez@vanderbilt.edu</t>
  </si>
  <si>
    <t>Department of Medicine at VUMC; Critical Care Medicine, at VUMC; NIGMS of the National Institutes of Health [T32GM007347]</t>
  </si>
  <si>
    <t>Department of Medicine at VUMC; Critical Care Medicine, at VUMC; NIGMS of the National Institutes of Health (United States Department of Health &amp; Human Services, National Institutes of Health (NIH) - USA, NIH National Institute of General Medical Sciences (NIGMS))</t>
  </si>
  <si>
    <t>The authors thank members of the Division of Infectious Diseases within the Department of Medicine at VUMC for their review of the manuscript. Thank you to Dr. Bob Lobo and Laura Lowman, in addition to Elana Johnson and Charisse Dillree for their assistance with obtaining cost-basis data to the VUMC health system. Thanks to Dr. Ciara Shaver and members of the Division of Allergy, Pulmonary, and Critical Care Medicine, at VUMC for their championing of these QI efforts in the designated patient population and support of these research efforts. Research and training was supported by NIGMS of the National Institutes of Health, including T32GM007347 to KTE. All authors report no conflicts of interest relevant to this article.</t>
  </si>
  <si>
    <t>[Enriquez, Kyle T.] Vanderbilt Univ, Sch Med, Med Scientist Training Program, Nashville, TN 37235 USA; [Dulanto Chiang, Augusto; Smiley, Casey; Staub, Milner] Vanderbilt Univ, Dept Med, Div Infect Dis, Med Ctr, Nashville, TN USA</t>
  </si>
  <si>
    <t>Vanderbilt University; Vanderbilt University</t>
  </si>
  <si>
    <t>Updating CMV protocols in lung transplant patients: a single-center case study modeling use of generative AI for antimicrobial stewardship protocol development and economic impact analysis</t>
  </si>
  <si>
    <t>INFECTION CONTROL &amp; HOSPITAL EPIDEMIOLOGY</t>
  </si>
  <si>
    <t>CYTOMEGALOVIRUS; RECIPIENTS</t>
  </si>
  <si>
    <t>Enriquez, Kyle/MIO-4210-2025</t>
  </si>
  <si>
    <t>Staub, Milner/0000-0002-0774-7698</t>
  </si>
  <si>
    <t>CAMBRIDGE UNIV PRESS</t>
  </si>
  <si>
    <t>CAMBRIDGE</t>
  </si>
  <si>
    <t>EDINBURGH BLDG, SHAFTESBURY RD, CB2 8RU CAMBRIDGE, ENGLAND</t>
  </si>
  <si>
    <t>0899-823X</t>
  </si>
  <si>
    <t>1559-6834</t>
  </si>
  <si>
    <t>INFECT CONT HOSP EP</t>
  </si>
  <si>
    <t>Infect. Control Hosp. Epidemiol.</t>
  </si>
  <si>
    <t>10.1017/ice.2026.10480</t>
  </si>
  <si>
    <t>http://dx.doi.org/10.1017/ice.2026.10480</t>
  </si>
  <si>
    <t>Public, Environmental &amp; Occupational Health; Infectious Diseases</t>
  </si>
  <si>
    <t>JE4ZR</t>
  </si>
  <si>
    <t>42252971</t>
  </si>
  <si>
    <t>WOS:001787411700001</t>
  </si>
  <si>
    <t>Nishisako, S; Higashi, T; Wakao, F</t>
  </si>
  <si>
    <t>Background:Generative artificial intelligence (AI) is increasingly used to find information. Providing accurate information is essential to support patients with cancer and their families; however, information returned by generative AIs is sometimes wrong. Returning wrong information is called hallucination. Retrieval-augmented generation (RAG), which supplements large language model (LLM) outputs with relevant external sources, has the potential to reduce hallucinations. Although RAG has been proposed as a promising technique, its real-world performance in public health communication remains underexplored. Objective:This study aimed to examine cancer information returned by generative AIs with RAG using cancer-specific information sources and general internet searches to determine whether using RAG with reliable information sources reduces the hallucination rates of generative AI chatbots. Methods:We developed 6 types of chatbots by combining 3 patterns of reference information with 2 versions of LLMs. Thus, GPT-4 and GPT-3.5 chatbots that use cancer information service (CIS) information, Google information, and no reference information (conventional chatbots) were developed. A total of 62 cancer-related questions in Japanese were compiled from public sources. All responses were generated automatically and independently reviewed by 2 experienced clinicians. The reviewers assessed the presence of hallucinations, defined as medically harmful or misinformation. We compared hallucination rates across chatbot types and calculated odds ratios (OR) using generalized linear mixed-effects models. Subgroup analyses were also performed based on whether questions were covered by CIS content. Results:For the chatbots that used information from CIS, the hallucination rates were 0% for GPT-4 and 6% for GPT-3.5, whereas those for chatbots that used information from Google were 6% and 10% for GPT-4 and GPT-3.5, respectively. For questions on information that is not issued by CIS, the hallucination rates for Google-based chatbots were 19% for GPT-4 and 35% for GPT-3.5. The hallucination rates for conventional chatbots were approximately 40%. Using reference data from Google searches generated more hallucinations than using CIS data, with an OR of 9.4 (95% CI 1.2-17.5, P&lt;.01); the OR for the conventional chatbot was 16.1 (95% CI 3.7-50.0, P&lt;.001). While conventional chatbots always generated a response, the RAG-based chatbots sometimes declined to answer when information was lacking. The conventional chatbots responded to all questions, but the response rate decreased (36% to 81%) for RAG-based chatbots. For questions on information not covered by CIS, the CIS chatbots did not respond, while the Google chatbots generated responses in 52% of the cases for GPT-4 and 71% for GPT-3.5. Conclusions:Using RAG with reliable information sources significantly reduces the hallucination rate of generative AI chatbots and increases the ability to admit lack of information, making them more suitable for general use, where users need to be provided with accurate information.</t>
  </si>
  <si>
    <t>Nishisako, Sota; Higashi, Takahiro; Wakao, Fumihiko</t>
  </si>
  <si>
    <t>Nishisako, S (corresponding author), Natl Canc Ctr, Inst Canc Control, 5-1-1 Tsukiji,Chuo Ku, Tokyo 1040045, Japan.</t>
  </si>
  <si>
    <t>sotanishisako@gmail.com</t>
  </si>
  <si>
    <t>Health and Labor Sciences Research Grant [23EA1026]</t>
  </si>
  <si>
    <t>Health and Labor Sciences Research Grant (Ministry of Health, Labour and Welfare, Japan)</t>
  </si>
  <si>
    <t>The authors thank Mingxin Liu, MA (Department of Health Communication, Graduate School of Medicine, The University of Tokyo, Tokyo, Japan), Chikako Yamaki, PhD, and all research team members (Institute for Cancer Control, National Cancer Center, Tokyo, Japan) for providing valuable advice on the topic treated in this paper. We also thank the Editage company for English language editing. Supported by grants from a Health and Labor Sciences Research Grant (R6-Cancer Control 23EA1026). No conflicting relationship exists for any author. Presented at the 62nd Annual Meeting of Japan Society of Clinical Oncology, Fukuoka, Japan, October 2024.</t>
  </si>
  <si>
    <t>[Nishisako, Sota; Higashi, Takahiro] Natl Canc Ctr, Inst Canc Control, 5-1-1 Tsukiji,Chuo Ku, Tokyo 1040045, Japan; [Higashi, Takahiro] Univ Tokyo, Grad Sch Med, Dept Publ Hlth &amp; Hlth Policy, Tokyo, Japan; [Wakao, Fumihiko] Natl Canc CenterTokyo, Headquarter Canc Informat Serv, Tokyo, Japan</t>
  </si>
  <si>
    <t>National Cancer Center - Japan; University of Tokyo</t>
  </si>
  <si>
    <t>Reducing Hallucinations and Trade-Offs in Responses in Generative AI Chatbots for Cancer Information: Development and Evaluation Study</t>
  </si>
  <si>
    <t>JMIR CANCER</t>
  </si>
  <si>
    <t>artificial intelligence; AI; generative AI chatbot; generative pretrained transformer; GPT; retrieval-augmented generation; RAG; hallucination; medical information provision; cancer information service</t>
  </si>
  <si>
    <t>INTERNET; ONCOLOGY; COMPLEMENTARY; CHATGPT; IMPACT; CARE</t>
  </si>
  <si>
    <t>Higashi, Takahiro/IZD-9959-2023</t>
  </si>
  <si>
    <t>Higashi, Takahiro/0000-0002-9933-2106; Nishisako, Sota/0000-0001-9795-5062</t>
  </si>
  <si>
    <t>2369-1999</t>
  </si>
  <si>
    <t>JMIR Cancer</t>
  </si>
  <si>
    <t>e70176</t>
  </si>
  <si>
    <t>10.2196/70176</t>
  </si>
  <si>
    <t>http://dx.doi.org/10.2196/70176</t>
  </si>
  <si>
    <t>7VK6A</t>
  </si>
  <si>
    <t>40934488</t>
  </si>
  <si>
    <t>WOS:001580587400001</t>
  </si>
  <si>
    <t>Stanceski, K; Zhong, SR; Zhang, XM; Khadra, S; Tracy, M; Koria, L; Lo, SRT; Naganathan, V; Kim, J; Dunn, AG; Ayre, J</t>
  </si>
  <si>
    <t>Patient-centred instructions on discharge can improve adherence and outcomes. Using GPT-3.5 to generate patient-centred discharge instructions, we evaluated responses for safety, accuracy and language simplification. When tested on 100 discharge summaries from MIMIC-IV, potentially harmful safety issues attributable to the AI tool were found in 18%, including 6% with hallucinations and 3% with new medications. AI tools can generate patient-centred discharge instructions, but careful implementation is needed to avoid harms.</t>
  </si>
  <si>
    <t>Stanceski, Kristian; Zhong, Sharleen; Zhang, Xumou; Khadra, Sam; Tracy, Marguerite; Koria, Linda; Lo, Sarita; Naganathan, Vasi; Kim, Jinman; Dunn, Adam G.; Ayre, Julie</t>
  </si>
  <si>
    <t>Dunn, AG (corresponding author), Univ Sydney, Fac Med &amp; Hlth, Biomed Informat &amp; Digital Hlth, Sydney, NSW, Australia.</t>
  </si>
  <si>
    <t>adam.dunn@sydney.edu.au</t>
  </si>
  <si>
    <t>[Stanceski, Kristian; Dunn, Adam G.] Univ Sydney, Fac Med &amp; Hlth, Biomed Informat &amp; Digital Hlth, Sydney, NSW, Australia; [Stanceski, Kristian; Khadra, Sam] Royal Prince Alfred Hosp, Sydney Local Hlth Dist, Sydney Local Hlth Dist, Sydney, NSW, Australia; [Stanceski, Kristian] UNSW Med &amp; Hlth, Sch Clin Med, St George &amp; Sutherland Clin Campus, Sydney, NSW, Australia; [Zhong, Sharleen; Zhang, Xumou; Kim, Jinman] Univ Sydney, Fac Engn, Sch Comp Sci, Sydney, NSW, Australia; [Tracy, Marguerite; Ayre, Julie] Univ Sydney, Fac Med &amp; Hlth, Sydney Sch Publ Hlth, Sydney Hlth Literacy Lab, Sydney, NSW, Australia; [Tracy, Marguerite] Univ Sydney, Fac Med &amp; Hlth, Gen Practice Clin Sch, Sydney, NSW, Australia; [Tracy, Marguerite] Blacktown Mt Druitt Hosp, Western Sydney Local Hlth Dist, Sydney, NSW, Australia; [Koria, Linda; Lo, Sarita; Naganathan, Vasi] Concord Repatriat Gen Hosp, Ctr Educ &amp; Res Ageing, Dept Geriatr Med, Sydney, NSW, Australia; [Naganathan, Vasi] Univ Sydney, Fac Med &amp; Hlth, Concord Clin Sch, Sydney, NSW, Australia</t>
  </si>
  <si>
    <t>University of Sydney; Sydney Local Health District; NSW Health; University of Sydney; Royal Prince Alfred Hospital; University of Sydney; University of Sydney; University of Sydney; NSW Health; Western NSW Local Health District; Blacktown &amp; Mount Druitt Hospital; Concord Repatriation General Hospital; University of Sydney</t>
  </si>
  <si>
    <t>The quality and safety of using generative AI to produce patient-centred discharge instructions</t>
  </si>
  <si>
    <t>PRESCRIPTION DRUG LABEL; HEALTH LITERACY; COMPONENTS; IMPROVE</t>
  </si>
  <si>
    <t>Stanceski, Kristian/IYJ-3620-2023; Naganathan, Vasi/MZQ-6488-2025; Dunn, Adam/H-4425-2019; kim, jinman/ADL-4215-2022; Tracy, Marguerite/ABK-3651-2022; Koria, Linda/AHB-5230-2022; Ayre, Julie/ABA-5914-2020</t>
  </si>
  <si>
    <t>Stanceski, Kristian/0000-0001-5165-4096; zhang, xumou/0009-0006-6798-1204; Dunn, Adam/0000-0002-1720-8209; Zhong, Sharleen/0009-0007-2485-0332; Koria, Linda/0000-0002-6699-7080; Ayre, Julie/0000-0002-5279-5189</t>
  </si>
  <si>
    <t>NOV 20 2024</t>
  </si>
  <si>
    <t>329</t>
  </si>
  <si>
    <t>10.1038/s41746-024-01336-w</t>
  </si>
  <si>
    <t>http://dx.doi.org/10.1038/s41746-024-01336-w</t>
  </si>
  <si>
    <t>M7S5C</t>
  </si>
  <si>
    <t>39567722</t>
  </si>
  <si>
    <t>WOS:001359496300001</t>
  </si>
</sst>
</file>

<file path=xl/styles.xml><?xml version="1.0" encoding="utf-8"?>
<styleSheet xmlns="http://schemas.openxmlformats.org/spreadsheetml/2006/main">
  <numFmts count="0"/>
  <fonts count="780">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780">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2196%2F73233" TargetMode="External" Type="http://schemas.openxmlformats.org/officeDocument/2006/relationships/hyperlink"/><Relationship Id="rId10" Target="https%3A%2F%2Fwww.webofscience.com%2Fwos%2Fwoscc%2Ffull-record%2FWOS%3A001620298200010" TargetMode="External" Type="http://schemas.openxmlformats.org/officeDocument/2006/relationships/hyperlink"/><Relationship Id="rId100" Target="https%3A%2F%2Fwww.webofscience.com%2Fwos%2Fwoscc%2Ffull-record%2FWOS%3A001209699500001" TargetMode="External" Type="http://schemas.openxmlformats.org/officeDocument/2006/relationships/hyperlink"/><Relationship Id="rId101" Target="http%3A%2F%2Fdx.doi.org%2F10.1007%2Fs00405-026-10253-5" TargetMode="External" Type="http://schemas.openxmlformats.org/officeDocument/2006/relationships/hyperlink"/><Relationship Id="rId102" Target="https%3A%2F%2Fwww.webofscience.com%2Fwos%2Fwoscc%2Ffull-record%2FWOS%3A001764200100001" TargetMode="External" Type="http://schemas.openxmlformats.org/officeDocument/2006/relationships/hyperlink"/><Relationship Id="rId103" Target="http%3A%2F%2Fdx.doi.org%2F10.1007%2Fs00530-026-02288-9" TargetMode="External" Type="http://schemas.openxmlformats.org/officeDocument/2006/relationships/hyperlink"/><Relationship Id="rId104" Target="https%3A%2F%2Fwww.webofscience.com%2Fwos%2Fwoscc%2Ffull-record%2FWOS%3A001758540000048" TargetMode="External" Type="http://schemas.openxmlformats.org/officeDocument/2006/relationships/hyperlink"/><Relationship Id="rId105" Target="http%3A%2F%2Fdx.doi.org%2F10.1093%2Ffampra%2Fcmaf035" TargetMode="External" Type="http://schemas.openxmlformats.org/officeDocument/2006/relationships/hyperlink"/><Relationship Id="rId106" Target="https%3A%2F%2Fwww.webofscience.com%2Fwos%2Fwoscc%2Ffull-record%2FWOS%3A001504045000001" TargetMode="External" Type="http://schemas.openxmlformats.org/officeDocument/2006/relationships/hyperlink"/><Relationship Id="rId107" Target="http%3A%2F%2Fdx.doi.org%2F10.1002%2Flary.31434" TargetMode="External" Type="http://schemas.openxmlformats.org/officeDocument/2006/relationships/hyperlink"/><Relationship Id="rId108" Target="https%3A%2F%2Fwww.webofscience.com%2Fwos%2Fwoscc%2Ffull-record%2FWOS%3A001195133600001" TargetMode="External" Type="http://schemas.openxmlformats.org/officeDocument/2006/relationships/hyperlink"/><Relationship Id="rId109" Target="http%3A%2F%2Fdx.doi.org%2F10.1080%2F0142159X.2025.2603353" TargetMode="External" Type="http://schemas.openxmlformats.org/officeDocument/2006/relationships/hyperlink"/><Relationship Id="rId11" Target="http%3A%2F%2Fdx.doi.org%2F10.3390%2Fdiagnostics16030424" TargetMode="External" Type="http://schemas.openxmlformats.org/officeDocument/2006/relationships/hyperlink"/><Relationship Id="rId110" Target="https%3A%2F%2Fwww.webofscience.com%2Fwos%2Fwoscc%2Ffull-record%2FWOS%3A001649811300001" TargetMode="External" Type="http://schemas.openxmlformats.org/officeDocument/2006/relationships/hyperlink"/><Relationship Id="rId111" Target="http%3A%2F%2Fdx.doi.org%2F10.1038%2Fs41586-024-07421-0" TargetMode="External" Type="http://schemas.openxmlformats.org/officeDocument/2006/relationships/hyperlink"/><Relationship Id="rId112" Target="https%3A%2F%2Fwww.webofscience.com%2Fwos%2Fwoscc%2Ffull-record%2FWOS%3A001262429400005" TargetMode="External" Type="http://schemas.openxmlformats.org/officeDocument/2006/relationships/hyperlink"/><Relationship Id="rId113" Target="http%3A%2F%2Fdx.doi.org%2F10.1038%2Fs41746-025-02250-5" TargetMode="External" Type="http://schemas.openxmlformats.org/officeDocument/2006/relationships/hyperlink"/><Relationship Id="rId114" Target="https%3A%2F%2Fwww.webofscience.com%2Fwos%2Fwoscc%2Ffull-record%2FWOS%3A001651144300004" TargetMode="External" Type="http://schemas.openxmlformats.org/officeDocument/2006/relationships/hyperlink"/><Relationship Id="rId115" Target="http%3A%2F%2Fdx.doi.org%2F10.1186%2Fs12911-026-03579-x" TargetMode="External" Type="http://schemas.openxmlformats.org/officeDocument/2006/relationships/hyperlink"/><Relationship Id="rId116" Target="https%3A%2F%2Fwww.webofscience.com%2Fwos%2Fwoscc%2Ffull-record%2FWOS%3A001840203200001" TargetMode="External" Type="http://schemas.openxmlformats.org/officeDocument/2006/relationships/hyperlink"/><Relationship Id="rId117" Target="http%3A%2F%2Fdx.doi.org%2F10.3389%2Ffdgth.2026.1847603" TargetMode="External" Type="http://schemas.openxmlformats.org/officeDocument/2006/relationships/hyperlink"/><Relationship Id="rId118" Target="https%3A%2F%2Fwww.webofscience.com%2Fwos%2Fwoscc%2Ffull-record%2FWOS%3A001799091100001" TargetMode="External" Type="http://schemas.openxmlformats.org/officeDocument/2006/relationships/hyperlink"/><Relationship Id="rId119" Target="http%3A%2F%2Fdx.doi.org%2F10.3928%2F01913913-20260416-02" TargetMode="External" Type="http://schemas.openxmlformats.org/officeDocument/2006/relationships/hyperlink"/><Relationship Id="rId12" Target="https%3A%2F%2Fwww.webofscience.com%2Fwos%2Fwoscc%2Ffull-record%2FWOS%3A001688358400001" TargetMode="External" Type="http://schemas.openxmlformats.org/officeDocument/2006/relationships/hyperlink"/><Relationship Id="rId120" Target="https%3A%2F%2Fwww.webofscience.com%2Fwos%2Fwoscc%2Ffull-record%2FWOS%3A001802772300001" TargetMode="External" Type="http://schemas.openxmlformats.org/officeDocument/2006/relationships/hyperlink"/><Relationship Id="rId121" Target="http%3A%2F%2Fdx.doi.org%2F10.1097%2FHC9.0000000000000895" TargetMode="External" Type="http://schemas.openxmlformats.org/officeDocument/2006/relationships/hyperlink"/><Relationship Id="rId122" Target="https%3A%2F%2Fwww.webofscience.com%2Fwos%2Fwoscc%2Ffull-record%2FWOS%3A001689101400001" TargetMode="External" Type="http://schemas.openxmlformats.org/officeDocument/2006/relationships/hyperlink"/><Relationship Id="rId123" Target="http%3A%2F%2Fdx.doi.org%2F10.2196%2F92240" TargetMode="External" Type="http://schemas.openxmlformats.org/officeDocument/2006/relationships/hyperlink"/><Relationship Id="rId124" Target="https%3A%2F%2Fwww.webofscience.com%2Fwos%2Fwoscc%2Ffull-record%2FWOS%3A001802357100006" TargetMode="External" Type="http://schemas.openxmlformats.org/officeDocument/2006/relationships/hyperlink"/><Relationship Id="rId125" Target="http%3A%2F%2Fdx.doi.org%2F10.1093%2Fjamiaopen%2Fooae043" TargetMode="External" Type="http://schemas.openxmlformats.org/officeDocument/2006/relationships/hyperlink"/><Relationship Id="rId126" Target="https%3A%2F%2Fwww.webofscience.com%2Fwos%2Fwoscc%2Ffull-record%2FWOS%3A001234341400002" TargetMode="External" Type="http://schemas.openxmlformats.org/officeDocument/2006/relationships/hyperlink"/><Relationship Id="rId127" Target="http%3A%2F%2Fdx.doi.org%2F10.1148%2Frg.240073" TargetMode="External" Type="http://schemas.openxmlformats.org/officeDocument/2006/relationships/hyperlink"/><Relationship Id="rId128" Target="https%3A%2F%2Fwww.webofscience.com%2Fwos%2Fwoscc%2Ffull-record%2FWOS%3A001500628100004" TargetMode="External" Type="http://schemas.openxmlformats.org/officeDocument/2006/relationships/hyperlink"/><Relationship Id="rId129" Target="http%3A%2F%2Fdx.doi.org%2F10.1145%2F3709154" TargetMode="External" Type="http://schemas.openxmlformats.org/officeDocument/2006/relationships/hyperlink"/><Relationship Id="rId13" Target="http%3A%2F%2Fdx.doi.org%2F10.1016%2Fj.inffus.2025.104027" TargetMode="External" Type="http://schemas.openxmlformats.org/officeDocument/2006/relationships/hyperlink"/><Relationship Id="rId130" Target="https%3A%2F%2Fwww.webofscience.com%2Fwos%2Fwoscc%2Ffull-record%2FWOS%3A001489746900002" TargetMode="External" Type="http://schemas.openxmlformats.org/officeDocument/2006/relationships/hyperlink"/><Relationship Id="rId131" Target="http%3A%2F%2Fdx.doi.org%2F10.1200%2FCCI-25-00176" TargetMode="External" Type="http://schemas.openxmlformats.org/officeDocument/2006/relationships/hyperlink"/><Relationship Id="rId132" Target="https%3A%2F%2Fwww.webofscience.com%2Fwos%2Fwoscc%2Ffull-record%2FWOS%3A001642824500001" TargetMode="External" Type="http://schemas.openxmlformats.org/officeDocument/2006/relationships/hyperlink"/><Relationship Id="rId133" Target="http%3A%2F%2Fdx.doi.org%2F10.1007%2Fs12539-025-00715-5" TargetMode="External" Type="http://schemas.openxmlformats.org/officeDocument/2006/relationships/hyperlink"/><Relationship Id="rId134" Target="https%3A%2F%2Fwww.webofscience.com%2Fwos%2Fwoscc%2Ffull-record%2FWOS%3A001502708700001" TargetMode="External" Type="http://schemas.openxmlformats.org/officeDocument/2006/relationships/hyperlink"/><Relationship Id="rId135" Target="http%3A%2F%2Fdx.doi.org%2F10.2196%2F73941" TargetMode="External" Type="http://schemas.openxmlformats.org/officeDocument/2006/relationships/hyperlink"/><Relationship Id="rId136" Target="https%3A%2F%2Fwww.webofscience.com%2Fwos%2Fwoscc%2Ffull-record%2FWOS%3A001560556800002" TargetMode="External" Type="http://schemas.openxmlformats.org/officeDocument/2006/relationships/hyperlink"/><Relationship Id="rId137" Target="http%3A%2F%2Fdx.doi.org%2F10.1038%2Fs41597-025-04417-x" TargetMode="External" Type="http://schemas.openxmlformats.org/officeDocument/2006/relationships/hyperlink"/><Relationship Id="rId138" Target="https%3A%2F%2Fwww.webofscience.com%2Fwos%2Fwoscc%2Ffull-record%2FWOS%3A001401221000001" TargetMode="External" Type="http://schemas.openxmlformats.org/officeDocument/2006/relationships/hyperlink"/><Relationship Id="rId139" Target="http%3A%2F%2Fdx.doi.org%2F10.3390%2Fdiagnostics16101460" TargetMode="External" Type="http://schemas.openxmlformats.org/officeDocument/2006/relationships/hyperlink"/><Relationship Id="rId14" Target="https%3A%2F%2Fwww.webofscience.com%2Fwos%2Fwoscc%2Ffull-record%2FWOS%3A001651923100001" TargetMode="External" Type="http://schemas.openxmlformats.org/officeDocument/2006/relationships/hyperlink"/><Relationship Id="rId140" Target="https%3A%2F%2Fwww.webofscience.com%2Fwos%2Fwoscc%2Ffull-record%2FWOS%3A001775414700001" TargetMode="External" Type="http://schemas.openxmlformats.org/officeDocument/2006/relationships/hyperlink"/><Relationship Id="rId141" Target="http%3A%2F%2Fdx.doi.org%2F10.1186%2Fs12903-025-06648-1" TargetMode="External" Type="http://schemas.openxmlformats.org/officeDocument/2006/relationships/hyperlink"/><Relationship Id="rId142" Target="https%3A%2F%2Fwww.webofscience.com%2Fwos%2Fwoscc%2Ffull-record%2FWOS%3A001538004700003" TargetMode="External" Type="http://schemas.openxmlformats.org/officeDocument/2006/relationships/hyperlink"/><Relationship Id="rId143" Target="http%3A%2F%2Fdx.doi.org%2F10.1038%2Fs41746-024-01081-0" TargetMode="External" Type="http://schemas.openxmlformats.org/officeDocument/2006/relationships/hyperlink"/><Relationship Id="rId144" Target="https%3A%2F%2Fwww.webofscience.com%2Fwos%2Fwoscc%2Ffull-record%2FWOS%3A001207216300001" TargetMode="External" Type="http://schemas.openxmlformats.org/officeDocument/2006/relationships/hyperlink"/><Relationship Id="rId145" Target="http%3A%2F%2Fdx.doi.org%2F10.1016%2Fj.inffus.2025.103902" TargetMode="External" Type="http://schemas.openxmlformats.org/officeDocument/2006/relationships/hyperlink"/><Relationship Id="rId146" Target="https%3A%2F%2Fwww.webofscience.com%2Fwos%2Fwoscc%2Ffull-record%2FWOS%3A001618127000001" TargetMode="External" Type="http://schemas.openxmlformats.org/officeDocument/2006/relationships/hyperlink"/><Relationship Id="rId147" Target="http%3A%2F%2Fdx.doi.org%2F10.2196%2F54580" TargetMode="External" Type="http://schemas.openxmlformats.org/officeDocument/2006/relationships/hyperlink"/><Relationship Id="rId148" Target="https%3A%2F%2Fwww.webofscience.com%2Fwos%2Fwoscc%2Ffull-record%2FWOS%3A001244836100001" TargetMode="External" Type="http://schemas.openxmlformats.org/officeDocument/2006/relationships/hyperlink"/><Relationship Id="rId149" Target="http%3A%2F%2Fdx.doi.org%2F10.1371%2Fjournal.pdig.0000899" TargetMode="External" Type="http://schemas.openxmlformats.org/officeDocument/2006/relationships/hyperlink"/><Relationship Id="rId15" Target="http%3A%2F%2Fdx.doi.org%2F10.1038%2Fs41746-026-02428-5" TargetMode="External" Type="http://schemas.openxmlformats.org/officeDocument/2006/relationships/hyperlink"/><Relationship Id="rId150" Target="https%3A%2F%2Fwww.webofscience.com%2Fwos%2Fwoscc%2Ffull-record%2FWOS%3A001510823000001" TargetMode="External" Type="http://schemas.openxmlformats.org/officeDocument/2006/relationships/hyperlink"/><Relationship Id="rId151" Target="http%3A%2F%2Fdx.doi.org%2F10.1007%2Fs13755-025-00397-9" TargetMode="External" Type="http://schemas.openxmlformats.org/officeDocument/2006/relationships/hyperlink"/><Relationship Id="rId152" Target="https%3A%2F%2Fwww.webofscience.com%2Fwos%2Fwoscc%2Ffull-record%2FWOS%3A001620122800001" TargetMode="External" Type="http://schemas.openxmlformats.org/officeDocument/2006/relationships/hyperlink"/><Relationship Id="rId153" Target="http%3A%2F%2Fdx.doi.org%2F10.1016%2Fj.bjoms.2025.08.015" TargetMode="External" Type="http://schemas.openxmlformats.org/officeDocument/2006/relationships/hyperlink"/><Relationship Id="rId154" Target="https%3A%2F%2Fwww.webofscience.com%2Fwos%2Fwoscc%2Ffull-record%2FWOS%3A001674249800001" TargetMode="External" Type="http://schemas.openxmlformats.org/officeDocument/2006/relationships/hyperlink"/><Relationship Id="rId155" Target="http%3A%2F%2Fdx.doi.org%2F10.2196%2F82828" TargetMode="External" Type="http://schemas.openxmlformats.org/officeDocument/2006/relationships/hyperlink"/><Relationship Id="rId156" Target="https%3A%2F%2Fwww.webofscience.com%2Fwos%2Fwoscc%2Ffull-record%2FWOS%3A001694904500013" TargetMode="External" Type="http://schemas.openxmlformats.org/officeDocument/2006/relationships/hyperlink"/><Relationship Id="rId157" Target="http%3A%2F%2Fdx.doi.org%2F10.1038%2Fs41746-025-01615-0" TargetMode="External" Type="http://schemas.openxmlformats.org/officeDocument/2006/relationships/hyperlink"/><Relationship Id="rId158" Target="https%3A%2F%2Fwww.webofscience.com%2Fwos%2Fwoscc%2Ffull-record%2FWOS%3A001473589900003" TargetMode="External" Type="http://schemas.openxmlformats.org/officeDocument/2006/relationships/hyperlink"/><Relationship Id="rId159" Target="http%3A%2F%2Fdx.doi.org%2F10.1016%2Fj.knosys.2026.116601" TargetMode="External" Type="http://schemas.openxmlformats.org/officeDocument/2006/relationships/hyperlink"/><Relationship Id="rId16" Target="https%3A%2F%2Fwww.webofscience.com%2Fwos%2Fwoscc%2Ffull-record%2FWOS%3A001722447300002" TargetMode="External" Type="http://schemas.openxmlformats.org/officeDocument/2006/relationships/hyperlink"/><Relationship Id="rId160" Target="https%3A%2F%2Fwww.webofscience.com%2Fwos%2Fwoscc%2Ffull-record%2FWOS%3A001825310800001" TargetMode="External" Type="http://schemas.openxmlformats.org/officeDocument/2006/relationships/hyperlink"/><Relationship Id="rId161" Target="http%3A%2F%2Fdx.doi.org%2F10.2196%2F81399" TargetMode="External" Type="http://schemas.openxmlformats.org/officeDocument/2006/relationships/hyperlink"/><Relationship Id="rId162" Target="https%3A%2F%2Fwww.webofscience.com%2Fwos%2Fwoscc%2Ffull-record%2FWOS%3A001711795200001" TargetMode="External" Type="http://schemas.openxmlformats.org/officeDocument/2006/relationships/hyperlink"/><Relationship Id="rId163" Target="http%3A%2F%2Fdx.doi.org%2F10.1016%2Fj.jbi.2025.104871" TargetMode="External" Type="http://schemas.openxmlformats.org/officeDocument/2006/relationships/hyperlink"/><Relationship Id="rId164" Target="https%3A%2F%2Fwww.webofscience.com%2Fwos%2Fwoscc%2Ffull-record%2FWOS%3A001530727500001" TargetMode="External" Type="http://schemas.openxmlformats.org/officeDocument/2006/relationships/hyperlink"/><Relationship Id="rId165" Target="http%3A%2F%2Fdx.doi.org%2F10.1542%2Fpeds.2023-064683" TargetMode="External" Type="http://schemas.openxmlformats.org/officeDocument/2006/relationships/hyperlink"/><Relationship Id="rId166" Target="https%3A%2F%2Fwww.webofscience.com%2Fwos%2Fwoscc%2Ffull-record%2FWOS%3A001519905600009" TargetMode="External" Type="http://schemas.openxmlformats.org/officeDocument/2006/relationships/hyperlink"/><Relationship Id="rId167" Target="http%3A%2F%2Fdx.doi.org%2F10.1007%2Fs10618-026-01220-z" TargetMode="External" Type="http://schemas.openxmlformats.org/officeDocument/2006/relationships/hyperlink"/><Relationship Id="rId168" Target="https%3A%2F%2Fwww.webofscience.com%2Fwos%2Fwoscc%2Ffull-record%2FWOS%3A001783242600001" TargetMode="External" Type="http://schemas.openxmlformats.org/officeDocument/2006/relationships/hyperlink"/><Relationship Id="rId169" Target="http%3A%2F%2Fdx.doi.org%2F10.1038%2Fs41467-025-56989-2" TargetMode="External" Type="http://schemas.openxmlformats.org/officeDocument/2006/relationships/hyperlink"/><Relationship Id="rId17" Target="http%3A%2F%2Fdx.doi.org%2F10.3389%2Ffcvm.2025.1458289" TargetMode="External" Type="http://schemas.openxmlformats.org/officeDocument/2006/relationships/hyperlink"/><Relationship Id="rId170" Target="https%3A%2F%2Fwww.webofscience.com%2Fwos%2Fwoscc%2Ffull-record%2FWOS%3A001459702500003" TargetMode="External" Type="http://schemas.openxmlformats.org/officeDocument/2006/relationships/hyperlink"/><Relationship Id="rId171" Target="http%3A%2F%2Fdx.doi.org%2F10.3389%2Ffpubh.2026.1799204" TargetMode="External" Type="http://schemas.openxmlformats.org/officeDocument/2006/relationships/hyperlink"/><Relationship Id="rId172" Target="https%3A%2F%2Fwww.webofscience.com%2Fwos%2Fwoscc%2Ffull-record%2FWOS%3A001775194800001" TargetMode="External" Type="http://schemas.openxmlformats.org/officeDocument/2006/relationships/hyperlink"/><Relationship Id="rId173" Target="http%3A%2F%2Fdx.doi.org%2F10.1016%2Fj.jbi.2025.104942" TargetMode="External" Type="http://schemas.openxmlformats.org/officeDocument/2006/relationships/hyperlink"/><Relationship Id="rId174" Target="https%3A%2F%2Fwww.webofscience.com%2Fwos%2Fwoscc%2Ffull-record%2FWOS%3A001618568200002" TargetMode="External" Type="http://schemas.openxmlformats.org/officeDocument/2006/relationships/hyperlink"/><Relationship Id="rId175" Target="http%3A%2F%2Fdx.doi.org%2F10.2196%2F67469" TargetMode="External" Type="http://schemas.openxmlformats.org/officeDocument/2006/relationships/hyperlink"/><Relationship Id="rId176" Target="https%3A%2F%2Fwww.webofscience.com%2Fwos%2Fwoscc%2Ffull-record%2FWOS%3A001590296900003" TargetMode="External" Type="http://schemas.openxmlformats.org/officeDocument/2006/relationships/hyperlink"/><Relationship Id="rId177" Target="http%3A%2F%2Fdx.doi.org%2F10.1016%2Fj.ijmedinf.2025.106136" TargetMode="External" Type="http://schemas.openxmlformats.org/officeDocument/2006/relationships/hyperlink"/><Relationship Id="rId178" Target="https%3A%2F%2Fwww.webofscience.com%2Fwos%2Fwoscc%2Ffull-record%2FWOS%3A001601091300001" TargetMode="External" Type="http://schemas.openxmlformats.org/officeDocument/2006/relationships/hyperlink"/><Relationship Id="rId179" Target="http%3A%2F%2Fdx.doi.org%2F10.2147%2FIDR.S593763" TargetMode="External" Type="http://schemas.openxmlformats.org/officeDocument/2006/relationships/hyperlink"/><Relationship Id="rId18" Target="https%3A%2F%2Fwww.webofscience.com%2Fwos%2Fwoscc%2Ffull-record%2FWOS%3A001425772800001" TargetMode="External" Type="http://schemas.openxmlformats.org/officeDocument/2006/relationships/hyperlink"/><Relationship Id="rId180" Target="https%3A%2F%2Fwww.webofscience.com%2Fwos%2Fwoscc%2Ffull-record%2FWOS%3A001793831700001" TargetMode="External" Type="http://schemas.openxmlformats.org/officeDocument/2006/relationships/hyperlink"/><Relationship Id="rId181" Target="http%3A%2F%2Fdx.doi.org%2F10.1109%2FJBHI.2025.3528526" TargetMode="External" Type="http://schemas.openxmlformats.org/officeDocument/2006/relationships/hyperlink"/><Relationship Id="rId182" Target="https%3A%2F%2Fwww.webofscience.com%2Fwos%2Fwoscc%2Ffull-record%2FWOS%3A001504143000048" TargetMode="External" Type="http://schemas.openxmlformats.org/officeDocument/2006/relationships/hyperlink"/><Relationship Id="rId183" Target="http%3A%2F%2Fdx.doi.org%2F10.2196%2F72153" TargetMode="External" Type="http://schemas.openxmlformats.org/officeDocument/2006/relationships/hyperlink"/><Relationship Id="rId184" Target="https%3A%2F%2Fwww.webofscience.com%2Fwos%2Fwoscc%2Ffull-record%2FWOS%3A001637033400004" TargetMode="External" Type="http://schemas.openxmlformats.org/officeDocument/2006/relationships/hyperlink"/><Relationship Id="rId185" Target="http%3A%2F%2Fdx.doi.org%2F10.1089%2Faipo.2024.0043" TargetMode="External" Type="http://schemas.openxmlformats.org/officeDocument/2006/relationships/hyperlink"/><Relationship Id="rId186" Target="https%3A%2F%2Fwww.webofscience.com%2Fwos%2Fwoscc%2Ffull-record%2FWOS%3A001763258900003" TargetMode="External" Type="http://schemas.openxmlformats.org/officeDocument/2006/relationships/hyperlink"/><Relationship Id="rId187" Target="http%3A%2F%2Fdx.doi.org%2F10.1136%2Fbmjhci-2025-101959" TargetMode="External" Type="http://schemas.openxmlformats.org/officeDocument/2006/relationships/hyperlink"/><Relationship Id="rId188" Target="https%3A%2F%2Fwww.webofscience.com%2Fwos%2Fwoscc%2Ffull-record%2FWOS%3A001749114200001" TargetMode="External" Type="http://schemas.openxmlformats.org/officeDocument/2006/relationships/hyperlink"/><Relationship Id="rId189" Target="http%3A%2F%2Fdx.doi.org%2F10.3390%2Fbioengineering12121330" TargetMode="External" Type="http://schemas.openxmlformats.org/officeDocument/2006/relationships/hyperlink"/><Relationship Id="rId19" Target="http%3A%2F%2Fdx.doi.org%2F10.2196%2F76326" TargetMode="External" Type="http://schemas.openxmlformats.org/officeDocument/2006/relationships/hyperlink"/><Relationship Id="rId190" Target="https%3A%2F%2Fwww.webofscience.com%2Fwos%2Fwoscc%2Ffull-record%2FWOS%3A001646886000001" TargetMode="External" Type="http://schemas.openxmlformats.org/officeDocument/2006/relationships/hyperlink"/><Relationship Id="rId191" Target="http%3A%2F%2Fdx.doi.org%2F10.3390%2Felectronics14112164" TargetMode="External" Type="http://schemas.openxmlformats.org/officeDocument/2006/relationships/hyperlink"/><Relationship Id="rId192" Target="https%3A%2F%2Fwww.webofscience.com%2Fwos%2Fwoscc%2Ffull-record%2FWOS%3A001505890500001" TargetMode="External" Type="http://schemas.openxmlformats.org/officeDocument/2006/relationships/hyperlink"/><Relationship Id="rId193" Target="http%3A%2F%2Fdx.doi.org%2F10.1016%2Fj.jos.2025.03.003" TargetMode="External" Type="http://schemas.openxmlformats.org/officeDocument/2006/relationships/hyperlink"/><Relationship Id="rId194" Target="https%3A%2F%2Fwww.webofscience.com%2Fwos%2Fwoscc%2Ffull-record%2FWOS%3A001627207100025" TargetMode="External" Type="http://schemas.openxmlformats.org/officeDocument/2006/relationships/hyperlink"/><Relationship Id="rId195" Target="http%3A%2F%2Fdx.doi.org%2F10.3389%2Ffcell.2026.1754221" TargetMode="External" Type="http://schemas.openxmlformats.org/officeDocument/2006/relationships/hyperlink"/><Relationship Id="rId196" Target="https%3A%2F%2Fwww.webofscience.com%2Fwos%2Fwoscc%2Ffull-record%2FWOS%3A001735083100001" TargetMode="External" Type="http://schemas.openxmlformats.org/officeDocument/2006/relationships/hyperlink"/><Relationship Id="rId197" Target="http%3A%2F%2Fdx.doi.org%2F10.1055%2Fa-2641-3059" TargetMode="External" Type="http://schemas.openxmlformats.org/officeDocument/2006/relationships/hyperlink"/><Relationship Id="rId198" Target="https%3A%2F%2Fwww.webofscience.com%2Fwos%2Fwoscc%2Ffull-record%2FWOS%3A001530303600001" TargetMode="External" Type="http://schemas.openxmlformats.org/officeDocument/2006/relationships/hyperlink"/><Relationship Id="rId199" Target="http%3A%2F%2Fdx.doi.org%2F10.1007%2Fs00701-025-06631-3" TargetMode="External" Type="http://schemas.openxmlformats.org/officeDocument/2006/relationships/hyperlink"/><Relationship Id="rId2" Target="https%3A%2F%2Fwww.webofscience.com%2Fwos%2Fwoscc%2Ffull-record%2FWOS%3A001513537600002" TargetMode="External" Type="http://schemas.openxmlformats.org/officeDocument/2006/relationships/hyperlink"/><Relationship Id="rId20" Target="https%3A%2F%2Fwww.webofscience.com%2Fwos%2Fwoscc%2Ffull-record%2FWOS%3A001634505900001" TargetMode="External" Type="http://schemas.openxmlformats.org/officeDocument/2006/relationships/hyperlink"/><Relationship Id="rId200" Target="https%3A%2F%2Fwww.webofscience.com%2Fwos%2Fwoscc%2Ffull-record%2FWOS%3A001542024200002" TargetMode="External" Type="http://schemas.openxmlformats.org/officeDocument/2006/relationships/hyperlink"/><Relationship Id="rId201" Target="http%3A%2F%2Fdx.doi.org%2F10.1007%2Fs00330-025-11484-6" TargetMode="External" Type="http://schemas.openxmlformats.org/officeDocument/2006/relationships/hyperlink"/><Relationship Id="rId202" Target="https%3A%2F%2Fwww.webofscience.com%2Fwos%2Fwoscc%2Ffull-record%2FWOS%3A001439071600001" TargetMode="External" Type="http://schemas.openxmlformats.org/officeDocument/2006/relationships/hyperlink"/><Relationship Id="rId203" Target="http%3A%2F%2Fdx.doi.org%2F10.3390%2Fbioengineering12080818" TargetMode="External" Type="http://schemas.openxmlformats.org/officeDocument/2006/relationships/hyperlink"/><Relationship Id="rId204" Target="https%3A%2F%2Fwww.webofscience.com%2Fwos%2Fwoscc%2Ffull-record%2FWOS%3A001557822400001" TargetMode="External" Type="http://schemas.openxmlformats.org/officeDocument/2006/relationships/hyperlink"/><Relationship Id="rId205" Target="http%3A%2F%2Fdx.doi.org%2F10.2196%2F86864" TargetMode="External" Type="http://schemas.openxmlformats.org/officeDocument/2006/relationships/hyperlink"/><Relationship Id="rId206" Target="https%3A%2F%2Fwww.webofscience.com%2Fwos%2Fwoscc%2Ffull-record%2FWOS%3A001828713200002" TargetMode="External" Type="http://schemas.openxmlformats.org/officeDocument/2006/relationships/hyperlink"/><Relationship Id="rId207" Target="http%3A%2F%2Fdx.doi.org%2F10.1016%2Fj.jbi.2026.104993" TargetMode="External" Type="http://schemas.openxmlformats.org/officeDocument/2006/relationships/hyperlink"/><Relationship Id="rId208" Target="https%3A%2F%2Fwww.webofscience.com%2Fwos%2Fwoscc%2Ffull-record%2FWOS%3A001679753700001" TargetMode="External" Type="http://schemas.openxmlformats.org/officeDocument/2006/relationships/hyperlink"/><Relationship Id="rId209" Target="http%3A%2F%2Fdx.doi.org%2F10.2106%2FJBJS.23.00473" TargetMode="External" Type="http://schemas.openxmlformats.org/officeDocument/2006/relationships/hyperlink"/><Relationship Id="rId21" Target="http%3A%2F%2Fdx.doi.org%2F10.3389%2Ffrai.2025.1623339" TargetMode="External" Type="http://schemas.openxmlformats.org/officeDocument/2006/relationships/hyperlink"/><Relationship Id="rId210" Target="https%3A%2F%2Fwww.webofscience.com%2Fwos%2Fwoscc%2Ffull-record%2FWOS%3A001444262300001" TargetMode="External" Type="http://schemas.openxmlformats.org/officeDocument/2006/relationships/hyperlink"/><Relationship Id="rId211" Target="http%3A%2F%2Fdx.doi.org%2F10.1002%2Fcyto.b.70051" TargetMode="External" Type="http://schemas.openxmlformats.org/officeDocument/2006/relationships/hyperlink"/><Relationship Id="rId212" Target="https%3A%2F%2Fwww.webofscience.com%2Fwos%2Fwoscc%2Ffull-record%2FWOS%3A001815780000001" TargetMode="External" Type="http://schemas.openxmlformats.org/officeDocument/2006/relationships/hyperlink"/><Relationship Id="rId213" Target="http%3A%2F%2Fdx.doi.org%2F10.1093%2Fjrr%2Frrag019" TargetMode="External" Type="http://schemas.openxmlformats.org/officeDocument/2006/relationships/hyperlink"/><Relationship Id="rId214" Target="https%3A%2F%2Fwww.webofscience.com%2Fwos%2Fwoscc%2Ffull-record%2FWOS%3A001759757800001" TargetMode="External" Type="http://schemas.openxmlformats.org/officeDocument/2006/relationships/hyperlink"/><Relationship Id="rId215" Target="http%3A%2F%2Fdx.doi.org%2F10.3389%2Ffdgth.2026.1761601" TargetMode="External" Type="http://schemas.openxmlformats.org/officeDocument/2006/relationships/hyperlink"/><Relationship Id="rId216" Target="https%3A%2F%2Fwww.webofscience.com%2Fwos%2Fwoscc%2Ffull-record%2FWOS%3A001715836100001" TargetMode="External" Type="http://schemas.openxmlformats.org/officeDocument/2006/relationships/hyperlink"/><Relationship Id="rId217" Target="http%3A%2F%2Fdx.doi.org%2F10.1007%2Fs40123-025-01105-2" TargetMode="External" Type="http://schemas.openxmlformats.org/officeDocument/2006/relationships/hyperlink"/><Relationship Id="rId218" Target="https%3A%2F%2Fwww.webofscience.com%2Fwos%2Fwoscc%2Ffull-record%2FWOS%3A001428540500001" TargetMode="External" Type="http://schemas.openxmlformats.org/officeDocument/2006/relationships/hyperlink"/><Relationship Id="rId219" Target="http%3A%2F%2Fdx.doi.org%2F10.2196%2F59823" TargetMode="External" Type="http://schemas.openxmlformats.org/officeDocument/2006/relationships/hyperlink"/><Relationship Id="rId22" Target="https%3A%2F%2Fwww.webofscience.com%2Fwos%2Fwoscc%2Ffull-record%2FWOS%3A001590402600001" TargetMode="External" Type="http://schemas.openxmlformats.org/officeDocument/2006/relationships/hyperlink"/><Relationship Id="rId220" Target="https%3A%2F%2Fwww.webofscience.com%2Fwos%2Fwoscc%2Ffull-record%2FWOS%3A001415529800001" TargetMode="External" Type="http://schemas.openxmlformats.org/officeDocument/2006/relationships/hyperlink"/><Relationship Id="rId221" Target="http%3A%2F%2Fdx.doi.org%2F10.3390%2Finventions10040055" TargetMode="External" Type="http://schemas.openxmlformats.org/officeDocument/2006/relationships/hyperlink"/><Relationship Id="rId222" Target="https%3A%2F%2Fwww.webofscience.com%2Fwos%2Fwoscc%2Ffull-record%2FWOS%3A001557716300001" TargetMode="External" Type="http://schemas.openxmlformats.org/officeDocument/2006/relationships/hyperlink"/><Relationship Id="rId223" Target="http%3A%2F%2Fdx.doi.org%2F10.1186%2Fs12874-025-02470-z" TargetMode="External" Type="http://schemas.openxmlformats.org/officeDocument/2006/relationships/hyperlink"/><Relationship Id="rId224" Target="https%3A%2F%2Fwww.webofscience.com%2Fwos%2Fwoscc%2Ffull-record%2FWOS%3A001406630100001" TargetMode="External" Type="http://schemas.openxmlformats.org/officeDocument/2006/relationships/hyperlink"/><Relationship Id="rId225" Target="http%3A%2F%2Fdx.doi.org%2F10.1093%2Fjamiaopen%2Fooag078" TargetMode="External" Type="http://schemas.openxmlformats.org/officeDocument/2006/relationships/hyperlink"/><Relationship Id="rId226" Target="https%3A%2F%2Fwww.webofscience.com%2Fwos%2Fwoscc%2Ffull-record%2FWOS%3A001795182800001" TargetMode="External" Type="http://schemas.openxmlformats.org/officeDocument/2006/relationships/hyperlink"/><Relationship Id="rId227" Target="http%3A%2F%2Fdx.doi.org%2F10.1002%2Faisy.202500255" TargetMode="External" Type="http://schemas.openxmlformats.org/officeDocument/2006/relationships/hyperlink"/><Relationship Id="rId228" Target="https%3A%2F%2Fwww.webofscience.com%2Fwos%2Fwoscc%2Ffull-record%2FWOS%3A001531939500001" TargetMode="External" Type="http://schemas.openxmlformats.org/officeDocument/2006/relationships/hyperlink"/><Relationship Id="rId229" Target="http%3A%2F%2Fdx.doi.org%2F10.3389%2Ffrai.2025.1691499" TargetMode="External" Type="http://schemas.openxmlformats.org/officeDocument/2006/relationships/hyperlink"/><Relationship Id="rId23" Target="http%3A%2F%2Fdx.doi.org%2F10.1186%2Fs13020-025-01295-8" TargetMode="External" Type="http://schemas.openxmlformats.org/officeDocument/2006/relationships/hyperlink"/><Relationship Id="rId230" Target="https%3A%2F%2Fwww.webofscience.com%2Fwos%2Fwoscc%2Ffull-record%2FWOS%3A001608594900001" TargetMode="External" Type="http://schemas.openxmlformats.org/officeDocument/2006/relationships/hyperlink"/><Relationship Id="rId231" Target="http%3A%2F%2Fdx.doi.org%2F10.1016%2Fj.jbi.2024.104724" TargetMode="External" Type="http://schemas.openxmlformats.org/officeDocument/2006/relationships/hyperlink"/><Relationship Id="rId232" Target="https%3A%2F%2Fwww.webofscience.com%2Fwos%2Fwoscc%2Ffull-record%2FWOS%3A001318952000001" TargetMode="External" Type="http://schemas.openxmlformats.org/officeDocument/2006/relationships/hyperlink"/><Relationship Id="rId233" Target="http%3A%2F%2Fdx.doi.org%2F10.1055%2Fa-2491-3872" TargetMode="External" Type="http://schemas.openxmlformats.org/officeDocument/2006/relationships/hyperlink"/><Relationship Id="rId234" Target="https%3A%2F%2Fwww.webofscience.com%2Fwos%2Fwoscc%2Ffull-record%2FWOS%3A001468776700002" TargetMode="External" Type="http://schemas.openxmlformats.org/officeDocument/2006/relationships/hyperlink"/><Relationship Id="rId235" Target="http%3A%2F%2Fdx.doi.org%2F10.1038%2Fs41746-026-02443-6" TargetMode="External" Type="http://schemas.openxmlformats.org/officeDocument/2006/relationships/hyperlink"/><Relationship Id="rId236" Target="https%3A%2F%2Fwww.webofscience.com%2Fwos%2Fwoscc%2Ffull-record%2FWOS%3A001727552300001" TargetMode="External" Type="http://schemas.openxmlformats.org/officeDocument/2006/relationships/hyperlink"/><Relationship Id="rId237" Target="http%3A%2F%2Fdx.doi.org%2F10.1007%2Fs00467-025-06819-w" TargetMode="External" Type="http://schemas.openxmlformats.org/officeDocument/2006/relationships/hyperlink"/><Relationship Id="rId238" Target="https%3A%2F%2Fwww.webofscience.com%2Fwos%2Fwoscc%2Ffull-record%2FWOS%3A001501518600001" TargetMode="External" Type="http://schemas.openxmlformats.org/officeDocument/2006/relationships/hyperlink"/><Relationship Id="rId239" Target="http%3A%2F%2Fdx.doi.org%2F10.1016%2Fj.acra.2026.04.021" TargetMode="External" Type="http://schemas.openxmlformats.org/officeDocument/2006/relationships/hyperlink"/><Relationship Id="rId24" Target="https%3A%2F%2Fwww.webofscience.com%2Fwos%2Fwoscc%2Ffull-record%2FWOS%3A001667077000001" TargetMode="External" Type="http://schemas.openxmlformats.org/officeDocument/2006/relationships/hyperlink"/><Relationship Id="rId240" Target="https%3A%2F%2Fwww.webofscience.com%2Fwos%2Fwoscc%2Ffull-record%2FWOS%3A001834858800001" TargetMode="External" Type="http://schemas.openxmlformats.org/officeDocument/2006/relationships/hyperlink"/><Relationship Id="rId241" Target="http%3A%2F%2Fdx.doi.org%2F10.1016%2Fj.jad.2026.121405" TargetMode="External" Type="http://schemas.openxmlformats.org/officeDocument/2006/relationships/hyperlink"/><Relationship Id="rId242" Target="https%3A%2F%2Fwww.webofscience.com%2Fwos%2Fwoscc%2Ffull-record%2FWOS%3A001698138100001" TargetMode="External" Type="http://schemas.openxmlformats.org/officeDocument/2006/relationships/hyperlink"/><Relationship Id="rId243" Target="http%3A%2F%2Fdx.doi.org%2F10.1109%2FACCESS.2025.3623796" TargetMode="External" Type="http://schemas.openxmlformats.org/officeDocument/2006/relationships/hyperlink"/><Relationship Id="rId244" Target="https%3A%2F%2Fwww.webofscience.com%2Fwos%2Fwoscc%2Ffull-record%2FWOS%3A001605291400005" TargetMode="External" Type="http://schemas.openxmlformats.org/officeDocument/2006/relationships/hyperlink"/><Relationship Id="rId245" Target="http%3A%2F%2Fdx.doi.org%2F10.1097%2FHEP.0000000000000834" TargetMode="External" Type="http://schemas.openxmlformats.org/officeDocument/2006/relationships/hyperlink"/><Relationship Id="rId246" Target="https%3A%2F%2Fwww.webofscience.com%2Fwos%2Fwoscc%2Ffull-record%2FWOS%3A001198383800001" TargetMode="External" Type="http://schemas.openxmlformats.org/officeDocument/2006/relationships/hyperlink"/><Relationship Id="rId247" Target="http%3A%2F%2Fdx.doi.org%2F10.1177%2F10966218261438105" TargetMode="External" Type="http://schemas.openxmlformats.org/officeDocument/2006/relationships/hyperlink"/><Relationship Id="rId248" Target="https%3A%2F%2Fwww.webofscience.com%2Fwos%2Fwoscc%2Ffull-record%2FWOS%3A001748291400001" TargetMode="External" Type="http://schemas.openxmlformats.org/officeDocument/2006/relationships/hyperlink"/><Relationship Id="rId249" Target="http%3A%2F%2Fdx.doi.org%2F10.2196%2F88567" TargetMode="External" Type="http://schemas.openxmlformats.org/officeDocument/2006/relationships/hyperlink"/><Relationship Id="rId25" Target="http%3A%2F%2Fdx.doi.org%2F10.1088%2F1361-6560%2Fadbff1" TargetMode="External" Type="http://schemas.openxmlformats.org/officeDocument/2006/relationships/hyperlink"/><Relationship Id="rId250" Target="https%3A%2F%2Fwww.webofscience.com%2Fwos%2Fwoscc%2Ffull-record%2FWOS%3A001792107700001" TargetMode="External" Type="http://schemas.openxmlformats.org/officeDocument/2006/relationships/hyperlink"/><Relationship Id="rId251" Target="http%3A%2F%2Fdx.doi.org%2F10.1088%2F1361-6560%2Fadcb17" TargetMode="External" Type="http://schemas.openxmlformats.org/officeDocument/2006/relationships/hyperlink"/><Relationship Id="rId252" Target="https%3A%2F%2Fwww.webofscience.com%2Fwos%2Fwoscc%2Ffull-record%2FWOS%3A001480266600001" TargetMode="External" Type="http://schemas.openxmlformats.org/officeDocument/2006/relationships/hyperlink"/><Relationship Id="rId253" Target="http%3A%2F%2Fdx.doi.org%2F10.1016%2Fj.acra.2025.10.043" TargetMode="External" Type="http://schemas.openxmlformats.org/officeDocument/2006/relationships/hyperlink"/><Relationship Id="rId254" Target="https%3A%2F%2Fwww.webofscience.com%2Fwos%2Fwoscc%2Ffull-record%2FWOS%3A001675061700001" TargetMode="External" Type="http://schemas.openxmlformats.org/officeDocument/2006/relationships/hyperlink"/><Relationship Id="rId255" Target="http%3A%2F%2Fdx.doi.org%2F10.1007%2Fs44186-024-00303-z" TargetMode="External" Type="http://schemas.openxmlformats.org/officeDocument/2006/relationships/hyperlink"/><Relationship Id="rId256" Target="https%3A%2F%2Fwww.webofscience.com%2Fwos%2Fwoscc%2Ffull-record%2FWOS%3A001489681500001" TargetMode="External" Type="http://schemas.openxmlformats.org/officeDocument/2006/relationships/hyperlink"/><Relationship Id="rId257" Target="http%3A%2F%2Fdx.doi.org%2F10.3389%2Ffmed.2026.1874243" TargetMode="External" Type="http://schemas.openxmlformats.org/officeDocument/2006/relationships/hyperlink"/><Relationship Id="rId258" Target="https%3A%2F%2Fwww.webofscience.com%2Fwos%2Fwoscc%2Ffull-record%2FWOS%3A001835402800001" TargetMode="External" Type="http://schemas.openxmlformats.org/officeDocument/2006/relationships/hyperlink"/><Relationship Id="rId259" Target="http%3A%2F%2Fdx.doi.org%2F10.2196%2F73857" TargetMode="External" Type="http://schemas.openxmlformats.org/officeDocument/2006/relationships/hyperlink"/><Relationship Id="rId26" Target="https%3A%2F%2Fwww.webofscience.com%2Fwos%2Fwoscc%2Ffull-record%2FWOS%3A001469440600001" TargetMode="External" Type="http://schemas.openxmlformats.org/officeDocument/2006/relationships/hyperlink"/><Relationship Id="rId260" Target="https%3A%2F%2Fwww.webofscience.com%2Fwos%2Fwoscc%2Ffull-record%2FWOS%3A001621732900003" TargetMode="External" Type="http://schemas.openxmlformats.org/officeDocument/2006/relationships/hyperlink"/><Relationship Id="rId261" Target="http%3A%2F%2Fdx.doi.org%2F10.4258%2Fhir.2025.31.2.166" TargetMode="External" Type="http://schemas.openxmlformats.org/officeDocument/2006/relationships/hyperlink"/><Relationship Id="rId262" Target="https%3A%2F%2Fwww.webofscience.com%2Fwos%2Fwoscc%2Ffull-record%2FWOS%3A001491951600007" TargetMode="External" Type="http://schemas.openxmlformats.org/officeDocument/2006/relationships/hyperlink"/><Relationship Id="rId263" Target="http%3A%2F%2Fdx.doi.org%2F10.3389%2Ffdgth.2025.1569554" TargetMode="External" Type="http://schemas.openxmlformats.org/officeDocument/2006/relationships/hyperlink"/><Relationship Id="rId264" Target="https%3A%2F%2Fwww.webofscience.com%2Fwos%2Fwoscc%2Ffull-record%2FWOS%3A001485758800001" TargetMode="External" Type="http://schemas.openxmlformats.org/officeDocument/2006/relationships/hyperlink"/><Relationship Id="rId265" Target="http%3A%2F%2Fdx.doi.org%2F10.1038%2Fs41598-026-41439-w" TargetMode="External" Type="http://schemas.openxmlformats.org/officeDocument/2006/relationships/hyperlink"/><Relationship Id="rId266" Target="https%3A%2F%2Fwww.webofscience.com%2Fwos%2Fwoscc%2Ffull-record%2FWOS%3A001753339000013" TargetMode="External" Type="http://schemas.openxmlformats.org/officeDocument/2006/relationships/hyperlink"/><Relationship Id="rId267" Target="http%3A%2F%2Fdx.doi.org%2F10.2196%2F70190" TargetMode="External" Type="http://schemas.openxmlformats.org/officeDocument/2006/relationships/hyperlink"/><Relationship Id="rId268" Target="https%3A%2F%2Fwww.webofscience.com%2Fwos%2Fwoscc%2Ffull-record%2FWOS%3A001633224100001" TargetMode="External" Type="http://schemas.openxmlformats.org/officeDocument/2006/relationships/hyperlink"/><Relationship Id="rId269" Target="http%3A%2F%2Fdx.doi.org%2F10.1145%2F3686807" TargetMode="External" Type="http://schemas.openxmlformats.org/officeDocument/2006/relationships/hyperlink"/><Relationship Id="rId27" Target="http%3A%2F%2Fdx.doi.org%2F10.1007%2Fs10278-026-01880-9" TargetMode="External" Type="http://schemas.openxmlformats.org/officeDocument/2006/relationships/hyperlink"/><Relationship Id="rId270" Target="https%3A%2F%2Fwww.webofscience.com%2Fwos%2Fwoscc%2Ffull-record%2FWOS%3A001433512200004" TargetMode="External" Type="http://schemas.openxmlformats.org/officeDocument/2006/relationships/hyperlink"/><Relationship Id="rId271" Target="http%3A%2F%2Fdx.doi.org%2F10.1016%2Fj.mcpdig.2024.09.006" TargetMode="External" Type="http://schemas.openxmlformats.org/officeDocument/2006/relationships/hyperlink"/><Relationship Id="rId272" Target="https%3A%2F%2Fwww.webofscience.com%2Fwos%2Fwoscc%2Ffull-record%2FWOS%3A001578058800018" TargetMode="External" Type="http://schemas.openxmlformats.org/officeDocument/2006/relationships/hyperlink"/><Relationship Id="rId273" Target="http%3A%2F%2Fdx.doi.org%2F10.1016%2Fj.hlpt.2026.101183" TargetMode="External" Type="http://schemas.openxmlformats.org/officeDocument/2006/relationships/hyperlink"/><Relationship Id="rId274" Target="https%3A%2F%2Fwww.webofscience.com%2Fwos%2Fwoscc%2Ffull-record%2FWOS%3A001716296700001" TargetMode="External" Type="http://schemas.openxmlformats.org/officeDocument/2006/relationships/hyperlink"/><Relationship Id="rId275" Target="http%3A%2F%2Fdx.doi.org%2F10.1016%2Fj.cpet.2025.09.009" TargetMode="External" Type="http://schemas.openxmlformats.org/officeDocument/2006/relationships/hyperlink"/><Relationship Id="rId276" Target="https%3A%2F%2Fwww.webofscience.com%2Fwos%2Fwoscc%2Ffull-record%2FWOS%3A001627002900004" TargetMode="External" Type="http://schemas.openxmlformats.org/officeDocument/2006/relationships/hyperlink"/><Relationship Id="rId277" Target="http%3A%2F%2Fdx.doi.org%2F10.1186%2Fs13018-025-05955-1" TargetMode="External" Type="http://schemas.openxmlformats.org/officeDocument/2006/relationships/hyperlink"/><Relationship Id="rId278" Target="https%3A%2F%2Fwww.webofscience.com%2Fwos%2Fwoscc%2Ffull-record%2FWOS%3A001498558800001" TargetMode="External" Type="http://schemas.openxmlformats.org/officeDocument/2006/relationships/hyperlink"/><Relationship Id="rId279" Target="http%3A%2F%2Fdx.doi.org%2F10.3389%2Ffonc.2026.1808714" TargetMode="External" Type="http://schemas.openxmlformats.org/officeDocument/2006/relationships/hyperlink"/><Relationship Id="rId28" Target="https%3A%2F%2Fwww.webofscience.com%2Fwos%2Fwoscc%2Ffull-record%2FWOS%3A001699093000001" TargetMode="External" Type="http://schemas.openxmlformats.org/officeDocument/2006/relationships/hyperlink"/><Relationship Id="rId280" Target="https%3A%2F%2Fwww.webofscience.com%2Fwos%2Fwoscc%2Ffull-record%2FWOS%3A001808629200001" TargetMode="External" Type="http://schemas.openxmlformats.org/officeDocument/2006/relationships/hyperlink"/><Relationship Id="rId281" Target="http%3A%2F%2Fdx.doi.org%2F10.1007%2Fs12672-025-02005-4" TargetMode="External" Type="http://schemas.openxmlformats.org/officeDocument/2006/relationships/hyperlink"/><Relationship Id="rId282" Target="https%3A%2F%2Fwww.webofscience.com%2Fwos%2Fwoscc%2Ffull-record%2FWOS%3A001432321900001" TargetMode="External" Type="http://schemas.openxmlformats.org/officeDocument/2006/relationships/hyperlink"/><Relationship Id="rId283" Target="http%3A%2F%2Fdx.doi.org%2F10.1007%2Fs11695-026-08578-5" TargetMode="External" Type="http://schemas.openxmlformats.org/officeDocument/2006/relationships/hyperlink"/><Relationship Id="rId284" Target="https%3A%2F%2Fwww.webofscience.com%2Fwos%2Fwoscc%2Ffull-record%2FWOS%3A001715625000001" TargetMode="External" Type="http://schemas.openxmlformats.org/officeDocument/2006/relationships/hyperlink"/><Relationship Id="rId285" Target="http%3A%2F%2Fdx.doi.org%2F10.2196%2F93393" TargetMode="External" Type="http://schemas.openxmlformats.org/officeDocument/2006/relationships/hyperlink"/><Relationship Id="rId286" Target="https%3A%2F%2Fwww.webofscience.com%2Fwos%2Fwoscc%2Ffull-record%2FWOS%3A001844579300004" TargetMode="External" Type="http://schemas.openxmlformats.org/officeDocument/2006/relationships/hyperlink"/><Relationship Id="rId287" Target="http%3A%2F%2Fdx.doi.org%2F10.1093%2Fjamiaopen%2Fooag017" TargetMode="External" Type="http://schemas.openxmlformats.org/officeDocument/2006/relationships/hyperlink"/><Relationship Id="rId288" Target="https%3A%2F%2Fwww.webofscience.com%2Fwos%2Fwoscc%2Ffull-record%2FWOS%3A001696983400001" TargetMode="External" Type="http://schemas.openxmlformats.org/officeDocument/2006/relationships/hyperlink"/><Relationship Id="rId289" Target="http%3A%2F%2Fdx.doi.org%2F10.1109%2FTCSS.2026.3661295" TargetMode="External" Type="http://schemas.openxmlformats.org/officeDocument/2006/relationships/hyperlink"/><Relationship Id="rId29" Target="http%3A%2F%2Fdx.doi.org%2F10.1093%2Fjamiaopen%2Fooag119" TargetMode="External" Type="http://schemas.openxmlformats.org/officeDocument/2006/relationships/hyperlink"/><Relationship Id="rId290" Target="https%3A%2F%2Fwww.webofscience.com%2Fwos%2Fwoscc%2Ffull-record%2FWOS%3A001727399100001" TargetMode="External" Type="http://schemas.openxmlformats.org/officeDocument/2006/relationships/hyperlink"/><Relationship Id="rId291" Target="http%3A%2F%2Fdx.doi.org%2F10.1016%2Fj.is.2025.102620" TargetMode="External" Type="http://schemas.openxmlformats.org/officeDocument/2006/relationships/hyperlink"/><Relationship Id="rId292" Target="https%3A%2F%2Fwww.webofscience.com%2Fwos%2Fwoscc%2Ffull-record%2FWOS%3A001577795500001" TargetMode="External" Type="http://schemas.openxmlformats.org/officeDocument/2006/relationships/hyperlink"/><Relationship Id="rId293" Target="http%3A%2F%2Fdx.doi.org%2F10.34133%2Fcsbj.0151" TargetMode="External" Type="http://schemas.openxmlformats.org/officeDocument/2006/relationships/hyperlink"/><Relationship Id="rId294" Target="https%3A%2F%2Fwww.webofscience.com%2Fwos%2Fwoscc%2Ffull-record%2FWOS%3A001845390700001" TargetMode="External" Type="http://schemas.openxmlformats.org/officeDocument/2006/relationships/hyperlink"/><Relationship Id="rId295" Target="http%3A%2F%2Fdx.doi.org%2F10.1038%2Fs41598-025-09138-0" TargetMode="External" Type="http://schemas.openxmlformats.org/officeDocument/2006/relationships/hyperlink"/><Relationship Id="rId296" Target="https%3A%2F%2Fwww.webofscience.com%2Fwos%2Fwoscc%2Ffull-record%2FWOS%3A001541577700003" TargetMode="External" Type="http://schemas.openxmlformats.org/officeDocument/2006/relationships/hyperlink"/><Relationship Id="rId297" Target="http%3A%2F%2Fdx.doi.org%2F10.2196%2F78432" TargetMode="External" Type="http://schemas.openxmlformats.org/officeDocument/2006/relationships/hyperlink"/><Relationship Id="rId298" Target="https%3A%2F%2Fwww.webofscience.com%2Fwos%2Fwoscc%2Ffull-record%2FWOS%3A001635976700001" TargetMode="External" Type="http://schemas.openxmlformats.org/officeDocument/2006/relationships/hyperlink"/><Relationship Id="rId299" Target="http%3A%2F%2Fdx.doi.org%2F10.1002%2Fohn.70309" TargetMode="External" Type="http://schemas.openxmlformats.org/officeDocument/2006/relationships/hyperlink"/><Relationship Id="rId3" Target="http%3A%2F%2Fdx.doi.org%2F10.3390%2Fjcm15134932" TargetMode="External" Type="http://schemas.openxmlformats.org/officeDocument/2006/relationships/hyperlink"/><Relationship Id="rId30" Target="https%3A%2F%2Fwww.webofscience.com%2Fwos%2Fwoscc%2Ffull-record%2FWOS%3A001804794600001" TargetMode="External" Type="http://schemas.openxmlformats.org/officeDocument/2006/relationships/hyperlink"/><Relationship Id="rId300" Target="https%3A%2F%2Fwww.webofscience.com%2Fwos%2Fwoscc%2Ffull-record%2FWOS%3A001777999100001" TargetMode="External" Type="http://schemas.openxmlformats.org/officeDocument/2006/relationships/hyperlink"/><Relationship Id="rId301" Target="http%3A%2F%2Fdx.doi.org%2F10.2196%2F86145" TargetMode="External" Type="http://schemas.openxmlformats.org/officeDocument/2006/relationships/hyperlink"/><Relationship Id="rId302" Target="https%3A%2F%2Fwww.webofscience.com%2Fwos%2Fwoscc%2Ffull-record%2FWOS%3A001835224600003" TargetMode="External" Type="http://schemas.openxmlformats.org/officeDocument/2006/relationships/hyperlink"/><Relationship Id="rId303" Target="http%3A%2F%2Fdx.doi.org%2F10.1007%2Fs00296-025-06053-5" TargetMode="External" Type="http://schemas.openxmlformats.org/officeDocument/2006/relationships/hyperlink"/><Relationship Id="rId304" Target="https%3A%2F%2Fwww.webofscience.com%2Fwos%2Fwoscc%2Ffull-record%2FWOS%3A001633461600003" TargetMode="External" Type="http://schemas.openxmlformats.org/officeDocument/2006/relationships/hyperlink"/><Relationship Id="rId305" Target="http%3A%2F%2Fdx.doi.org%2F10.2196%2F78838" TargetMode="External" Type="http://schemas.openxmlformats.org/officeDocument/2006/relationships/hyperlink"/><Relationship Id="rId306" Target="https%3A%2F%2Fwww.webofscience.com%2Fwos%2Fwoscc%2Ffull-record%2FWOS%3A001709758500003" TargetMode="External" Type="http://schemas.openxmlformats.org/officeDocument/2006/relationships/hyperlink"/><Relationship Id="rId307" Target="http%3A%2F%2Fdx.doi.org%2F10.1177%2F00031348261471464" TargetMode="External" Type="http://schemas.openxmlformats.org/officeDocument/2006/relationships/hyperlink"/><Relationship Id="rId308" Target="https%3A%2F%2Fwww.webofscience.com%2Fwos%2Fwoscc%2Ffull-record%2FWOS%3A001830908100001" TargetMode="External" Type="http://schemas.openxmlformats.org/officeDocument/2006/relationships/hyperlink"/><Relationship Id="rId309" Target="http%3A%2F%2Fdx.doi.org%2F10.2196%2F75052" TargetMode="External" Type="http://schemas.openxmlformats.org/officeDocument/2006/relationships/hyperlink"/><Relationship Id="rId31" Target="http%3A%2F%2Fdx.doi.org%2F10.1186%2Fs12911-026-03586-y" TargetMode="External" Type="http://schemas.openxmlformats.org/officeDocument/2006/relationships/hyperlink"/><Relationship Id="rId310" Target="https%3A%2F%2Fwww.webofscience.com%2Fwos%2Fwoscc%2Ffull-record%2FWOS%3A001513740800001" TargetMode="External" Type="http://schemas.openxmlformats.org/officeDocument/2006/relationships/hyperlink"/><Relationship Id="rId311" Target="http%3A%2F%2Fdx.doi.org%2F10.1016%2Fj.jpainsymman.2024.11.016" TargetMode="External" Type="http://schemas.openxmlformats.org/officeDocument/2006/relationships/hyperlink"/><Relationship Id="rId312" Target="https%3A%2F%2Fwww.webofscience.com%2Fwos%2Fwoscc%2Ffull-record%2FWOS%3A001422708600001" TargetMode="External" Type="http://schemas.openxmlformats.org/officeDocument/2006/relationships/hyperlink"/><Relationship Id="rId313" Target="http%3A%2F%2Fdx.doi.org%2F10.3390%2Fbioengineering13040378" TargetMode="External" Type="http://schemas.openxmlformats.org/officeDocument/2006/relationships/hyperlink"/><Relationship Id="rId314" Target="https%3A%2F%2Fwww.webofscience.com%2Fwos%2Fwoscc%2Ffull-record%2FWOS%3A001751099800001" TargetMode="External" Type="http://schemas.openxmlformats.org/officeDocument/2006/relationships/hyperlink"/><Relationship Id="rId315" Target="http%3A%2F%2Fdx.doi.org%2F10.1016%2Fj.clinimag.2025.110557" TargetMode="External" Type="http://schemas.openxmlformats.org/officeDocument/2006/relationships/hyperlink"/><Relationship Id="rId316" Target="https%3A%2F%2Fwww.webofscience.com%2Fwos%2Fwoscc%2Ffull-record%2FWOS%3A001532910400001" TargetMode="External" Type="http://schemas.openxmlformats.org/officeDocument/2006/relationships/hyperlink"/><Relationship Id="rId317" Target="http%3A%2F%2Fdx.doi.org%2F10.1016%2Fj.jdent.2026.106828" TargetMode="External" Type="http://schemas.openxmlformats.org/officeDocument/2006/relationships/hyperlink"/><Relationship Id="rId318" Target="https%3A%2F%2Fwww.webofscience.com%2Fwos%2Fwoscc%2Ffull-record%2FWOS%3A001843998200001" TargetMode="External" Type="http://schemas.openxmlformats.org/officeDocument/2006/relationships/hyperlink"/><Relationship Id="rId319" Target="http%3A%2F%2Fdx.doi.org%2F10.1159%2F000551433" TargetMode="External" Type="http://schemas.openxmlformats.org/officeDocument/2006/relationships/hyperlink"/><Relationship Id="rId32" Target="https%3A%2F%2Fwww.webofscience.com%2Fwos%2Fwoscc%2Ffull-record%2FWOS%3A001807315200001" TargetMode="External" Type="http://schemas.openxmlformats.org/officeDocument/2006/relationships/hyperlink"/><Relationship Id="rId320" Target="https%3A%2F%2Fwww.webofscience.com%2Fwos%2Fwoscc%2Ffull-record%2FWOS%3A001795898700001" TargetMode="External" Type="http://schemas.openxmlformats.org/officeDocument/2006/relationships/hyperlink"/><Relationship Id="rId321" Target="http%3A%2F%2Fdx.doi.org%2F10.3389%2Ffpsyt.2026.1782288" TargetMode="External" Type="http://schemas.openxmlformats.org/officeDocument/2006/relationships/hyperlink"/><Relationship Id="rId322" Target="https%3A%2F%2Fwww.webofscience.com%2Fwos%2Fwoscc%2Ffull-record%2FWOS%3A001763140300001" TargetMode="External" Type="http://schemas.openxmlformats.org/officeDocument/2006/relationships/hyperlink"/><Relationship Id="rId323" Target="http%3A%2F%2Fdx.doi.org%2F10.2196%2F84444" TargetMode="External" Type="http://schemas.openxmlformats.org/officeDocument/2006/relationships/hyperlink"/><Relationship Id="rId324" Target="https%3A%2F%2Fwww.webofscience.com%2Fwos%2Fwoscc%2Ffull-record%2FWOS%3A001783714600001" TargetMode="External" Type="http://schemas.openxmlformats.org/officeDocument/2006/relationships/hyperlink"/><Relationship Id="rId325" Target="http%3A%2F%2Fdx.doi.org%2F10.3390%2Fjcm15114092" TargetMode="External" Type="http://schemas.openxmlformats.org/officeDocument/2006/relationships/hyperlink"/><Relationship Id="rId326" Target="https%3A%2F%2Fwww.webofscience.com%2Fwos%2Fwoscc%2Ffull-record%2FWOS%3A001790057400001" TargetMode="External" Type="http://schemas.openxmlformats.org/officeDocument/2006/relationships/hyperlink"/><Relationship Id="rId327" Target="http%3A%2F%2Fdx.doi.org%2F10.2196%2F89480" TargetMode="External" Type="http://schemas.openxmlformats.org/officeDocument/2006/relationships/hyperlink"/><Relationship Id="rId328" Target="https%3A%2F%2Fwww.webofscience.com%2Fwos%2Fwoscc%2Ffull-record%2FWOS%3A001779347900001" TargetMode="External" Type="http://schemas.openxmlformats.org/officeDocument/2006/relationships/hyperlink"/><Relationship Id="rId329" Target="http%3A%2F%2Fdx.doi.org%2F10.1093%2Fjamia%2Focag123" TargetMode="External" Type="http://schemas.openxmlformats.org/officeDocument/2006/relationships/hyperlink"/><Relationship Id="rId33" Target="http%3A%2F%2Fdx.doi.org%2F10.1016%2Fj.psychres.2024.116026" TargetMode="External" Type="http://schemas.openxmlformats.org/officeDocument/2006/relationships/hyperlink"/><Relationship Id="rId330" Target="https%3A%2F%2Fwww.webofscience.com%2Fwos%2Fwoscc%2Ffull-record%2FWOS%3A001842094200001" TargetMode="External" Type="http://schemas.openxmlformats.org/officeDocument/2006/relationships/hyperlink"/><Relationship Id="rId331" Target="http%3A%2F%2Fdx.doi.org%2F10.3390%2Finformatics13070117" TargetMode="External" Type="http://schemas.openxmlformats.org/officeDocument/2006/relationships/hyperlink"/><Relationship Id="rId332" Target="https%3A%2F%2Fwww.webofscience.com%2Fwos%2Fwoscc%2Ffull-record%2FWOS%3A001832004500001" TargetMode="External" Type="http://schemas.openxmlformats.org/officeDocument/2006/relationships/hyperlink"/><Relationship Id="rId333" Target="http%3A%2F%2Fdx.doi.org%2F10.1186%2Fs13073-025-01521-w" TargetMode="External" Type="http://schemas.openxmlformats.org/officeDocument/2006/relationships/hyperlink"/><Relationship Id="rId334" Target="https%3A%2F%2Fwww.webofscience.com%2Fwos%2Fwoscc%2Ffull-record%2FWOS%3A001553155800002" TargetMode="External" Type="http://schemas.openxmlformats.org/officeDocument/2006/relationships/hyperlink"/><Relationship Id="rId335" Target="http%3A%2F%2Fdx.doi.org%2F10.2196%2F84086" TargetMode="External" Type="http://schemas.openxmlformats.org/officeDocument/2006/relationships/hyperlink"/><Relationship Id="rId336" Target="https%3A%2F%2Fwww.webofscience.com%2Fwos%2Fwoscc%2Ffull-record%2FWOS%3A001849575100011" TargetMode="External" Type="http://schemas.openxmlformats.org/officeDocument/2006/relationships/hyperlink"/><Relationship Id="rId337" Target="http%3A%2F%2Fdx.doi.org%2F10.1002%2Fjpn3.70502" TargetMode="External" Type="http://schemas.openxmlformats.org/officeDocument/2006/relationships/hyperlink"/><Relationship Id="rId338" Target="https%3A%2F%2Fwww.webofscience.com%2Fwos%2Fwoscc%2Ffull-record%2FWOS%3A001821245300001" TargetMode="External" Type="http://schemas.openxmlformats.org/officeDocument/2006/relationships/hyperlink"/><Relationship Id="rId339" Target="http%3A%2F%2Fdx.doi.org%2F10.1007%2Fs11604-024-01705-1" TargetMode="External" Type="http://schemas.openxmlformats.org/officeDocument/2006/relationships/hyperlink"/><Relationship Id="rId34" Target="https%3A%2F%2Fwww.webofscience.com%2Fwos%2Fwoscc%2Ffull-record%2FWOS%3A001259580300001" TargetMode="External" Type="http://schemas.openxmlformats.org/officeDocument/2006/relationships/hyperlink"/><Relationship Id="rId340" Target="https%3A%2F%2Fwww.webofscience.com%2Fwos%2Fwoscc%2Ffull-record%2FWOS%3A001362633800001" TargetMode="External" Type="http://schemas.openxmlformats.org/officeDocument/2006/relationships/hyperlink"/><Relationship Id="rId341" Target="http%3A%2F%2Fdx.doi.org%2F10.5269%2Fbspm.82946" TargetMode="External" Type="http://schemas.openxmlformats.org/officeDocument/2006/relationships/hyperlink"/><Relationship Id="rId342" Target="https%3A%2F%2Fwww.webofscience.com%2Fwos%2Fwoscc%2Ffull-record%2FWOS%3A001841932600004" TargetMode="External" Type="http://schemas.openxmlformats.org/officeDocument/2006/relationships/hyperlink"/><Relationship Id="rId343" Target="http%3A%2F%2Fdx.doi.org%2F10.1016%2Fj.array.2025.100504" TargetMode="External" Type="http://schemas.openxmlformats.org/officeDocument/2006/relationships/hyperlink"/><Relationship Id="rId344" Target="https%3A%2F%2Fwww.webofscience.com%2Fwos%2Fwoscc%2Ffull-record%2FWOS%3A001583751600001" TargetMode="External" Type="http://schemas.openxmlformats.org/officeDocument/2006/relationships/hyperlink"/><Relationship Id="rId345" Target="http%3A%2F%2Fdx.doi.org%2F10.1186%2Fs13014-025-02660-5" TargetMode="External" Type="http://schemas.openxmlformats.org/officeDocument/2006/relationships/hyperlink"/><Relationship Id="rId346" Target="https%3A%2F%2Fwww.webofscience.com%2Fwos%2Fwoscc%2Ffull-record%2FWOS%3A001489386700002" TargetMode="External" Type="http://schemas.openxmlformats.org/officeDocument/2006/relationships/hyperlink"/><Relationship Id="rId347" Target="http%3A%2F%2Fdx.doi.org%2F10.2196%2F82579" TargetMode="External" Type="http://schemas.openxmlformats.org/officeDocument/2006/relationships/hyperlink"/><Relationship Id="rId348" Target="https%3A%2F%2Fwww.webofscience.com%2Fwos%2Fwoscc%2Ffull-record%2FWOS%3A001741259900001" TargetMode="External" Type="http://schemas.openxmlformats.org/officeDocument/2006/relationships/hyperlink"/><Relationship Id="rId349" Target="http%3A%2F%2Fdx.doi.org%2F10.1002%2Fca.70187" TargetMode="External" Type="http://schemas.openxmlformats.org/officeDocument/2006/relationships/hyperlink"/><Relationship Id="rId35" Target="http%3A%2F%2Fdx.doi.org%2F10.1038%2Fs41586-023-06291-2" TargetMode="External" Type="http://schemas.openxmlformats.org/officeDocument/2006/relationships/hyperlink"/><Relationship Id="rId350" Target="https%3A%2F%2Fwww.webofscience.com%2Fwos%2Fwoscc%2Ffull-record%2FWOS%3A001820742400001" TargetMode="External" Type="http://schemas.openxmlformats.org/officeDocument/2006/relationships/hyperlink"/><Relationship Id="rId351" Target="http%3A%2F%2Fdx.doi.org%2F10.1136%2Fbmjinnov-2025-001529" TargetMode="External" Type="http://schemas.openxmlformats.org/officeDocument/2006/relationships/hyperlink"/><Relationship Id="rId352" Target="https%3A%2F%2Fwww.webofscience.com%2Fwos%2Fwoscc%2Ffull-record%2FWOS%3A001792415000001" TargetMode="External" Type="http://schemas.openxmlformats.org/officeDocument/2006/relationships/hyperlink"/><Relationship Id="rId353" Target="http%3A%2F%2Fdx.doi.org%2F10.3390%2Fdiagnostics16152456" TargetMode="External" Type="http://schemas.openxmlformats.org/officeDocument/2006/relationships/hyperlink"/><Relationship Id="rId354" Target="https%3A%2F%2Fwww.webofscience.com%2Fwos%2Fwoscc%2Ffull-record%2FWOS%3A001847324700001" TargetMode="External" Type="http://schemas.openxmlformats.org/officeDocument/2006/relationships/hyperlink"/><Relationship Id="rId355" Target="http%3A%2F%2Fdx.doi.org%2F10.1093%2Fjamia%2Focaf045" TargetMode="External" Type="http://schemas.openxmlformats.org/officeDocument/2006/relationships/hyperlink"/><Relationship Id="rId356" Target="https%3A%2F%2Fwww.webofscience.com%2Fwos%2Fwoscc%2Ffull-record%2FWOS%3A001460129700001" TargetMode="External" Type="http://schemas.openxmlformats.org/officeDocument/2006/relationships/hyperlink"/><Relationship Id="rId357" Target="http%3A%2F%2Fdx.doi.org%2F10.1038%2Fs43856-026-01576-9" TargetMode="External" Type="http://schemas.openxmlformats.org/officeDocument/2006/relationships/hyperlink"/><Relationship Id="rId358" Target="https%3A%2F%2Fwww.webofscience.com%2Fwos%2Fwoscc%2Ffull-record%2FWOS%3A001794462100001" TargetMode="External" Type="http://schemas.openxmlformats.org/officeDocument/2006/relationships/hyperlink"/><Relationship Id="rId359" Target="http%3A%2F%2Fdx.doi.org%2F10.1136%2Fbmjment-2025-301817" TargetMode="External" Type="http://schemas.openxmlformats.org/officeDocument/2006/relationships/hyperlink"/><Relationship Id="rId36" Target="https%3A%2F%2Fwww.webofscience.com%2Fwos%2Fwoscc%2Ffull-record%2FWOS%3A001028865500001" TargetMode="External" Type="http://schemas.openxmlformats.org/officeDocument/2006/relationships/hyperlink"/><Relationship Id="rId360" Target="https%3A%2F%2Fwww.webofscience.com%2Fwos%2Fwoscc%2Ffull-record%2FWOS%3A001578927600001" TargetMode="External" Type="http://schemas.openxmlformats.org/officeDocument/2006/relationships/hyperlink"/><Relationship Id="rId361" Target="http%3A%2F%2Fdx.doi.org%2F10.2147%2FJMDH.S612064" TargetMode="External" Type="http://schemas.openxmlformats.org/officeDocument/2006/relationships/hyperlink"/><Relationship Id="rId362" Target="https%3A%2F%2Fwww.webofscience.com%2Fwos%2Fwoscc%2Ffull-record%2FWOS%3A001825022300001" TargetMode="External" Type="http://schemas.openxmlformats.org/officeDocument/2006/relationships/hyperlink"/><Relationship Id="rId363" Target="http%3A%2F%2Fdx.doi.org%2F10.1016%2Fj.jdent.2026.106754" TargetMode="External" Type="http://schemas.openxmlformats.org/officeDocument/2006/relationships/hyperlink"/><Relationship Id="rId364" Target="https%3A%2F%2Fwww.webofscience.com%2Fwos%2Fwoscc%2Ffull-record%2FWOS%3A001807730400001" TargetMode="External" Type="http://schemas.openxmlformats.org/officeDocument/2006/relationships/hyperlink"/><Relationship Id="rId365" Target="https%3A%2F%2Fwww.webofscience.com%2Fwos%2Fwoscc%2Ffull-record%2FWOS%3A001638661700001" TargetMode="External" Type="http://schemas.openxmlformats.org/officeDocument/2006/relationships/hyperlink"/><Relationship Id="rId366" Target="http%3A%2F%2Fdx.doi.org%2F10.1016%2Fj.eswa.2026.132008" TargetMode="External" Type="http://schemas.openxmlformats.org/officeDocument/2006/relationships/hyperlink"/><Relationship Id="rId367" Target="https%3A%2F%2Fwww.webofscience.com%2Fwos%2Fwoscc%2Ffull-record%2FWOS%3A001721139800001" TargetMode="External" Type="http://schemas.openxmlformats.org/officeDocument/2006/relationships/hyperlink"/><Relationship Id="rId368" Target="http%3A%2F%2Fdx.doi.org%2F10.1016%2Fj.joms.2025.09.016" TargetMode="External" Type="http://schemas.openxmlformats.org/officeDocument/2006/relationships/hyperlink"/><Relationship Id="rId369" Target="https%3A%2F%2Fwww.webofscience.com%2Fwos%2Fwoscc%2Ffull-record%2FWOS%3A001659533300002" TargetMode="External" Type="http://schemas.openxmlformats.org/officeDocument/2006/relationships/hyperlink"/><Relationship Id="rId37" Target="http%3A%2F%2Fdx.doi.org%2F10.1016%2Fj.jbi.2025.104898" TargetMode="External" Type="http://schemas.openxmlformats.org/officeDocument/2006/relationships/hyperlink"/><Relationship Id="rId370" Target="http%3A%2F%2Fdx.doi.org%2F10.1016%2Fj.clinimag.2026.110841" TargetMode="External" Type="http://schemas.openxmlformats.org/officeDocument/2006/relationships/hyperlink"/><Relationship Id="rId371" Target="https%3A%2F%2Fwww.webofscience.com%2Fwos%2Fwoscc%2Ffull-record%2FWOS%3A001792195000001" TargetMode="External" Type="http://schemas.openxmlformats.org/officeDocument/2006/relationships/hyperlink"/><Relationship Id="rId372" Target="http%3A%2F%2Fdx.doi.org%2F10.1308%2Frcsann.2023.0085" TargetMode="External" Type="http://schemas.openxmlformats.org/officeDocument/2006/relationships/hyperlink"/><Relationship Id="rId373" Target="https%3A%2F%2Fwww.webofscience.com%2Fwos%2Fwoscc%2Ffull-record%2FWOS%3A001525642300009" TargetMode="External" Type="http://schemas.openxmlformats.org/officeDocument/2006/relationships/hyperlink"/><Relationship Id="rId374" Target="http%3A%2F%2Fdx.doi.org%2F10.1055%2Fa-2838-5446" TargetMode="External" Type="http://schemas.openxmlformats.org/officeDocument/2006/relationships/hyperlink"/><Relationship Id="rId375" Target="https%3A%2F%2Fwww.webofscience.com%2Fwos%2Fwoscc%2Ffull-record%2FWOS%3A001729862300001" TargetMode="External" Type="http://schemas.openxmlformats.org/officeDocument/2006/relationships/hyperlink"/><Relationship Id="rId376" Target="http%3A%2F%2Fdx.doi.org%2F10.3389%2Ffpubh.2026.1818821" TargetMode="External" Type="http://schemas.openxmlformats.org/officeDocument/2006/relationships/hyperlink"/><Relationship Id="rId377" Target="https%3A%2F%2Fwww.webofscience.com%2Fwos%2Fwoscc%2Ffull-record%2FWOS%3A001804625200001" TargetMode="External" Type="http://schemas.openxmlformats.org/officeDocument/2006/relationships/hyperlink"/><Relationship Id="rId378" Target="http%3A%2F%2Fdx.doi.org%2F10.3390%2Fhealthcare14101278" TargetMode="External" Type="http://schemas.openxmlformats.org/officeDocument/2006/relationships/hyperlink"/><Relationship Id="rId379" Target="https%3A%2F%2Fwww.webofscience.com%2Fwos%2Fwoscc%2Ffull-record%2FWOS%3A001774602800001" TargetMode="External" Type="http://schemas.openxmlformats.org/officeDocument/2006/relationships/hyperlink"/><Relationship Id="rId38" Target="https%3A%2F%2Fwww.webofscience.com%2Fwos%2Fwoscc%2Ffull-record%2FWOS%3A001561264800001" TargetMode="External" Type="http://schemas.openxmlformats.org/officeDocument/2006/relationships/hyperlink"/><Relationship Id="rId380" Target="http%3A%2F%2Fdx.doi.org%2F10.2196%2F86769" TargetMode="External" Type="http://schemas.openxmlformats.org/officeDocument/2006/relationships/hyperlink"/><Relationship Id="rId381" Target="https%3A%2F%2Fwww.webofscience.com%2Fwos%2Fwoscc%2Ffull-record%2FWOS%3A001757930700001" TargetMode="External" Type="http://schemas.openxmlformats.org/officeDocument/2006/relationships/hyperlink"/><Relationship Id="rId382" Target="http%3A%2F%2Fdx.doi.org%2F10.3348%2Fjksr.2025.0018" TargetMode="External" Type="http://schemas.openxmlformats.org/officeDocument/2006/relationships/hyperlink"/><Relationship Id="rId383" Target="https%3A%2F%2Fwww.webofscience.com%2Fwos%2Fwoscc%2Ffull-record%2FWOS%3A001585980400001" TargetMode="External" Type="http://schemas.openxmlformats.org/officeDocument/2006/relationships/hyperlink"/><Relationship Id="rId384" Target="http%3A%2F%2Fdx.doi.org%2F10.3389%2Ffpubh.2025.1512537" TargetMode="External" Type="http://schemas.openxmlformats.org/officeDocument/2006/relationships/hyperlink"/><Relationship Id="rId385" Target="https%3A%2F%2Fwww.webofscience.com%2Fwos%2Fwoscc%2Ffull-record%2FWOS%3A001436403800001" TargetMode="External" Type="http://schemas.openxmlformats.org/officeDocument/2006/relationships/hyperlink"/><Relationship Id="rId386" Target="http%3A%2F%2Fdx.doi.org%2F10.4103%2Fidoj.idoj_221_24" TargetMode="External" Type="http://schemas.openxmlformats.org/officeDocument/2006/relationships/hyperlink"/><Relationship Id="rId387" Target="https%3A%2F%2Fwww.webofscience.com%2Fwos%2Fwoscc%2Ffull-record%2FWOS%3A001433509600014" TargetMode="External" Type="http://schemas.openxmlformats.org/officeDocument/2006/relationships/hyperlink"/><Relationship Id="rId388" Target="http%3A%2F%2Fdx.doi.org%2F10.2196%2F81604" TargetMode="External" Type="http://schemas.openxmlformats.org/officeDocument/2006/relationships/hyperlink"/><Relationship Id="rId389" Target="https%3A%2F%2Fwww.webofscience.com%2Fwos%2Fwoscc%2Ffull-record%2FWOS%3A001719749000001" TargetMode="External" Type="http://schemas.openxmlformats.org/officeDocument/2006/relationships/hyperlink"/><Relationship Id="rId39" Target="http%3A%2F%2Fdx.doi.org%2F10.1038%2Fs41746-025-01475-8" TargetMode="External" Type="http://schemas.openxmlformats.org/officeDocument/2006/relationships/hyperlink"/><Relationship Id="rId390" Target="http%3A%2F%2Fdx.doi.org%2F10.2196%2F90744" TargetMode="External" Type="http://schemas.openxmlformats.org/officeDocument/2006/relationships/hyperlink"/><Relationship Id="rId391" Target="https%3A%2F%2Fwww.webofscience.com%2Fwos%2Fwoscc%2Ffull-record%2FWOS%3A001849562900004" TargetMode="External" Type="http://schemas.openxmlformats.org/officeDocument/2006/relationships/hyperlink"/><Relationship Id="rId392" Target="http%3A%2F%2Fdx.doi.org%2F10.1002%2Fksa.12133" TargetMode="External" Type="http://schemas.openxmlformats.org/officeDocument/2006/relationships/hyperlink"/><Relationship Id="rId393" Target="https%3A%2F%2Fwww.webofscience.com%2Fwos%2Fwoscc%2Ffull-record%2FWOS%3A001185448900001" TargetMode="External" Type="http://schemas.openxmlformats.org/officeDocument/2006/relationships/hyperlink"/><Relationship Id="rId394" Target="http%3A%2F%2Fdx.doi.org%2F10.1109%2FACCESS.2026.3656368" TargetMode="External" Type="http://schemas.openxmlformats.org/officeDocument/2006/relationships/hyperlink"/><Relationship Id="rId395" Target="https%3A%2F%2Fwww.webofscience.com%2Fwos%2Fwoscc%2Ffull-record%2FWOS%3A001687406600031" TargetMode="External" Type="http://schemas.openxmlformats.org/officeDocument/2006/relationships/hyperlink"/><Relationship Id="rId396" Target="http%3A%2F%2Fdx.doi.org%2F10.1186%2Fs12903-026-08041-y" TargetMode="External" Type="http://schemas.openxmlformats.org/officeDocument/2006/relationships/hyperlink"/><Relationship Id="rId397" Target="https%3A%2F%2Fwww.webofscience.com%2Fwos%2Fwoscc%2Ffull-record%2FWOS%3A001740391400004" TargetMode="External" Type="http://schemas.openxmlformats.org/officeDocument/2006/relationships/hyperlink"/><Relationship Id="rId398" Target="http%3A%2F%2Fdx.doi.org%2F10.1016%2Fj.rcsop.2024.100492" TargetMode="External" Type="http://schemas.openxmlformats.org/officeDocument/2006/relationships/hyperlink"/><Relationship Id="rId399" Target="https%3A%2F%2Fwww.webofscience.com%2Fwos%2Fwoscc%2Ffull-record%2FWOS%3A001301740600001" TargetMode="External" Type="http://schemas.openxmlformats.org/officeDocument/2006/relationships/hyperlink"/><Relationship Id="rId4" Target="https%3A%2F%2Fwww.webofscience.com%2Fwos%2Fwoscc%2Ffull-record%2FWOS%3A001818612300001" TargetMode="External" Type="http://schemas.openxmlformats.org/officeDocument/2006/relationships/hyperlink"/><Relationship Id="rId40" Target="https%3A%2F%2Fwww.webofscience.com%2Fwos%2Fwoscc%2Ffull-record%2FWOS%3A001446915600001" TargetMode="External" Type="http://schemas.openxmlformats.org/officeDocument/2006/relationships/hyperlink"/><Relationship Id="rId400" Target="http%3A%2F%2Fdx.doi.org%2F10.2196%2F93054" TargetMode="External" Type="http://schemas.openxmlformats.org/officeDocument/2006/relationships/hyperlink"/><Relationship Id="rId401" Target="https%3A%2F%2Fwww.webofscience.com%2Fwos%2Fwoscc%2Ffull-record%2FWOS%3A001808527100002" TargetMode="External" Type="http://schemas.openxmlformats.org/officeDocument/2006/relationships/hyperlink"/><Relationship Id="rId402" Target="http%3A%2F%2Fdx.doi.org%2F10.2196%2F57674" TargetMode="External" Type="http://schemas.openxmlformats.org/officeDocument/2006/relationships/hyperlink"/><Relationship Id="rId403" Target="https%3A%2F%2Fwww.webofscience.com%2Fwos%2Fwoscc%2Ffull-record%2FWOS%3A001266511600001" TargetMode="External" Type="http://schemas.openxmlformats.org/officeDocument/2006/relationships/hyperlink"/><Relationship Id="rId404" Target="http%3A%2F%2Fdx.doi.org%2F10.1016%2FS2589-7500%2824%2900124-9" TargetMode="External" Type="http://schemas.openxmlformats.org/officeDocument/2006/relationships/hyperlink"/><Relationship Id="rId405" Target="https%3A%2F%2Fwww.webofscience.com%2Fwos%2Fwoscc%2Ffull-record%2FWOS%3A001301013500001" TargetMode="External" Type="http://schemas.openxmlformats.org/officeDocument/2006/relationships/hyperlink"/><Relationship Id="rId406" Target="http%3A%2F%2Fdx.doi.org%2F10.1007%2Fs00586-026-10046-8" TargetMode="External" Type="http://schemas.openxmlformats.org/officeDocument/2006/relationships/hyperlink"/><Relationship Id="rId407" Target="https%3A%2F%2Fwww.webofscience.com%2Fwos%2Fwoscc%2Ffull-record%2FWOS%3A001787912100001" TargetMode="External" Type="http://schemas.openxmlformats.org/officeDocument/2006/relationships/hyperlink"/><Relationship Id="rId408" Target="http%3A%2F%2Fdx.doi.org%2F10.2196%2F68776" TargetMode="External" Type="http://schemas.openxmlformats.org/officeDocument/2006/relationships/hyperlink"/><Relationship Id="rId409" Target="https%3A%2F%2Fwww.webofscience.com%2Fwos%2Fwoscc%2Ffull-record%2FWOS%3A001529229200001" TargetMode="External" Type="http://schemas.openxmlformats.org/officeDocument/2006/relationships/hyperlink"/><Relationship Id="rId41" Target="http%3A%2F%2Fdx.doi.org%2F10.1016%2Fj.ajo.2023.05.024" TargetMode="External" Type="http://schemas.openxmlformats.org/officeDocument/2006/relationships/hyperlink"/><Relationship Id="rId410" Target="http%3A%2F%2Fdx.doi.org%2F10.1371%2Fjournal.pdig.0001072" TargetMode="External" Type="http://schemas.openxmlformats.org/officeDocument/2006/relationships/hyperlink"/><Relationship Id="rId411" Target="https%3A%2F%2Fwww.webofscience.com%2Fwos%2Fwoscc%2Ffull-record%2FWOS%3A001778969600002" TargetMode="External" Type="http://schemas.openxmlformats.org/officeDocument/2006/relationships/hyperlink"/><Relationship Id="rId412" Target="http%3A%2F%2Fdx.doi.org%2F10.1227%2Fneuprac.0000000000000244" TargetMode="External" Type="http://schemas.openxmlformats.org/officeDocument/2006/relationships/hyperlink"/><Relationship Id="rId413" Target="https%3A%2F%2Fwww.webofscience.com%2Fwos%2Fwoscc%2Ffull-record%2FWOS%3A001778372400001" TargetMode="External" Type="http://schemas.openxmlformats.org/officeDocument/2006/relationships/hyperlink"/><Relationship Id="rId414" Target="https%3A%2F%2Fwww.webofscience.com%2Fwos%2Fwoscc%2Ffull-record%2FWOS%3A001754387300001" TargetMode="External" Type="http://schemas.openxmlformats.org/officeDocument/2006/relationships/hyperlink"/><Relationship Id="rId415" Target="http%3A%2F%2Fdx.doi.org%2F10.1038%2Fs41598-025-31113-y" TargetMode="External" Type="http://schemas.openxmlformats.org/officeDocument/2006/relationships/hyperlink"/><Relationship Id="rId416" Target="https%3A%2F%2Fwww.webofscience.com%2Fwos%2Fwoscc%2Ffull-record%2FWOS%3A001660890300005" TargetMode="External" Type="http://schemas.openxmlformats.org/officeDocument/2006/relationships/hyperlink"/><Relationship Id="rId417" Target="http%3A%2F%2Fdx.doi.org%2F10.2196%2F60063" TargetMode="External" Type="http://schemas.openxmlformats.org/officeDocument/2006/relationships/hyperlink"/><Relationship Id="rId418" Target="https%3A%2F%2Fwww.webofscience.com%2Fwos%2Fwoscc%2Ffull-record%2FWOS%3A001382690300010" TargetMode="External" Type="http://schemas.openxmlformats.org/officeDocument/2006/relationships/hyperlink"/><Relationship Id="rId419" Target="http%3A%2F%2Fdx.doi.org%2F10.1007%2Fs10462-025-11259-x" TargetMode="External" Type="http://schemas.openxmlformats.org/officeDocument/2006/relationships/hyperlink"/><Relationship Id="rId42" Target="https%3A%2F%2Fwww.webofscience.com%2Fwos%2Fwoscc%2Ffull-record%2FWOS%3A001044630000001" TargetMode="External" Type="http://schemas.openxmlformats.org/officeDocument/2006/relationships/hyperlink"/><Relationship Id="rId420" Target="https%3A%2F%2Fwww.webofscience.com%2Fwos%2Fwoscc%2Ffull-record%2FWOS%3A001502355300003" TargetMode="External" Type="http://schemas.openxmlformats.org/officeDocument/2006/relationships/hyperlink"/><Relationship Id="rId421" Target="http%3A%2F%2Fdx.doi.org%2F10.2196%2F66207" TargetMode="External" Type="http://schemas.openxmlformats.org/officeDocument/2006/relationships/hyperlink"/><Relationship Id="rId422" Target="https%3A%2F%2Fwww.webofscience.com%2Fwos%2Fwoscc%2Ffull-record%2FWOS%3A001533679600014" TargetMode="External" Type="http://schemas.openxmlformats.org/officeDocument/2006/relationships/hyperlink"/><Relationship Id="rId423" Target="http%3A%2F%2Fdx.doi.org%2F10.1186%2Fs13049-026-01632-2" TargetMode="External" Type="http://schemas.openxmlformats.org/officeDocument/2006/relationships/hyperlink"/><Relationship Id="rId424" Target="https%3A%2F%2Fwww.webofscience.com%2Fwos%2Fwoscc%2Ffull-record%2FWOS%3A001825117900001" TargetMode="External" Type="http://schemas.openxmlformats.org/officeDocument/2006/relationships/hyperlink"/><Relationship Id="rId425" Target="http%3A%2F%2Fdx.doi.org%2F10.1007%2Fs00586-026-10069-1" TargetMode="External" Type="http://schemas.openxmlformats.org/officeDocument/2006/relationships/hyperlink"/><Relationship Id="rId426" Target="https%3A%2F%2Fwww.webofscience.com%2Fwos%2Fwoscc%2Ffull-record%2FWOS%3A001792474400001" TargetMode="External" Type="http://schemas.openxmlformats.org/officeDocument/2006/relationships/hyperlink"/><Relationship Id="rId427" Target="http%3A%2F%2Fdx.doi.org%2F10.3390%2Fapp15063379" TargetMode="External" Type="http://schemas.openxmlformats.org/officeDocument/2006/relationships/hyperlink"/><Relationship Id="rId428" Target="https%3A%2F%2Fwww.webofscience.com%2Fwos%2Fwoscc%2Ffull-record%2FWOS%3A001453382000001" TargetMode="External" Type="http://schemas.openxmlformats.org/officeDocument/2006/relationships/hyperlink"/><Relationship Id="rId429" Target="http%3A%2F%2Fdx.doi.org%2F10.2196%2F90692" TargetMode="External" Type="http://schemas.openxmlformats.org/officeDocument/2006/relationships/hyperlink"/><Relationship Id="rId43" Target="http%3A%2F%2Fdx.doi.org%2F10.1146%2Fannurev-biodatasci-103123-095406" TargetMode="External" Type="http://schemas.openxmlformats.org/officeDocument/2006/relationships/hyperlink"/><Relationship Id="rId430" Target="https%3A%2F%2Fwww.webofscience.com%2Fwos%2Fwoscc%2Ffull-record%2FWOS%3A001828668800004" TargetMode="External" Type="http://schemas.openxmlformats.org/officeDocument/2006/relationships/hyperlink"/><Relationship Id="rId431" Target="http%3A%2F%2Fdx.doi.org%2F10.3390%2Fapp15137134" TargetMode="External" Type="http://schemas.openxmlformats.org/officeDocument/2006/relationships/hyperlink"/><Relationship Id="rId432" Target="https%3A%2F%2Fwww.webofscience.com%2Fwos%2Fwoscc%2Ffull-record%2FWOS%3A001526204800001" TargetMode="External" Type="http://schemas.openxmlformats.org/officeDocument/2006/relationships/hyperlink"/><Relationship Id="rId433" Target="http%3A%2F%2Fdx.doi.org%2F10.1002%2Fohn.864" TargetMode="External" Type="http://schemas.openxmlformats.org/officeDocument/2006/relationships/hyperlink"/><Relationship Id="rId434" Target="https%3A%2F%2Fwww.webofscience.com%2Fwos%2Fwoscc%2Ffull-record%2FWOS%3A001249520500001" TargetMode="External" Type="http://schemas.openxmlformats.org/officeDocument/2006/relationships/hyperlink"/><Relationship Id="rId435" Target="http%3A%2F%2Fdx.doi.org%2F10.3390%2Fdiagnostics16142165" TargetMode="External" Type="http://schemas.openxmlformats.org/officeDocument/2006/relationships/hyperlink"/><Relationship Id="rId436" Target="https%3A%2F%2Fwww.webofscience.com%2Fwos%2Fwoscc%2Ffull-record%2FWOS%3A001833349400001" TargetMode="External" Type="http://schemas.openxmlformats.org/officeDocument/2006/relationships/hyperlink"/><Relationship Id="rId437" Target="http%3A%2F%2Fdx.doi.org%2F10.3389%2Ffpubh.2026.1760872" TargetMode="External" Type="http://schemas.openxmlformats.org/officeDocument/2006/relationships/hyperlink"/><Relationship Id="rId438" Target="https%3A%2F%2Fwww.webofscience.com%2Fwos%2Fwoscc%2Ffull-record%2FWOS%3A001708717800001" TargetMode="External" Type="http://schemas.openxmlformats.org/officeDocument/2006/relationships/hyperlink"/><Relationship Id="rId439" Target="http%3A%2F%2Fdx.doi.org%2F10.1016%2Fj.jhepr.2025.101579" TargetMode="External" Type="http://schemas.openxmlformats.org/officeDocument/2006/relationships/hyperlink"/><Relationship Id="rId44" Target="https%3A%2F%2Fwww.webofscience.com%2Fwos%2Fwoscc%2Ffull-record%2FWOS%3A001602604800022" TargetMode="External" Type="http://schemas.openxmlformats.org/officeDocument/2006/relationships/hyperlink"/><Relationship Id="rId440" Target="https%3A%2F%2Fwww.webofscience.com%2Fwos%2Fwoscc%2Ffull-record%2FWOS%3A001621477300002" TargetMode="External" Type="http://schemas.openxmlformats.org/officeDocument/2006/relationships/hyperlink"/><Relationship Id="rId441" Target="http%3A%2F%2Fdx.doi.org%2F10.1186%2Fs12903-026-08530-0" TargetMode="External" Type="http://schemas.openxmlformats.org/officeDocument/2006/relationships/hyperlink"/><Relationship Id="rId442" Target="https%3A%2F%2Fwww.webofscience.com%2Fwos%2Fwoscc%2Ffull-record%2FWOS%3A001800677000001" TargetMode="External" Type="http://schemas.openxmlformats.org/officeDocument/2006/relationships/hyperlink"/><Relationship Id="rId443" Target="http%3A%2F%2Fdx.doi.org%2F10.1038%2Fs43856-025-01021-3" TargetMode="External" Type="http://schemas.openxmlformats.org/officeDocument/2006/relationships/hyperlink"/><Relationship Id="rId444" Target="https%3A%2F%2Fwww.webofscience.com%2Fwos%2Fwoscc%2Ffull-record%2FWOS%3A001543132800001" TargetMode="External" Type="http://schemas.openxmlformats.org/officeDocument/2006/relationships/hyperlink"/><Relationship Id="rId445" Target="http%3A%2F%2Fdx.doi.org%2F10.1136%2Fbmjhci-2025-101512" TargetMode="External" Type="http://schemas.openxmlformats.org/officeDocument/2006/relationships/hyperlink"/><Relationship Id="rId446" Target="https%3A%2F%2Fwww.webofscience.com%2Fwos%2Fwoscc%2Ffull-record%2FWOS%3A001588586400001" TargetMode="External" Type="http://schemas.openxmlformats.org/officeDocument/2006/relationships/hyperlink"/><Relationship Id="rId447" Target="http%3A%2F%2Fdx.doi.org%2F10.1186%2Fs12871-026-03934-5" TargetMode="External" Type="http://schemas.openxmlformats.org/officeDocument/2006/relationships/hyperlink"/><Relationship Id="rId448" Target="https%3A%2F%2Fwww.webofscience.com%2Fwos%2Fwoscc%2Ffull-record%2FWOS%3A001796830600001" TargetMode="External" Type="http://schemas.openxmlformats.org/officeDocument/2006/relationships/hyperlink"/><Relationship Id="rId449" Target="http%3A%2F%2Fdx.doi.org%2F10.1016%2Fj.jcin.2025.08.019" TargetMode="External" Type="http://schemas.openxmlformats.org/officeDocument/2006/relationships/hyperlink"/><Relationship Id="rId45" Target="http%3A%2F%2Fdx.doi.org%2F10.34133%2Fhds.0250" TargetMode="External" Type="http://schemas.openxmlformats.org/officeDocument/2006/relationships/hyperlink"/><Relationship Id="rId450" Target="https%3A%2F%2Fwww.webofscience.com%2Fwos%2Fwoscc%2Ffull-record%2FWOS%3A001615189700002" TargetMode="External" Type="http://schemas.openxmlformats.org/officeDocument/2006/relationships/hyperlink"/><Relationship Id="rId451" Target="http%3A%2F%2Fdx.doi.org%2F10.3389%2Ffdgth.2026.1769467" TargetMode="External" Type="http://schemas.openxmlformats.org/officeDocument/2006/relationships/hyperlink"/><Relationship Id="rId452" Target="https%3A%2F%2Fwww.webofscience.com%2Fwos%2Fwoscc%2Ffull-record%2FWOS%3A001791261300001" TargetMode="External" Type="http://schemas.openxmlformats.org/officeDocument/2006/relationships/hyperlink"/><Relationship Id="rId453" Target="http%3A%2F%2Fdx.doi.org%2F10.1038%2Fs41598-024-81052-3" TargetMode="External" Type="http://schemas.openxmlformats.org/officeDocument/2006/relationships/hyperlink"/><Relationship Id="rId454" Target="https%3A%2F%2Fwww.webofscience.com%2Fwos%2Fwoscc%2Ffull-record%2FWOS%3A001386148600046" TargetMode="External" Type="http://schemas.openxmlformats.org/officeDocument/2006/relationships/hyperlink"/><Relationship Id="rId455" Target="http%3A%2F%2Fdx.doi.org%2F10.1038%2Fs41746-026-02537-1" TargetMode="External" Type="http://schemas.openxmlformats.org/officeDocument/2006/relationships/hyperlink"/><Relationship Id="rId456" Target="https%3A%2F%2Fwww.webofscience.com%2Fwos%2Fwoscc%2Ffull-record%2FWOS%3A001754451700001" TargetMode="External" Type="http://schemas.openxmlformats.org/officeDocument/2006/relationships/hyperlink"/><Relationship Id="rId457" Target="http%3A%2F%2Fdx.doi.org%2F10.1177%2F15589447241267766" TargetMode="External" Type="http://schemas.openxmlformats.org/officeDocument/2006/relationships/hyperlink"/><Relationship Id="rId458" Target="https%3A%2F%2Fwww.webofscience.com%2Fwos%2Fwoscc%2Ffull-record%2FWOS%3A001290575000001" TargetMode="External" Type="http://schemas.openxmlformats.org/officeDocument/2006/relationships/hyperlink"/><Relationship Id="rId459" Target="http%3A%2F%2Fdx.doi.org%2F10.3390%2Fhealthcare14121769" TargetMode="External" Type="http://schemas.openxmlformats.org/officeDocument/2006/relationships/hyperlink"/><Relationship Id="rId46" Target="https%3A%2F%2Fwww.webofscience.com%2Fwos%2Fwoscc%2Ffull-record%2FWOS%3A001547513100002" TargetMode="External" Type="http://schemas.openxmlformats.org/officeDocument/2006/relationships/hyperlink"/><Relationship Id="rId460" Target="https%3A%2F%2Fwww.webofscience.com%2Fwos%2Fwoscc%2Ffull-record%2FWOS%3A001803795900001" TargetMode="External" Type="http://schemas.openxmlformats.org/officeDocument/2006/relationships/hyperlink"/><Relationship Id="rId461" Target="http%3A%2F%2Fdx.doi.org%2F10.1111%2Fexd.70175" TargetMode="External" Type="http://schemas.openxmlformats.org/officeDocument/2006/relationships/hyperlink"/><Relationship Id="rId462" Target="https%3A%2F%2Fwww.webofscience.com%2Fwos%2Fwoscc%2Ffull-record%2FWOS%3A001614016400001" TargetMode="External" Type="http://schemas.openxmlformats.org/officeDocument/2006/relationships/hyperlink"/><Relationship Id="rId463" Target="http%3A%2F%2Fdx.doi.org%2F10.1016%2Fj.artmed.2025.103078" TargetMode="External" Type="http://schemas.openxmlformats.org/officeDocument/2006/relationships/hyperlink"/><Relationship Id="rId464" Target="https%3A%2F%2Fwww.webofscience.com%2Fwos%2Fwoscc%2Ffull-record%2FWOS%3A001429469000001" TargetMode="External" Type="http://schemas.openxmlformats.org/officeDocument/2006/relationships/hyperlink"/><Relationship Id="rId465" Target="http%3A%2F%2Fdx.doi.org%2F10.1002%2Fhpm.70026" TargetMode="External" Type="http://schemas.openxmlformats.org/officeDocument/2006/relationships/hyperlink"/><Relationship Id="rId466" Target="https%3A%2F%2Fwww.webofscience.com%2Fwos%2Fwoscc%2Ffull-record%2FWOS%3A001582490100001" TargetMode="External" Type="http://schemas.openxmlformats.org/officeDocument/2006/relationships/hyperlink"/><Relationship Id="rId467" Target="http%3A%2F%2Fdx.doi.org%2F10.1111%2Feje.13073" TargetMode="External" Type="http://schemas.openxmlformats.org/officeDocument/2006/relationships/hyperlink"/><Relationship Id="rId468" Target="https%3A%2F%2Fwww.webofscience.com%2Fwos%2Fwoscc%2Ffull-record%2FWOS%3A001410061800001" TargetMode="External" Type="http://schemas.openxmlformats.org/officeDocument/2006/relationships/hyperlink"/><Relationship Id="rId469" Target="http%3A%2F%2Fdx.doi.org%2F10.1080%2F10903127.2026.2668008" TargetMode="External" Type="http://schemas.openxmlformats.org/officeDocument/2006/relationships/hyperlink"/><Relationship Id="rId47" Target="http%3A%2F%2Fdx.doi.org%2F10.1016%2Fj.jbi.2025.104949" TargetMode="External" Type="http://schemas.openxmlformats.org/officeDocument/2006/relationships/hyperlink"/><Relationship Id="rId470" Target="https%3A%2F%2Fwww.webofscience.com%2Fwos%2Fwoscc%2Ffull-record%2FWOS%3A001767707800001" TargetMode="External" Type="http://schemas.openxmlformats.org/officeDocument/2006/relationships/hyperlink"/><Relationship Id="rId471" Target="http%3A%2F%2Fdx.doi.org%2F10.1016%2Fj.jcrc.2025.155358" TargetMode="External" Type="http://schemas.openxmlformats.org/officeDocument/2006/relationships/hyperlink"/><Relationship Id="rId472" Target="https%3A%2F%2Fwww.webofscience.com%2Fwos%2Fwoscc%2Ffull-record%2FWOS%3A001625410500001" TargetMode="External" Type="http://schemas.openxmlformats.org/officeDocument/2006/relationships/hyperlink"/><Relationship Id="rId473" Target="http%3A%2F%2Fdx.doi.org%2F10.3390%2Fbioengineering12111219" TargetMode="External" Type="http://schemas.openxmlformats.org/officeDocument/2006/relationships/hyperlink"/><Relationship Id="rId474" Target="https%3A%2F%2Fwww.webofscience.com%2Fwos%2Fwoscc%2Ffull-record%2FWOS%3A001624017600001" TargetMode="External" Type="http://schemas.openxmlformats.org/officeDocument/2006/relationships/hyperlink"/><Relationship Id="rId475" Target="http%3A%2F%2Fdx.doi.org%2F10.1177%2F10781552261418957" TargetMode="External" Type="http://schemas.openxmlformats.org/officeDocument/2006/relationships/hyperlink"/><Relationship Id="rId476" Target="https%3A%2F%2Fwww.webofscience.com%2Fwos%2Fwoscc%2Ffull-record%2FWOS%3A001685365800001" TargetMode="External" Type="http://schemas.openxmlformats.org/officeDocument/2006/relationships/hyperlink"/><Relationship Id="rId477" Target="http%3A%2F%2Fdx.doi.org%2F10.1186%2Fs12909-025-07195-7" TargetMode="External" Type="http://schemas.openxmlformats.org/officeDocument/2006/relationships/hyperlink"/><Relationship Id="rId478" Target="https%3A%2F%2Fwww.webofscience.com%2Fwos%2Fwoscc%2Ffull-record%2FWOS%3A001506188400004" TargetMode="External" Type="http://schemas.openxmlformats.org/officeDocument/2006/relationships/hyperlink"/><Relationship Id="rId479" Target="http%3A%2F%2Fdx.doi.org%2F10.1186%2Fs12903-026-08705-9" TargetMode="External" Type="http://schemas.openxmlformats.org/officeDocument/2006/relationships/hyperlink"/><Relationship Id="rId48" Target="https%3A%2F%2Fwww.webofscience.com%2Fwos%2Fwoscc%2Ffull-record%2FWOS%3A001614755400001" TargetMode="External" Type="http://schemas.openxmlformats.org/officeDocument/2006/relationships/hyperlink"/><Relationship Id="rId480" Target="https%3A%2F%2Fwww.webofscience.com%2Fwos%2Fwoscc%2Ffull-record%2FWOS%3A001849396200004" TargetMode="External" Type="http://schemas.openxmlformats.org/officeDocument/2006/relationships/hyperlink"/><Relationship Id="rId481" Target="http%3A%2F%2Fdx.doi.org%2F10.2196%2F76372" TargetMode="External" Type="http://schemas.openxmlformats.org/officeDocument/2006/relationships/hyperlink"/><Relationship Id="rId482" Target="https%3A%2F%2Fwww.webofscience.com%2Fwos%2Fwoscc%2Ffull-record%2FWOS%3A001625277800001" TargetMode="External" Type="http://schemas.openxmlformats.org/officeDocument/2006/relationships/hyperlink"/><Relationship Id="rId483" Target="http%3A%2F%2Fdx.doi.org%2F10.18549%2FPharmPract.2026.3.3652" TargetMode="External" Type="http://schemas.openxmlformats.org/officeDocument/2006/relationships/hyperlink"/><Relationship Id="rId484" Target="https%3A%2F%2Fwww.webofscience.com%2Fwos%2Fwoscc%2Ffull-record%2FWOS%3A001852933100001" TargetMode="External" Type="http://schemas.openxmlformats.org/officeDocument/2006/relationships/hyperlink"/><Relationship Id="rId485" Target="http%3A%2F%2Fdx.doi.org%2F10.1007%2Fs10916-026-02440-y" TargetMode="External" Type="http://schemas.openxmlformats.org/officeDocument/2006/relationships/hyperlink"/><Relationship Id="rId486" Target="https%3A%2F%2Fwww.webofscience.com%2Fwos%2Fwoscc%2Ffull-record%2FWOS%3A001826355900001" TargetMode="External" Type="http://schemas.openxmlformats.org/officeDocument/2006/relationships/hyperlink"/><Relationship Id="rId487" Target="http%3A%2F%2Fdx.doi.org%2F10.1016%2Fj.ijmedinf.2026.106424" TargetMode="External" Type="http://schemas.openxmlformats.org/officeDocument/2006/relationships/hyperlink"/><Relationship Id="rId488" Target="https%3A%2F%2Fwww.webofscience.com%2Fwos%2Fwoscc%2Ffull-record%2FWOS%3A001741714700001" TargetMode="External" Type="http://schemas.openxmlformats.org/officeDocument/2006/relationships/hyperlink"/><Relationship Id="rId489" Target="http%3A%2F%2Fdx.doi.org%2F10.1016%2Fj.jcjq.2026.03.011" TargetMode="External" Type="http://schemas.openxmlformats.org/officeDocument/2006/relationships/hyperlink"/><Relationship Id="rId49" Target="http%3A%2F%2Fdx.doi.org%2F10.1371%2Fjournal.pdig.0001001" TargetMode="External" Type="http://schemas.openxmlformats.org/officeDocument/2006/relationships/hyperlink"/><Relationship Id="rId490" Target="https%3A%2F%2Fwww.webofscience.com%2Fwos%2Fwoscc%2Ffull-record%2FWOS%3A001811298400001" TargetMode="External" Type="http://schemas.openxmlformats.org/officeDocument/2006/relationships/hyperlink"/><Relationship Id="rId491" Target="http%3A%2F%2Fdx.doi.org%2F10.3390%2Flife16010066" TargetMode="External" Type="http://schemas.openxmlformats.org/officeDocument/2006/relationships/hyperlink"/><Relationship Id="rId492" Target="https%3A%2F%2Fwww.webofscience.com%2Fwos%2Fwoscc%2Ffull-record%2FWOS%3A001672804900001" TargetMode="External" Type="http://schemas.openxmlformats.org/officeDocument/2006/relationships/hyperlink"/><Relationship Id="rId493" Target="http%3A%2F%2Fdx.doi.org%2F10.3390%2Fbioengineering12070706" TargetMode="External" Type="http://schemas.openxmlformats.org/officeDocument/2006/relationships/hyperlink"/><Relationship Id="rId494" Target="https%3A%2F%2Fwww.webofscience.com%2Fwos%2Fwoscc%2Ffull-record%2FWOS%3A001535484800001" TargetMode="External" Type="http://schemas.openxmlformats.org/officeDocument/2006/relationships/hyperlink"/><Relationship Id="rId495" Target="http%3A%2F%2Fdx.doi.org%2F10.1016%2Fj.bjoms.2026.01.002" TargetMode="External" Type="http://schemas.openxmlformats.org/officeDocument/2006/relationships/hyperlink"/><Relationship Id="rId496" Target="https%3A%2F%2Fwww.webofscience.com%2Fwos%2Fwoscc%2Ffull-record%2FWOS%3A001741290900001" TargetMode="External" Type="http://schemas.openxmlformats.org/officeDocument/2006/relationships/hyperlink"/><Relationship Id="rId497" Target="http%3A%2F%2Fdx.doi.org%2F10.3390%2Fdiagnostics16050749" TargetMode="External" Type="http://schemas.openxmlformats.org/officeDocument/2006/relationships/hyperlink"/><Relationship Id="rId498" Target="https%3A%2F%2Fwww.webofscience.com%2Fwos%2Fwoscc%2Ffull-record%2FWOS%3A001714579800001" TargetMode="External" Type="http://schemas.openxmlformats.org/officeDocument/2006/relationships/hyperlink"/><Relationship Id="rId499" Target="http%3A%2F%2Fdx.doi.org%2F10.3390%2Fai6080188" TargetMode="External" Type="http://schemas.openxmlformats.org/officeDocument/2006/relationships/hyperlink"/><Relationship Id="rId5" Target="http%3A%2F%2Fdx.doi.org%2F10.3348%2Fkjr.2025.1045" TargetMode="External" Type="http://schemas.openxmlformats.org/officeDocument/2006/relationships/hyperlink"/><Relationship Id="rId50" Target="https%3A%2F%2Fwww.webofscience.com%2Fwos%2Fwoscc%2Ffull-record%2FWOS%3A001566263500003" TargetMode="External" Type="http://schemas.openxmlformats.org/officeDocument/2006/relationships/hyperlink"/><Relationship Id="rId500" Target="https%3A%2F%2Fwww.webofscience.com%2Fwos%2Fwoscc%2Ffull-record%2FWOS%3A001559530000001" TargetMode="External" Type="http://schemas.openxmlformats.org/officeDocument/2006/relationships/hyperlink"/><Relationship Id="rId501" Target="http%3A%2F%2Fdx.doi.org%2F10.3389%2Ffendo.2026.1895366" TargetMode="External" Type="http://schemas.openxmlformats.org/officeDocument/2006/relationships/hyperlink"/><Relationship Id="rId502" Target="https%3A%2F%2Fwww.webofscience.com%2Fwos%2Fwoscc%2Ffull-record%2FWOS%3A001838677300001" TargetMode="External" Type="http://schemas.openxmlformats.org/officeDocument/2006/relationships/hyperlink"/><Relationship Id="rId503" Target="http%3A%2F%2Fdx.doi.org%2F10.2196%2F91727" TargetMode="External" Type="http://schemas.openxmlformats.org/officeDocument/2006/relationships/hyperlink"/><Relationship Id="rId504" Target="https%3A%2F%2Fwww.webofscience.com%2Fwos%2Fwoscc%2Ffull-record%2FWOS%3A001813510300001" TargetMode="External" Type="http://schemas.openxmlformats.org/officeDocument/2006/relationships/hyperlink"/><Relationship Id="rId505" Target="http%3A%2F%2Fdx.doi.org%2F10.3389%2Ffrai.2025.1683322" TargetMode="External" Type="http://schemas.openxmlformats.org/officeDocument/2006/relationships/hyperlink"/><Relationship Id="rId506" Target="https%3A%2F%2Fwww.webofscience.com%2Fwos%2Fwoscc%2Ffull-record%2FWOS%3A001644718100001" TargetMode="External" Type="http://schemas.openxmlformats.org/officeDocument/2006/relationships/hyperlink"/><Relationship Id="rId507" Target="http%3A%2F%2Fdx.doi.org%2F10.1038%2Fs41746-025-01519-z" TargetMode="External" Type="http://schemas.openxmlformats.org/officeDocument/2006/relationships/hyperlink"/><Relationship Id="rId508" Target="https%3A%2F%2Fwww.webofscience.com%2Fwos%2Fwoscc%2Ffull-record%2FWOS%3A001459314000001" TargetMode="External" Type="http://schemas.openxmlformats.org/officeDocument/2006/relationships/hyperlink"/><Relationship Id="rId509" Target="http%3A%2F%2Fdx.doi.org%2F10.3389%2Ffmed.2026.1819087" TargetMode="External" Type="http://schemas.openxmlformats.org/officeDocument/2006/relationships/hyperlink"/><Relationship Id="rId51" Target="http%3A%2F%2Fdx.doi.org%2F10.3390%2Fmps9030069" TargetMode="External" Type="http://schemas.openxmlformats.org/officeDocument/2006/relationships/hyperlink"/><Relationship Id="rId510" Target="https%3A%2F%2Fwww.webofscience.com%2Fwos%2Fwoscc%2Ffull-record%2FWOS%3A001756791700001" TargetMode="External" Type="http://schemas.openxmlformats.org/officeDocument/2006/relationships/hyperlink"/><Relationship Id="rId511" Target="http%3A%2F%2Fdx.doi.org%2F10.3389%2Ffpubh.2026.1833611" TargetMode="External" Type="http://schemas.openxmlformats.org/officeDocument/2006/relationships/hyperlink"/><Relationship Id="rId512" Target="https%3A%2F%2Fwww.webofscience.com%2Fwos%2Fwoscc%2Ffull-record%2FWOS%3A001791642600001" TargetMode="External" Type="http://schemas.openxmlformats.org/officeDocument/2006/relationships/hyperlink"/><Relationship Id="rId513" Target="http%3A%2F%2Fdx.doi.org%2F10.1007%2Fs00586-026-10280-0" TargetMode="External" Type="http://schemas.openxmlformats.org/officeDocument/2006/relationships/hyperlink"/><Relationship Id="rId514" Target="https%3A%2F%2Fwww.webofscience.com%2Fwos%2Fwoscc%2Ffull-record%2FWOS%3A001850836400001" TargetMode="External" Type="http://schemas.openxmlformats.org/officeDocument/2006/relationships/hyperlink"/><Relationship Id="rId515" Target="http%3A%2F%2Fdx.doi.org%2F10.1016%2Fj.jgo.2026.102980" TargetMode="External" Type="http://schemas.openxmlformats.org/officeDocument/2006/relationships/hyperlink"/><Relationship Id="rId516" Target="https%3A%2F%2Fwww.webofscience.com%2Fwos%2Fwoscc%2Ffull-record%2FWOS%3A001757401500001" TargetMode="External" Type="http://schemas.openxmlformats.org/officeDocument/2006/relationships/hyperlink"/><Relationship Id="rId517" Target="http%3A%2F%2Fdx.doi.org%2F10.1016%2Fj.accpm.2026.101769" TargetMode="External" Type="http://schemas.openxmlformats.org/officeDocument/2006/relationships/hyperlink"/><Relationship Id="rId518" Target="https%3A%2F%2Fwww.webofscience.com%2Fwos%2Fwoscc%2Ffull-record%2FWOS%3A001707320600001" TargetMode="External" Type="http://schemas.openxmlformats.org/officeDocument/2006/relationships/hyperlink"/><Relationship Id="rId519" Target="http%3A%2F%2Fdx.doi.org%2F10.2196%2F98207" TargetMode="External" Type="http://schemas.openxmlformats.org/officeDocument/2006/relationships/hyperlink"/><Relationship Id="rId52" Target="https%3A%2F%2Fwww.webofscience.com%2Fwos%2Fwoscc%2Ffull-record%2FWOS%3A001804705200001" TargetMode="External" Type="http://schemas.openxmlformats.org/officeDocument/2006/relationships/hyperlink"/><Relationship Id="rId520" Target="https%3A%2F%2Fwww.webofscience.com%2Fwos%2Fwoscc%2Ffull-record%2FWOS%3A001841699400002" TargetMode="External" Type="http://schemas.openxmlformats.org/officeDocument/2006/relationships/hyperlink"/><Relationship Id="rId521" Target="http%3A%2F%2Fdx.doi.org%2F10.2196%2F77580" TargetMode="External" Type="http://schemas.openxmlformats.org/officeDocument/2006/relationships/hyperlink"/><Relationship Id="rId522" Target="https%3A%2F%2Fwww.webofscience.com%2Fwos%2Fwoscc%2Ffull-record%2FWOS%3A001639344900039" TargetMode="External" Type="http://schemas.openxmlformats.org/officeDocument/2006/relationships/hyperlink"/><Relationship Id="rId523" Target="http%3A%2F%2Fdx.doi.org%2F10.3390%2Fhealthcare14060739" TargetMode="External" Type="http://schemas.openxmlformats.org/officeDocument/2006/relationships/hyperlink"/><Relationship Id="rId524" Target="https%3A%2F%2Fwww.webofscience.com%2Fwos%2Fwoscc%2Ffull-record%2FWOS%3A001725520900001" TargetMode="External" Type="http://schemas.openxmlformats.org/officeDocument/2006/relationships/hyperlink"/><Relationship Id="rId525" Target="http%3A%2F%2Fdx.doi.org%2F10.1111%2Fanae.16755" TargetMode="External" Type="http://schemas.openxmlformats.org/officeDocument/2006/relationships/hyperlink"/><Relationship Id="rId526" Target="https%3A%2F%2Fwww.webofscience.com%2Fwos%2Fwoscc%2Ffull-record%2FWOS%3A001574603700001" TargetMode="External" Type="http://schemas.openxmlformats.org/officeDocument/2006/relationships/hyperlink"/><Relationship Id="rId527" Target="http%3A%2F%2Fdx.doi.org%2F10.1371%2Fjournal.pdig.0001474" TargetMode="External" Type="http://schemas.openxmlformats.org/officeDocument/2006/relationships/hyperlink"/><Relationship Id="rId528" Target="https%3A%2F%2Fwww.webofscience.com%2Fwos%2Fwoscc%2Ffull-record%2FWOS%3A001791210000001" TargetMode="External" Type="http://schemas.openxmlformats.org/officeDocument/2006/relationships/hyperlink"/><Relationship Id="rId529" Target="http%3A%2F%2Fdx.doi.org%2F10.2196%2F79379" TargetMode="External" Type="http://schemas.openxmlformats.org/officeDocument/2006/relationships/hyperlink"/><Relationship Id="rId53" Target="http%3A%2F%2Fdx.doi.org%2F10.1016%2Fj.xops.2025.101004" TargetMode="External" Type="http://schemas.openxmlformats.org/officeDocument/2006/relationships/hyperlink"/><Relationship Id="rId530" Target="https%3A%2F%2Fwww.webofscience.com%2Fwos%2Fwoscc%2Ffull-record%2FWOS%3A001615795200002" TargetMode="External" Type="http://schemas.openxmlformats.org/officeDocument/2006/relationships/hyperlink"/><Relationship Id="rId531" Target="http%3A%2F%2Fdx.doi.org%2F10.1016%2Fj.landig.2025.100949" TargetMode="External" Type="http://schemas.openxmlformats.org/officeDocument/2006/relationships/hyperlink"/><Relationship Id="rId532" Target="https%3A%2F%2Fwww.webofscience.com%2Fwos%2Fwoscc%2Ffull-record%2FWOS%3A001691380400001" TargetMode="External" Type="http://schemas.openxmlformats.org/officeDocument/2006/relationships/hyperlink"/><Relationship Id="rId533" Target="http%3A%2F%2Fdx.doi.org%2F10.1016%2Fj.mcpdig.2025.100198" TargetMode="External" Type="http://schemas.openxmlformats.org/officeDocument/2006/relationships/hyperlink"/><Relationship Id="rId534" Target="https%3A%2F%2Fwww.webofscience.com%2Fwos%2Fwoscc%2Ffull-record%2FWOS%3A001547248700012" TargetMode="External" Type="http://schemas.openxmlformats.org/officeDocument/2006/relationships/hyperlink"/><Relationship Id="rId535" Target="http%3A%2F%2Fdx.doi.org%2F10.3389%2Ffpubh.2026.1843045" TargetMode="External" Type="http://schemas.openxmlformats.org/officeDocument/2006/relationships/hyperlink"/><Relationship Id="rId536" Target="https%3A%2F%2Fwww.webofscience.com%2Fwos%2Fwoscc%2Ffull-record%2FWOS%3A001769411600001" TargetMode="External" Type="http://schemas.openxmlformats.org/officeDocument/2006/relationships/hyperlink"/><Relationship Id="rId537" Target="http%3A%2F%2Fdx.doi.org%2F10.1007%2Fs00345-025-05990-x" TargetMode="External" Type="http://schemas.openxmlformats.org/officeDocument/2006/relationships/hyperlink"/><Relationship Id="rId538" Target="https%3A%2F%2Fwww.webofscience.com%2Fwos%2Fwoscc%2Ffull-record%2FWOS%3A001591920500001" TargetMode="External" Type="http://schemas.openxmlformats.org/officeDocument/2006/relationships/hyperlink"/><Relationship Id="rId539" Target="http%3A%2F%2Fdx.doi.org%2F10.2196%2F76454" TargetMode="External" Type="http://schemas.openxmlformats.org/officeDocument/2006/relationships/hyperlink"/><Relationship Id="rId54" Target="https%3A%2F%2Fwww.webofscience.com%2Fwos%2Fwoscc%2Ffull-record%2FWOS%3A001644388100001" TargetMode="External" Type="http://schemas.openxmlformats.org/officeDocument/2006/relationships/hyperlink"/><Relationship Id="rId540" Target="https%3A%2F%2Fwww.webofscience.com%2Fwos%2Fwoscc%2Ffull-record%2FWOS%3A001668320400001" TargetMode="External" Type="http://schemas.openxmlformats.org/officeDocument/2006/relationships/hyperlink"/><Relationship Id="rId541" Target="http%3A%2F%2Fdx.doi.org%2F10.2196%2F81807" TargetMode="External" Type="http://schemas.openxmlformats.org/officeDocument/2006/relationships/hyperlink"/><Relationship Id="rId542" Target="https%3A%2F%2Fwww.webofscience.com%2Fwos%2Fwoscc%2Ffull-record%2FWOS%3A001628073100001" TargetMode="External" Type="http://schemas.openxmlformats.org/officeDocument/2006/relationships/hyperlink"/><Relationship Id="rId543" Target="http%3A%2F%2Fdx.doi.org%2F10.1038%2Fs41598-025-31010-4" TargetMode="External" Type="http://schemas.openxmlformats.org/officeDocument/2006/relationships/hyperlink"/><Relationship Id="rId544" Target="https%3A%2F%2Fwww.webofscience.com%2Fwos%2Fwoscc%2Ffull-record%2FWOS%3A001660355800003" TargetMode="External" Type="http://schemas.openxmlformats.org/officeDocument/2006/relationships/hyperlink"/><Relationship Id="rId545" Target="http%3A%2F%2Fdx.doi.org%2F10.2196%2F86974" TargetMode="External" Type="http://schemas.openxmlformats.org/officeDocument/2006/relationships/hyperlink"/><Relationship Id="rId546" Target="https%3A%2F%2Fwww.webofscience.com%2Fwos%2Fwoscc%2Ffull-record%2FWOS%3A001814399500001" TargetMode="External" Type="http://schemas.openxmlformats.org/officeDocument/2006/relationships/hyperlink"/><Relationship Id="rId547" Target="http%3A%2F%2Fdx.doi.org%2F10.1245%2Fs10434-025-18492-2" TargetMode="External" Type="http://schemas.openxmlformats.org/officeDocument/2006/relationships/hyperlink"/><Relationship Id="rId548" Target="https%3A%2F%2Fwww.webofscience.com%2Fwos%2Fwoscc%2Ffull-record%2FWOS%3A001595116500001" TargetMode="External" Type="http://schemas.openxmlformats.org/officeDocument/2006/relationships/hyperlink"/><Relationship Id="rId549" Target="http%3A%2F%2Fdx.doi.org%2F10.1007%2Fs11255-026-05118-z" TargetMode="External" Type="http://schemas.openxmlformats.org/officeDocument/2006/relationships/hyperlink"/><Relationship Id="rId55" Target="http%3A%2F%2Fdx.doi.org%2F10.1016%2Fj.asoc.2023.111165" TargetMode="External" Type="http://schemas.openxmlformats.org/officeDocument/2006/relationships/hyperlink"/><Relationship Id="rId550" Target="https%3A%2F%2Fwww.webofscience.com%2Fwos%2Fwoscc%2Ffull-record%2FWOS%3A001724319900001" TargetMode="External" Type="http://schemas.openxmlformats.org/officeDocument/2006/relationships/hyperlink"/><Relationship Id="rId551" Target="http%3A%2F%2Fdx.doi.org%2F10.1016%2Fj.fas.2024.01.008" TargetMode="External" Type="http://schemas.openxmlformats.org/officeDocument/2006/relationships/hyperlink"/><Relationship Id="rId552" Target="https%3A%2F%2Fwww.webofscience.com%2Fwos%2Fwoscc%2Ffull-record%2FWOS%3A001295050300001" TargetMode="External" Type="http://schemas.openxmlformats.org/officeDocument/2006/relationships/hyperlink"/><Relationship Id="rId553" Target="http%3A%2F%2Fdx.doi.org%2F10.1200%2FCCI-25-00220" TargetMode="External" Type="http://schemas.openxmlformats.org/officeDocument/2006/relationships/hyperlink"/><Relationship Id="rId554" Target="https%3A%2F%2Fwww.webofscience.com%2Fwos%2Fwoscc%2Ffull-record%2FWOS%3A001607652000001" TargetMode="External" Type="http://schemas.openxmlformats.org/officeDocument/2006/relationships/hyperlink"/><Relationship Id="rId555" Target="http%3A%2F%2Fdx.doi.org%2F10.3389%2Ffspor.2026.1775462" TargetMode="External" Type="http://schemas.openxmlformats.org/officeDocument/2006/relationships/hyperlink"/><Relationship Id="rId556" Target="https%3A%2F%2Fwww.webofscience.com%2Fwos%2Fwoscc%2Ffull-record%2FWOS%3A001811868400001" TargetMode="External" Type="http://schemas.openxmlformats.org/officeDocument/2006/relationships/hyperlink"/><Relationship Id="rId557" Target="http%3A%2F%2Fdx.doi.org%2F10.1007%2Fs00417-025-07092-1" TargetMode="External" Type="http://schemas.openxmlformats.org/officeDocument/2006/relationships/hyperlink"/><Relationship Id="rId558" Target="https%3A%2F%2Fwww.webofscience.com%2Fwos%2Fwoscc%2Ffull-record%2FWOS%3A001653182200001" TargetMode="External" Type="http://schemas.openxmlformats.org/officeDocument/2006/relationships/hyperlink"/><Relationship Id="rId559" Target="http%3A%2F%2Fdx.doi.org%2F10.1007%2Fs00702-026-03243-8" TargetMode="External" Type="http://schemas.openxmlformats.org/officeDocument/2006/relationships/hyperlink"/><Relationship Id="rId56" Target="https%3A%2F%2Fwww.webofscience.com%2Fwos%2Fwoscc%2Ffull-record%2FWOS%3A001143416400001" TargetMode="External" Type="http://schemas.openxmlformats.org/officeDocument/2006/relationships/hyperlink"/><Relationship Id="rId560" Target="https%3A%2F%2Fwww.webofscience.com%2Fwos%2Fwoscc%2Ffull-record%2FWOS%3A001828542900001" TargetMode="External" Type="http://schemas.openxmlformats.org/officeDocument/2006/relationships/hyperlink"/><Relationship Id="rId561" Target="http%3A%2F%2Fdx.doi.org%2F10.2196%2F69857" TargetMode="External" Type="http://schemas.openxmlformats.org/officeDocument/2006/relationships/hyperlink"/><Relationship Id="rId562" Target="https%3A%2F%2Fwww.webofscience.com%2Fwos%2Fwoscc%2Ffull-record%2FWOS%3A001555932000007" TargetMode="External" Type="http://schemas.openxmlformats.org/officeDocument/2006/relationships/hyperlink"/><Relationship Id="rId563" Target="http%3A%2F%2Fdx.doi.org%2F10.1177%2F14604582261448687" TargetMode="External" Type="http://schemas.openxmlformats.org/officeDocument/2006/relationships/hyperlink"/><Relationship Id="rId564" Target="https%3A%2F%2Fwww.webofscience.com%2Fwos%2Fwoscc%2Ffull-record%2FWOS%3A001754160100001" TargetMode="External" Type="http://schemas.openxmlformats.org/officeDocument/2006/relationships/hyperlink"/><Relationship Id="rId565" Target="http%3A%2F%2Fdx.doi.org%2F10.1186%2Fs12871-025-03605-x" TargetMode="External" Type="http://schemas.openxmlformats.org/officeDocument/2006/relationships/hyperlink"/><Relationship Id="rId566" Target="https%3A%2F%2Fwww.webofscience.com%2Fwos%2Fwoscc%2Ffull-record%2FWOS%3A001681310700001" TargetMode="External" Type="http://schemas.openxmlformats.org/officeDocument/2006/relationships/hyperlink"/><Relationship Id="rId567" Target="http%3A%2F%2Fdx.doi.org%2F10.2196%2F60291" TargetMode="External" Type="http://schemas.openxmlformats.org/officeDocument/2006/relationships/hyperlink"/><Relationship Id="rId568" Target="https%3A%2F%2Fwww.webofscience.com%2Fwos%2Fwoscc%2Ffull-record%2FWOS%3A001362394500001" TargetMode="External" Type="http://schemas.openxmlformats.org/officeDocument/2006/relationships/hyperlink"/><Relationship Id="rId569" Target="http%3A%2F%2Fdx.doi.org%2F10.2196%2F90061" TargetMode="External" Type="http://schemas.openxmlformats.org/officeDocument/2006/relationships/hyperlink"/><Relationship Id="rId57" Target="http%3A%2F%2Fdx.doi.org%2F10.3390%2Finfo16010013" TargetMode="External" Type="http://schemas.openxmlformats.org/officeDocument/2006/relationships/hyperlink"/><Relationship Id="rId570" Target="https%3A%2F%2Fwww.webofscience.com%2Fwos%2Fwoscc%2Ffull-record%2FWOS%3A001802649100002" TargetMode="External" Type="http://schemas.openxmlformats.org/officeDocument/2006/relationships/hyperlink"/><Relationship Id="rId571" Target="http%3A%2F%2Fdx.doi.org%2F10.2196%2F68603" TargetMode="External" Type="http://schemas.openxmlformats.org/officeDocument/2006/relationships/hyperlink"/><Relationship Id="rId572" Target="https%3A%2F%2Fwww.webofscience.com%2Fwos%2Fwoscc%2Ffull-record%2FWOS%3A001567995900002" TargetMode="External" Type="http://schemas.openxmlformats.org/officeDocument/2006/relationships/hyperlink"/><Relationship Id="rId573" Target="http%3A%2F%2Fdx.doi.org%2F10.1007%2Fs00296-025-05996-z" TargetMode="External" Type="http://schemas.openxmlformats.org/officeDocument/2006/relationships/hyperlink"/><Relationship Id="rId574" Target="https%3A%2F%2Fwww.webofscience.com%2Fwos%2Fwoscc%2Ffull-record%2FWOS%3A001582834100001" TargetMode="External" Type="http://schemas.openxmlformats.org/officeDocument/2006/relationships/hyperlink"/><Relationship Id="rId575" Target="http%3A%2F%2Fdx.doi.org%2F10.3390%2Fnu18142228" TargetMode="External" Type="http://schemas.openxmlformats.org/officeDocument/2006/relationships/hyperlink"/><Relationship Id="rId576" Target="https%3A%2F%2Fwww.webofscience.com%2Fwos%2Fwoscc%2Ffull-record%2FWOS%3A001833122800001" TargetMode="External" Type="http://schemas.openxmlformats.org/officeDocument/2006/relationships/hyperlink"/><Relationship Id="rId577" Target="http%3A%2F%2Fdx.doi.org%2F10.1186%2Fs40635-024-00656-1" TargetMode="External" Type="http://schemas.openxmlformats.org/officeDocument/2006/relationships/hyperlink"/><Relationship Id="rId578" Target="https%3A%2F%2Fwww.webofscience.com%2Fwos%2Fwoscc%2Ffull-record%2FWOS%3A001291235300001" TargetMode="External" Type="http://schemas.openxmlformats.org/officeDocument/2006/relationships/hyperlink"/><Relationship Id="rId579" Target="http%3A%2F%2Fdx.doi.org%2F10.1186%2Fs12911-025-03202-5" TargetMode="External" Type="http://schemas.openxmlformats.org/officeDocument/2006/relationships/hyperlink"/><Relationship Id="rId58" Target="https%3A%2F%2Fwww.webofscience.com%2Fwos%2Fwoscc%2Ffull-record%2FWOS%3A001404263700001" TargetMode="External" Type="http://schemas.openxmlformats.org/officeDocument/2006/relationships/hyperlink"/><Relationship Id="rId580" Target="https%3A%2F%2Fwww.webofscience.com%2Fwos%2Fwoscc%2Ffull-record%2FWOS%3A001586144800016" TargetMode="External" Type="http://schemas.openxmlformats.org/officeDocument/2006/relationships/hyperlink"/><Relationship Id="rId581" Target="http%3A%2F%2Fdx.doi.org%2F10.1016%2Fj.japh.2026.103077" TargetMode="External" Type="http://schemas.openxmlformats.org/officeDocument/2006/relationships/hyperlink"/><Relationship Id="rId582" Target="https%3A%2F%2Fwww.webofscience.com%2Fwos%2Fwoscc%2Ffull-record%2FWOS%3A001744780500001" TargetMode="External" Type="http://schemas.openxmlformats.org/officeDocument/2006/relationships/hyperlink"/><Relationship Id="rId583" Target="http%3A%2F%2Fdx.doi.org%2F10.1007%2Fs10266-026-01498-x" TargetMode="External" Type="http://schemas.openxmlformats.org/officeDocument/2006/relationships/hyperlink"/><Relationship Id="rId584" Target="https%3A%2F%2Fwww.webofscience.com%2Fwos%2Fwoscc%2Ffull-record%2FWOS%3A001813777200001" TargetMode="External" Type="http://schemas.openxmlformats.org/officeDocument/2006/relationships/hyperlink"/><Relationship Id="rId585" Target="http%3A%2F%2Fdx.doi.org%2F10.3390%2Ftechnologies13040140" TargetMode="External" Type="http://schemas.openxmlformats.org/officeDocument/2006/relationships/hyperlink"/><Relationship Id="rId586" Target="https%3A%2F%2Fwww.webofscience.com%2Fwos%2Fwoscc%2Ffull-record%2FWOS%3A001474312700001" TargetMode="External" Type="http://schemas.openxmlformats.org/officeDocument/2006/relationships/hyperlink"/><Relationship Id="rId587" Target="http%3A%2F%2Fdx.doi.org%2F10.1515%2Fcclm-2026-0435" TargetMode="External" Type="http://schemas.openxmlformats.org/officeDocument/2006/relationships/hyperlink"/><Relationship Id="rId588" Target="https%3A%2F%2Fwww.webofscience.com%2Fwos%2Fwoscc%2Ffull-record%2FWOS%3A001748703700001" TargetMode="External" Type="http://schemas.openxmlformats.org/officeDocument/2006/relationships/hyperlink"/><Relationship Id="rId589" Target="http%3A%2F%2Fdx.doi.org%2F10.2196%2F71252" TargetMode="External" Type="http://schemas.openxmlformats.org/officeDocument/2006/relationships/hyperlink"/><Relationship Id="rId59" Target="http%3A%2F%2Fdx.doi.org%2F10.3390%2Finfo17030258" TargetMode="External" Type="http://schemas.openxmlformats.org/officeDocument/2006/relationships/hyperlink"/><Relationship Id="rId590" Target="https%3A%2F%2Fwww.webofscience.com%2Fwos%2Fwoscc%2Ffull-record%2FWOS%3A001604462300001" TargetMode="External" Type="http://schemas.openxmlformats.org/officeDocument/2006/relationships/hyperlink"/><Relationship Id="rId591" Target="http%3A%2F%2Fdx.doi.org%2F10.2196%2F77707" TargetMode="External" Type="http://schemas.openxmlformats.org/officeDocument/2006/relationships/hyperlink"/><Relationship Id="rId592" Target="https%3A%2F%2Fwww.webofscience.com%2Fwos%2Fwoscc%2Ffull-record%2FWOS%3A001639344900042" TargetMode="External" Type="http://schemas.openxmlformats.org/officeDocument/2006/relationships/hyperlink"/><Relationship Id="rId593" Target="http%3A%2F%2Fdx.doi.org%2F10.1200%2FOP-24-00992" TargetMode="External" Type="http://schemas.openxmlformats.org/officeDocument/2006/relationships/hyperlink"/><Relationship Id="rId594" Target="https%3A%2F%2Fwww.webofscience.com%2Fwos%2Fwoscc%2Ffull-record%2FWOS%3A001692493100002" TargetMode="External" Type="http://schemas.openxmlformats.org/officeDocument/2006/relationships/hyperlink"/><Relationship Id="rId595" Target="http%3A%2F%2Fdx.doi.org%2F10.1016%2Fj.puhe.2025.106042" TargetMode="External" Type="http://schemas.openxmlformats.org/officeDocument/2006/relationships/hyperlink"/><Relationship Id="rId596" Target="https%3A%2F%2Fwww.webofscience.com%2Fwos%2Fwoscc%2Ffull-record%2FWOS%3A001618496600001" TargetMode="External" Type="http://schemas.openxmlformats.org/officeDocument/2006/relationships/hyperlink"/><Relationship Id="rId597" Target="http%3A%2F%2Fdx.doi.org%2F10.1080%2F15569527.2026.2656177" TargetMode="External" Type="http://schemas.openxmlformats.org/officeDocument/2006/relationships/hyperlink"/><Relationship Id="rId598" Target="https%3A%2F%2Fwww.webofscience.com%2Fwos%2Fwoscc%2Ffull-record%2FWOS%3A001742123300001" TargetMode="External" Type="http://schemas.openxmlformats.org/officeDocument/2006/relationships/hyperlink"/><Relationship Id="rId599" Target="http%3A%2F%2Fdx.doi.org%2F10.3390%2Fdiagnostics15151919" TargetMode="External" Type="http://schemas.openxmlformats.org/officeDocument/2006/relationships/hyperlink"/><Relationship Id="rId6" Target="https%3A%2F%2Fwww.webofscience.com%2Fwos%2Fwoscc%2Ffull-record%2FWOS%3A001699173100005" TargetMode="External" Type="http://schemas.openxmlformats.org/officeDocument/2006/relationships/hyperlink"/><Relationship Id="rId60" Target="https%3A%2F%2Fwww.webofscience.com%2Fwos%2Fwoscc%2Ffull-record%2FWOS%3A001725649900001" TargetMode="External" Type="http://schemas.openxmlformats.org/officeDocument/2006/relationships/hyperlink"/><Relationship Id="rId600" Target="https%3A%2F%2Fwww.webofscience.com%2Fwos%2Fwoscc%2Ffull-record%2FWOS%3A001551194100001" TargetMode="External" Type="http://schemas.openxmlformats.org/officeDocument/2006/relationships/hyperlink"/><Relationship Id="rId601" Target="http%3A%2F%2Fdx.doi.org%2F10.1177%2F20552076261481380" TargetMode="External" Type="http://schemas.openxmlformats.org/officeDocument/2006/relationships/hyperlink"/><Relationship Id="rId602" Target="https%3A%2F%2Fwww.webofscience.com%2Fwos%2Fwoscc%2Ffull-record%2FWOS%3A001853238100001" TargetMode="External" Type="http://schemas.openxmlformats.org/officeDocument/2006/relationships/hyperlink"/><Relationship Id="rId603" Target="http%3A%2F%2Fdx.doi.org%2F10.2196%2F97136" TargetMode="External" Type="http://schemas.openxmlformats.org/officeDocument/2006/relationships/hyperlink"/><Relationship Id="rId604" Target="https%3A%2F%2Fwww.webofscience.com%2Fwos%2Fwoscc%2Ffull-record%2FWOS%3A001828862300003" TargetMode="External" Type="http://schemas.openxmlformats.org/officeDocument/2006/relationships/hyperlink"/><Relationship Id="rId605" Target="http%3A%2F%2Fdx.doi.org%2F10.1016%2Fj.ejogrb.2026.115351" TargetMode="External" Type="http://schemas.openxmlformats.org/officeDocument/2006/relationships/hyperlink"/><Relationship Id="rId606" Target="https%3A%2F%2Fwww.webofscience.com%2Fwos%2Fwoscc%2Ffull-record%2FWOS%3A001843849000001" TargetMode="External" Type="http://schemas.openxmlformats.org/officeDocument/2006/relationships/hyperlink"/><Relationship Id="rId607" Target="http%3A%2F%2Fdx.doi.org%2F10.1007%2Fs10278-025-01685-2" TargetMode="External" Type="http://schemas.openxmlformats.org/officeDocument/2006/relationships/hyperlink"/><Relationship Id="rId608" Target="https%3A%2F%2Fwww.webofscience.com%2Fwos%2Fwoscc%2Ffull-record%2FWOS%3A001583096600001" TargetMode="External" Type="http://schemas.openxmlformats.org/officeDocument/2006/relationships/hyperlink"/><Relationship Id="rId609" Target="http%3A%2F%2Fdx.doi.org%2F10.1007%2Fs00330-025-12122-x" TargetMode="External" Type="http://schemas.openxmlformats.org/officeDocument/2006/relationships/hyperlink"/><Relationship Id="rId61" Target="http%3A%2F%2Fdx.doi.org%2F10.1007%2Fs10489-024-05934-9" TargetMode="External" Type="http://schemas.openxmlformats.org/officeDocument/2006/relationships/hyperlink"/><Relationship Id="rId610" Target="https%3A%2F%2Fwww.webofscience.com%2Fwos%2Fwoscc%2Ffull-record%2FWOS%3A001618134800001" TargetMode="External" Type="http://schemas.openxmlformats.org/officeDocument/2006/relationships/hyperlink"/><Relationship Id="rId611" Target="http%3A%2F%2Fdx.doi.org%2F10.14740%2Fgr2062" TargetMode="External" Type="http://schemas.openxmlformats.org/officeDocument/2006/relationships/hyperlink"/><Relationship Id="rId612" Target="https%3A%2F%2Fwww.webofscience.com%2Fwos%2Fwoscc%2Ffull-record%2FWOS%3A001597309000004" TargetMode="External" Type="http://schemas.openxmlformats.org/officeDocument/2006/relationships/hyperlink"/><Relationship Id="rId613" Target="http%3A%2F%2Fdx.doi.org%2F10.2196%2F55648" TargetMode="External" Type="http://schemas.openxmlformats.org/officeDocument/2006/relationships/hyperlink"/><Relationship Id="rId614" Target="https%3A%2F%2Fwww.webofscience.com%2Fwos%2Fwoscc%2Ffull-record%2FWOS%3A001334857400004" TargetMode="External" Type="http://schemas.openxmlformats.org/officeDocument/2006/relationships/hyperlink"/><Relationship Id="rId615" Target="http%3A%2F%2Fdx.doi.org%2F10.1016%2Fj.ijmedinf.2024.105654" TargetMode="External" Type="http://schemas.openxmlformats.org/officeDocument/2006/relationships/hyperlink"/><Relationship Id="rId616" Target="https%3A%2F%2Fwww.webofscience.com%2Fwos%2Fwoscc%2Ffull-record%2FWOS%3A001343302900001" TargetMode="External" Type="http://schemas.openxmlformats.org/officeDocument/2006/relationships/hyperlink"/><Relationship Id="rId617" Target="http%3A%2F%2Fdx.doi.org%2F10.1007%2Fs11596-026-00219-3" TargetMode="External" Type="http://schemas.openxmlformats.org/officeDocument/2006/relationships/hyperlink"/><Relationship Id="rId618" Target="https%3A%2F%2Fwww.webofscience.com%2Fwos%2Fwoscc%2Ffull-record%2FWOS%3A001809290200001" TargetMode="External" Type="http://schemas.openxmlformats.org/officeDocument/2006/relationships/hyperlink"/><Relationship Id="rId619" Target="http%3A%2F%2Fdx.doi.org%2F10.3390%2Fcurroncol33060309" TargetMode="External" Type="http://schemas.openxmlformats.org/officeDocument/2006/relationships/hyperlink"/><Relationship Id="rId62" Target="https%3A%2F%2Fwww.webofscience.com%2Fwos%2Fwoscc%2Ffull-record%2FWOS%3A001372650800004" TargetMode="External" Type="http://schemas.openxmlformats.org/officeDocument/2006/relationships/hyperlink"/><Relationship Id="rId620" Target="https%3A%2F%2Fwww.webofscience.com%2Fwos%2Fwoscc%2Ffull-record%2FWOS%3A001803542500001" TargetMode="External" Type="http://schemas.openxmlformats.org/officeDocument/2006/relationships/hyperlink"/><Relationship Id="rId621" Target="http%3A%2F%2Fdx.doi.org%2F10.3390%2Fjcm14165697" TargetMode="External" Type="http://schemas.openxmlformats.org/officeDocument/2006/relationships/hyperlink"/><Relationship Id="rId622" Target="https%3A%2F%2Fwww.webofscience.com%2Fwos%2Fwoscc%2Ffull-record%2FWOS%3A001557780600001" TargetMode="External" Type="http://schemas.openxmlformats.org/officeDocument/2006/relationships/hyperlink"/><Relationship Id="rId623" Target="http%3A%2F%2Fdx.doi.org%2F10.1186%2Fs12967-026-07738-6" TargetMode="External" Type="http://schemas.openxmlformats.org/officeDocument/2006/relationships/hyperlink"/><Relationship Id="rId624" Target="https%3A%2F%2Fwww.webofscience.com%2Fwos%2Fwoscc%2Ffull-record%2FWOS%3A001714837200001" TargetMode="External" Type="http://schemas.openxmlformats.org/officeDocument/2006/relationships/hyperlink"/><Relationship Id="rId625" Target="http%3A%2F%2Fdx.doi.org%2F10.2196%2F88834" TargetMode="External" Type="http://schemas.openxmlformats.org/officeDocument/2006/relationships/hyperlink"/><Relationship Id="rId626" Target="https%3A%2F%2Fwww.webofscience.com%2Fwos%2Fwoscc%2Ffull-record%2FWOS%3A001813507700001" TargetMode="External" Type="http://schemas.openxmlformats.org/officeDocument/2006/relationships/hyperlink"/><Relationship Id="rId627" Target="http%3A%2F%2Fdx.doi.org%2F10.3390%2Fhealthcare14131909" TargetMode="External" Type="http://schemas.openxmlformats.org/officeDocument/2006/relationships/hyperlink"/><Relationship Id="rId628" Target="https%3A%2F%2Fwww.webofscience.com%2Fwos%2Fwoscc%2Ffull-record%2FWOS%3A001818567100001" TargetMode="External" Type="http://schemas.openxmlformats.org/officeDocument/2006/relationships/hyperlink"/><Relationship Id="rId629" Target="http%3A%2F%2Fdx.doi.org%2F10.1136%2Farchdischild-2025-329505" TargetMode="External" Type="http://schemas.openxmlformats.org/officeDocument/2006/relationships/hyperlink"/><Relationship Id="rId63" Target="http%3A%2F%2Fdx.doi.org%2F10.1080%2F09553002.2026.2654427" TargetMode="External" Type="http://schemas.openxmlformats.org/officeDocument/2006/relationships/hyperlink"/><Relationship Id="rId630" Target="https%3A%2F%2Fwww.webofscience.com%2Fwos%2Fwoscc%2Ffull-record%2FWOS%3A001620249500001" TargetMode="External" Type="http://schemas.openxmlformats.org/officeDocument/2006/relationships/hyperlink"/><Relationship Id="rId631" Target="http%3A%2F%2Fdx.doi.org%2F10.1007%2Fs43465-026-01827-w" TargetMode="External" Type="http://schemas.openxmlformats.org/officeDocument/2006/relationships/hyperlink"/><Relationship Id="rId632" Target="https%3A%2F%2Fwww.webofscience.com%2Fwos%2Fwoscc%2Ffull-record%2FWOS%3A001777559400001" TargetMode="External" Type="http://schemas.openxmlformats.org/officeDocument/2006/relationships/hyperlink"/><Relationship Id="rId633" Target="http%3A%2F%2Fdx.doi.org%2F10.2196%2F63190" TargetMode="External" Type="http://schemas.openxmlformats.org/officeDocument/2006/relationships/hyperlink"/><Relationship Id="rId634" Target="https%3A%2F%2Fwww.webofscience.com%2Fwos%2Fwoscc%2Ffull-record%2FWOS%3A001434936200002" TargetMode="External" Type="http://schemas.openxmlformats.org/officeDocument/2006/relationships/hyperlink"/><Relationship Id="rId635" Target="http%3A%2F%2Fdx.doi.org%2F10.2196%2F54758" TargetMode="External" Type="http://schemas.openxmlformats.org/officeDocument/2006/relationships/hyperlink"/><Relationship Id="rId636" Target="https%3A%2F%2Fwww.webofscience.com%2Fwos%2Fwoscc%2Ffull-record%2FWOS%3A001539311000002" TargetMode="External" Type="http://schemas.openxmlformats.org/officeDocument/2006/relationships/hyperlink"/><Relationship Id="rId637" Target="http%3A%2F%2Fdx.doi.org%2F10.3390%2Fapp16052300" TargetMode="External" Type="http://schemas.openxmlformats.org/officeDocument/2006/relationships/hyperlink"/><Relationship Id="rId638" Target="https%3A%2F%2Fwww.webofscience.com%2Fwos%2Fwoscc%2Ffull-record%2FWOS%3A001714134300001" TargetMode="External" Type="http://schemas.openxmlformats.org/officeDocument/2006/relationships/hyperlink"/><Relationship Id="rId639" Target="http%3A%2F%2Fdx.doi.org%2F10.3390%2Fdiagnostics14010090" TargetMode="External" Type="http://schemas.openxmlformats.org/officeDocument/2006/relationships/hyperlink"/><Relationship Id="rId64" Target="https%3A%2F%2Fwww.webofscience.com%2Fwos%2Fwoscc%2Ffull-record%2FWOS%3A001751567300001" TargetMode="External" Type="http://schemas.openxmlformats.org/officeDocument/2006/relationships/hyperlink"/><Relationship Id="rId640" Target="https%3A%2F%2Fwww.webofscience.com%2Fwos%2Fwoscc%2Ffull-record%2FWOS%3A001139167200001" TargetMode="External" Type="http://schemas.openxmlformats.org/officeDocument/2006/relationships/hyperlink"/><Relationship Id="rId641" Target="http%3A%2F%2Fdx.doi.org%2F10.3389%2Ffped.2026.1889520" TargetMode="External" Type="http://schemas.openxmlformats.org/officeDocument/2006/relationships/hyperlink"/><Relationship Id="rId642" Target="https%3A%2F%2Fwww.webofscience.com%2Fwos%2Fwoscc%2Ffull-record%2FWOS%3A001820651200001" TargetMode="External" Type="http://schemas.openxmlformats.org/officeDocument/2006/relationships/hyperlink"/><Relationship Id="rId643" Target="http%3A%2F%2Fdx.doi.org%2F10.1186%2Fs12882-026-05048-z" TargetMode="External" Type="http://schemas.openxmlformats.org/officeDocument/2006/relationships/hyperlink"/><Relationship Id="rId644" Target="https%3A%2F%2Fwww.webofscience.com%2Fwos%2Fwoscc%2Ffull-record%2FWOS%3A001827179800004" TargetMode="External" Type="http://schemas.openxmlformats.org/officeDocument/2006/relationships/hyperlink"/><Relationship Id="rId645" Target="http%3A%2F%2Fdx.doi.org%2F10.12680%2Fbalneo.2025.847" TargetMode="External" Type="http://schemas.openxmlformats.org/officeDocument/2006/relationships/hyperlink"/><Relationship Id="rId646" Target="https%3A%2F%2Fwww.webofscience.com%2Fwos%2Fwoscc%2Ffull-record%2FWOS%3A001650689400035" TargetMode="External" Type="http://schemas.openxmlformats.org/officeDocument/2006/relationships/hyperlink"/><Relationship Id="rId647" Target="http%3A%2F%2Fdx.doi.org%2F10.1111%2Fjcpe.70160" TargetMode="External" Type="http://schemas.openxmlformats.org/officeDocument/2006/relationships/hyperlink"/><Relationship Id="rId648" Target="https%3A%2F%2Fwww.webofscience.com%2Fwos%2Fwoscc%2Ffull-record%2FWOS%3A001811948800001" TargetMode="External" Type="http://schemas.openxmlformats.org/officeDocument/2006/relationships/hyperlink"/><Relationship Id="rId649" Target="http%3A%2F%2Fdx.doi.org%2F10.1016%2Fj.jvsvi.2023.100049" TargetMode="External" Type="http://schemas.openxmlformats.org/officeDocument/2006/relationships/hyperlink"/><Relationship Id="rId65" Target="http%3A%2F%2Fdx.doi.org%2F10.3389%2Ffdgth.2026.1767648" TargetMode="External" Type="http://schemas.openxmlformats.org/officeDocument/2006/relationships/hyperlink"/><Relationship Id="rId650" Target="https%3A%2F%2Fwww.webofscience.com%2Fwos%2Fwoscc%2Ffull-record%2FWOS%3A001813628000036" TargetMode="External" Type="http://schemas.openxmlformats.org/officeDocument/2006/relationships/hyperlink"/><Relationship Id="rId651" Target="http%3A%2F%2Fdx.doi.org%2F10.1007%2Fs00405-026-10264-2" TargetMode="External" Type="http://schemas.openxmlformats.org/officeDocument/2006/relationships/hyperlink"/><Relationship Id="rId652" Target="https%3A%2F%2Fwww.webofscience.com%2Fwos%2Fwoscc%2Ffull-record%2FWOS%3A001752606800001" TargetMode="External" Type="http://schemas.openxmlformats.org/officeDocument/2006/relationships/hyperlink"/><Relationship Id="rId653" Target="http%3A%2F%2Fdx.doi.org%2F10.1515%2Fdx-2024-0095" TargetMode="External" Type="http://schemas.openxmlformats.org/officeDocument/2006/relationships/hyperlink"/><Relationship Id="rId654" Target="https%3A%2F%2Fwww.webofscience.com%2Fwos%2Fwoscc%2Ffull-record%2FWOS%3A001268771800001" TargetMode="External" Type="http://schemas.openxmlformats.org/officeDocument/2006/relationships/hyperlink"/><Relationship Id="rId655" Target="http%3A%2F%2Fdx.doi.org%2F10.1200%2FCCI-24-00323" TargetMode="External" Type="http://schemas.openxmlformats.org/officeDocument/2006/relationships/hyperlink"/><Relationship Id="rId656" Target="https%3A%2F%2Fwww.webofscience.com%2Fwos%2Fwoscc%2Ffull-record%2FWOS%3A001481800000001" TargetMode="External" Type="http://schemas.openxmlformats.org/officeDocument/2006/relationships/hyperlink"/><Relationship Id="rId657" Target="http%3A%2F%2Fdx.doi.org%2F10.1044%2F2025_AJSLP-25-00262" TargetMode="External" Type="http://schemas.openxmlformats.org/officeDocument/2006/relationships/hyperlink"/><Relationship Id="rId658" Target="https%3A%2F%2Fwww.webofscience.com%2Fwos%2Fwoscc%2Ffull-record%2FWOS%3A001717978800001" TargetMode="External" Type="http://schemas.openxmlformats.org/officeDocument/2006/relationships/hyperlink"/><Relationship Id="rId659" Target="http%3A%2F%2Fdx.doi.org%2F10.1093%2Fjamiaopen%2Fooaf054" TargetMode="External" Type="http://schemas.openxmlformats.org/officeDocument/2006/relationships/hyperlink"/><Relationship Id="rId66" Target="https%3A%2F%2Fwww.webofscience.com%2Fwos%2Fwoscc%2Ffull-record%2FWOS%3A001715628300001" TargetMode="External" Type="http://schemas.openxmlformats.org/officeDocument/2006/relationships/hyperlink"/><Relationship Id="rId660" Target="https%3A%2F%2Fwww.webofscience.com%2Fwos%2Fwoscc%2Ffull-record%2FWOS%3A001508800500001" TargetMode="External" Type="http://schemas.openxmlformats.org/officeDocument/2006/relationships/hyperlink"/><Relationship Id="rId661" Target="http%3A%2F%2Fdx.doi.org%2F10.1136%2Fbmjopen-2025-112695" TargetMode="External" Type="http://schemas.openxmlformats.org/officeDocument/2006/relationships/hyperlink"/><Relationship Id="rId662" Target="https%3A%2F%2Fwww.webofscience.com%2Fwos%2Fwoscc%2Ffull-record%2FWOS%3A001755845100001" TargetMode="External" Type="http://schemas.openxmlformats.org/officeDocument/2006/relationships/hyperlink"/><Relationship Id="rId663" Target="http%3A%2F%2Fdx.doi.org%2F10.1093%2Fjamiaopen%2Fooaf097" TargetMode="External" Type="http://schemas.openxmlformats.org/officeDocument/2006/relationships/hyperlink"/><Relationship Id="rId664" Target="https%3A%2F%2Fwww.webofscience.com%2Fwos%2Fwoscc%2Ffull-record%2FWOS%3A001565346200001" TargetMode="External" Type="http://schemas.openxmlformats.org/officeDocument/2006/relationships/hyperlink"/><Relationship Id="rId665" Target="http%3A%2F%2Fdx.doi.org%2F10.1055%2Fa-2876-0998" TargetMode="External" Type="http://schemas.openxmlformats.org/officeDocument/2006/relationships/hyperlink"/><Relationship Id="rId666" Target="https%3A%2F%2Fwww.webofscience.com%2Fwos%2Fwoscc%2Ffull-record%2FWOS%3A001793626100003" TargetMode="External" Type="http://schemas.openxmlformats.org/officeDocument/2006/relationships/hyperlink"/><Relationship Id="rId667" Target="http%3A%2F%2Fdx.doi.org%2F10.21037%2Fjmai-2025-1-251" TargetMode="External" Type="http://schemas.openxmlformats.org/officeDocument/2006/relationships/hyperlink"/><Relationship Id="rId668" Target="https%3A%2F%2Fwww.webofscience.com%2Fwos%2Fwoscc%2Ffull-record%2FWOS%3A001824464500005" TargetMode="External" Type="http://schemas.openxmlformats.org/officeDocument/2006/relationships/hyperlink"/><Relationship Id="rId669" Target="http%3A%2F%2Fdx.doi.org%2F10.3389%2Ffpsyt.2024.1437075" TargetMode="External" Type="http://schemas.openxmlformats.org/officeDocument/2006/relationships/hyperlink"/><Relationship Id="rId67" Target="http%3A%2F%2Fdx.doi.org%2F10.1001%2Fjamainternmed.2025.0821" TargetMode="External" Type="http://schemas.openxmlformats.org/officeDocument/2006/relationships/hyperlink"/><Relationship Id="rId670" Target="https%3A%2F%2Fwww.webofscience.com%2Fwos%2Fwoscc%2Ffull-record%2FWOS%3A001334238100001" TargetMode="External" Type="http://schemas.openxmlformats.org/officeDocument/2006/relationships/hyperlink"/><Relationship Id="rId671" Target="http%3A%2F%2Fdx.doi.org%2F10.2196%2F76598" TargetMode="External" Type="http://schemas.openxmlformats.org/officeDocument/2006/relationships/hyperlink"/><Relationship Id="rId672" Target="https%3A%2F%2Fwww.webofscience.com%2Fwos%2Fwoscc%2Ffull-record%2FWOS%3A001632694900005" TargetMode="External" Type="http://schemas.openxmlformats.org/officeDocument/2006/relationships/hyperlink"/><Relationship Id="rId673" Target="http%3A%2F%2Fdx.doi.org%2F10.31662%2Fjmaj.2024-0375" TargetMode="External" Type="http://schemas.openxmlformats.org/officeDocument/2006/relationships/hyperlink"/><Relationship Id="rId674" Target="https%3A%2F%2Fwww.webofscience.com%2Fwos%2Fwoscc%2Ffull-record%2FWOS%3A001524178500001" TargetMode="External" Type="http://schemas.openxmlformats.org/officeDocument/2006/relationships/hyperlink"/><Relationship Id="rId675" Target="http%3A%2F%2Fdx.doi.org%2F10.1080%2F02508281.2026.2705480" TargetMode="External" Type="http://schemas.openxmlformats.org/officeDocument/2006/relationships/hyperlink"/><Relationship Id="rId676" Target="https%3A%2F%2Fwww.webofscience.com%2Fwos%2Fwoscc%2Ffull-record%2FWOS%3A001838326300001" TargetMode="External" Type="http://schemas.openxmlformats.org/officeDocument/2006/relationships/hyperlink"/><Relationship Id="rId677" Target="http%3A%2F%2Fdx.doi.org%2F10.1002%2Fca.70177" TargetMode="External" Type="http://schemas.openxmlformats.org/officeDocument/2006/relationships/hyperlink"/><Relationship Id="rId678" Target="https%3A%2F%2Fwww.webofscience.com%2Fwos%2Fwoscc%2Ffull-record%2FWOS%3A001810755900001" TargetMode="External" Type="http://schemas.openxmlformats.org/officeDocument/2006/relationships/hyperlink"/><Relationship Id="rId679" Target="http%3A%2F%2Fdx.doi.org%2F10.1016%2Fj.apjo.2024.100091" TargetMode="External" Type="http://schemas.openxmlformats.org/officeDocument/2006/relationships/hyperlink"/><Relationship Id="rId68" Target="https%3A%2F%2Fwww.webofscience.com%2Fwos%2Fwoscc%2Ffull-record%2FWOS%3A001484653600001" TargetMode="External" Type="http://schemas.openxmlformats.org/officeDocument/2006/relationships/hyperlink"/><Relationship Id="rId680" Target="https%3A%2F%2Fwww.webofscience.com%2Fwos%2Fwoscc%2Ffull-record%2FWOS%3A001309019100001" TargetMode="External" Type="http://schemas.openxmlformats.org/officeDocument/2006/relationships/hyperlink"/><Relationship Id="rId681" Target="http%3A%2F%2Fdx.doi.org%2F10.1111%2F1742-6723.14233" TargetMode="External" Type="http://schemas.openxmlformats.org/officeDocument/2006/relationships/hyperlink"/><Relationship Id="rId682" Target="https%3A%2F%2Fwww.webofscience.com%2Fwos%2Fwoscc%2Ffull-record%2FWOS%3A000982008800001" TargetMode="External" Type="http://schemas.openxmlformats.org/officeDocument/2006/relationships/hyperlink"/><Relationship Id="rId683" Target="http%3A%2F%2Fdx.doi.org%2F10.1186%2Fs13104-025-07157-8" TargetMode="External" Type="http://schemas.openxmlformats.org/officeDocument/2006/relationships/hyperlink"/><Relationship Id="rId684" Target="https%3A%2F%2Fwww.webofscience.com%2Fwos%2Fwoscc%2Ffull-record%2FWOS%3A001429199300001" TargetMode="External" Type="http://schemas.openxmlformats.org/officeDocument/2006/relationships/hyperlink"/><Relationship Id="rId685" Target="http%3A%2F%2Fdx.doi.org%2F10.1016%2Fj.prro.2025.02.006" TargetMode="External" Type="http://schemas.openxmlformats.org/officeDocument/2006/relationships/hyperlink"/><Relationship Id="rId686" Target="https%3A%2F%2Fwww.webofscience.com%2Fwos%2Fwoscc%2Ffull-record%2FWOS%3A001723595500001" TargetMode="External" Type="http://schemas.openxmlformats.org/officeDocument/2006/relationships/hyperlink"/><Relationship Id="rId687" Target="http%3A%2F%2Fdx.doi.org%2F10.1016%2Fj.eswa.2026.131988" TargetMode="External" Type="http://schemas.openxmlformats.org/officeDocument/2006/relationships/hyperlink"/><Relationship Id="rId688" Target="https%3A%2F%2Fwww.webofscience.com%2Fwos%2Fwoscc%2Ffull-record%2FWOS%3A001719348700001" TargetMode="External" Type="http://schemas.openxmlformats.org/officeDocument/2006/relationships/hyperlink"/><Relationship Id="rId689" Target="http%3A%2F%2Fdx.doi.org%2F10.1016%2Fj.bone.2026.117841" TargetMode="External" Type="http://schemas.openxmlformats.org/officeDocument/2006/relationships/hyperlink"/><Relationship Id="rId69" Target="http%3A%2F%2Fdx.doi.org%2F10.1038%2Fs41551-025-01471-z" TargetMode="External" Type="http://schemas.openxmlformats.org/officeDocument/2006/relationships/hyperlink"/><Relationship Id="rId690" Target="https%3A%2F%2Fwww.webofscience.com%2Fwos%2Fwoscc%2Ffull-record%2FWOS%3A001715184400001" TargetMode="External" Type="http://schemas.openxmlformats.org/officeDocument/2006/relationships/hyperlink"/><Relationship Id="rId691" Target="http%3A%2F%2Fdx.doi.org%2F10.1371%2Fjournal.pdig.0000349" TargetMode="External" Type="http://schemas.openxmlformats.org/officeDocument/2006/relationships/hyperlink"/><Relationship Id="rId692" Target="https%3A%2F%2Fwww.webofscience.com%2Fwos%2Fwoscc%2Ffull-record%2FWOS%3A001417686800001" TargetMode="External" Type="http://schemas.openxmlformats.org/officeDocument/2006/relationships/hyperlink"/><Relationship Id="rId693" Target="http%3A%2F%2Fdx.doi.org%2F10.1016%2Fj.knosys.2026.115469" TargetMode="External" Type="http://schemas.openxmlformats.org/officeDocument/2006/relationships/hyperlink"/><Relationship Id="rId694" Target="https%3A%2F%2Fwww.webofscience.com%2Fwos%2Fwoscc%2Ffull-record%2FWOS%3A001696294100001" TargetMode="External" Type="http://schemas.openxmlformats.org/officeDocument/2006/relationships/hyperlink"/><Relationship Id="rId695" Target="http%3A%2F%2Fdx.doi.org%2F10.1055%2Fa-2373-3151" TargetMode="External" Type="http://schemas.openxmlformats.org/officeDocument/2006/relationships/hyperlink"/><Relationship Id="rId696" Target="https%3A%2F%2Fwww.webofscience.com%2Fwos%2Fwoscc%2Ffull-record%2FWOS%3A001334155700003" TargetMode="External" Type="http://schemas.openxmlformats.org/officeDocument/2006/relationships/hyperlink"/><Relationship Id="rId697" Target="http%3A%2F%2Fdx.doi.org%2F10.3390%2Fbiomedinformatics5020018" TargetMode="External" Type="http://schemas.openxmlformats.org/officeDocument/2006/relationships/hyperlink"/><Relationship Id="rId698" Target="https%3A%2F%2Fwww.webofscience.com%2Fwos%2Fwoscc%2Ffull-record%2FWOS%3A001644262200001" TargetMode="External" Type="http://schemas.openxmlformats.org/officeDocument/2006/relationships/hyperlink"/><Relationship Id="rId699" Target="http%3A%2F%2Fdx.doi.org%2F10.1016%2Fj.sapharm.2025.06.107" TargetMode="External" Type="http://schemas.openxmlformats.org/officeDocument/2006/relationships/hyperlink"/><Relationship Id="rId7" Target="http%3A%2F%2Fdx.doi.org%2F10.1136%2Fbjo-2025-328867" TargetMode="External" Type="http://schemas.openxmlformats.org/officeDocument/2006/relationships/hyperlink"/><Relationship Id="rId70" Target="https%3A%2F%2Fwww.webofscience.com%2Fwos%2Fwoscc%2Ffull-record%2FWOS%3A001576814500001" TargetMode="External" Type="http://schemas.openxmlformats.org/officeDocument/2006/relationships/hyperlink"/><Relationship Id="rId700" Target="https%3A%2F%2Fwww.webofscience.com%2Fwos%2Fwoscc%2Ffull-record%2FWOS%3A001567895600007" TargetMode="External" Type="http://schemas.openxmlformats.org/officeDocument/2006/relationships/hyperlink"/><Relationship Id="rId701" Target="http%3A%2F%2Fdx.doi.org%2F10.5858%2Farpa.2024-0208-RA" TargetMode="External" Type="http://schemas.openxmlformats.org/officeDocument/2006/relationships/hyperlink"/><Relationship Id="rId702" Target="https%3A%2F%2Fwww.webofscience.com%2Fwos%2Fwoscc%2Ffull-record%2FWOS%3A001416363100006" TargetMode="External" Type="http://schemas.openxmlformats.org/officeDocument/2006/relationships/hyperlink"/><Relationship Id="rId703" Target="http%3A%2F%2Fdx.doi.org%2F10.2196%2F95547" TargetMode="External" Type="http://schemas.openxmlformats.org/officeDocument/2006/relationships/hyperlink"/><Relationship Id="rId704" Target="https%3A%2F%2Fwww.webofscience.com%2Fwos%2Fwoscc%2Ffull-record%2FWOS%3A001820891700001" TargetMode="External" Type="http://schemas.openxmlformats.org/officeDocument/2006/relationships/hyperlink"/><Relationship Id="rId705" Target="http%3A%2F%2Fdx.doi.org%2F10.20517%2F2347-9264.2026.17" TargetMode="External" Type="http://schemas.openxmlformats.org/officeDocument/2006/relationships/hyperlink"/><Relationship Id="rId706" Target="https%3A%2F%2Fwww.webofscience.com%2Fwos%2Fwoscc%2Ffull-record%2FWOS%3A001785369700001" TargetMode="External" Type="http://schemas.openxmlformats.org/officeDocument/2006/relationships/hyperlink"/><Relationship Id="rId707" Target="http%3A%2F%2Fdx.doi.org%2F10.1016%2Fj.ejmp.2026.105759" TargetMode="External" Type="http://schemas.openxmlformats.org/officeDocument/2006/relationships/hyperlink"/><Relationship Id="rId708" Target="https%3A%2F%2Fwww.webofscience.com%2Fwos%2Fwoscc%2Ffull-record%2FWOS%3A001707130900001" TargetMode="External" Type="http://schemas.openxmlformats.org/officeDocument/2006/relationships/hyperlink"/><Relationship Id="rId709" Target="http%3A%2F%2Fdx.doi.org%2F10.1007%2Fs00405-026-10040-2" TargetMode="External" Type="http://schemas.openxmlformats.org/officeDocument/2006/relationships/hyperlink"/><Relationship Id="rId71" Target="http%3A%2F%2Fdx.doi.org%2F10.1016%2Fj.knosys.2024.112837" TargetMode="External" Type="http://schemas.openxmlformats.org/officeDocument/2006/relationships/hyperlink"/><Relationship Id="rId710" Target="https%3A%2F%2Fwww.webofscience.com%2Fwos%2Fwoscc%2Ffull-record%2FWOS%3A001716304200001" TargetMode="External" Type="http://schemas.openxmlformats.org/officeDocument/2006/relationships/hyperlink"/><Relationship Id="rId711" Target="http%3A%2F%2Fdx.doi.org%2F10.6018%2Fedumed.676041" TargetMode="External" Type="http://schemas.openxmlformats.org/officeDocument/2006/relationships/hyperlink"/><Relationship Id="rId712" Target="https%3A%2F%2Fwww.webofscience.com%2Fwos%2Fwoscc%2Ffull-record%2FWOS%3A001656131800001" TargetMode="External" Type="http://schemas.openxmlformats.org/officeDocument/2006/relationships/hyperlink"/><Relationship Id="rId713" Target="http%3A%2F%2Fdx.doi.org%2F10.2196%2F88058" TargetMode="External" Type="http://schemas.openxmlformats.org/officeDocument/2006/relationships/hyperlink"/><Relationship Id="rId714" Target="https%3A%2F%2Fwww.webofscience.com%2Fwos%2Fwoscc%2Ffull-record%2FWOS%3A001814621800004" TargetMode="External" Type="http://schemas.openxmlformats.org/officeDocument/2006/relationships/hyperlink"/><Relationship Id="rId715" Target="http%3A%2F%2Fdx.doi.org%2F10.1186%2Fs12909-025-08085-8" TargetMode="External" Type="http://schemas.openxmlformats.org/officeDocument/2006/relationships/hyperlink"/><Relationship Id="rId716" Target="https%3A%2F%2Fwww.webofscience.com%2Fwos%2Fwoscc%2Ffull-record%2FWOS%3A001603550000002" TargetMode="External" Type="http://schemas.openxmlformats.org/officeDocument/2006/relationships/hyperlink"/><Relationship Id="rId717" Target="http%3A%2F%2Fdx.doi.org%2F10.1001%2Fjamanetworkopen.2024.0357" TargetMode="External" Type="http://schemas.openxmlformats.org/officeDocument/2006/relationships/hyperlink"/><Relationship Id="rId718" Target="https%3A%2F%2Fwww.webofscience.com%2Fwos%2Fwoscc%2Ffull-record%2FWOS%3A001185758300008" TargetMode="External" Type="http://schemas.openxmlformats.org/officeDocument/2006/relationships/hyperlink"/><Relationship Id="rId719" Target="http%3A%2F%2Fdx.doi.org%2F10.2106%2FJBJS.OA.26.00078" TargetMode="External" Type="http://schemas.openxmlformats.org/officeDocument/2006/relationships/hyperlink"/><Relationship Id="rId72" Target="https%3A%2F%2Fwww.webofscience.com%2Fwos%2Fwoscc%2Ffull-record%2FWOS%3A001385563700001" TargetMode="External" Type="http://schemas.openxmlformats.org/officeDocument/2006/relationships/hyperlink"/><Relationship Id="rId720" Target="https%3A%2F%2Fwww.webofscience.com%2Fwos%2Fwoscc%2Ffull-record%2FWOS%3A001788077800001" TargetMode="External" Type="http://schemas.openxmlformats.org/officeDocument/2006/relationships/hyperlink"/><Relationship Id="rId721" Target="http%3A%2F%2Fdx.doi.org%2F10.1038%2Fs41746-025-02022-1" TargetMode="External" Type="http://schemas.openxmlformats.org/officeDocument/2006/relationships/hyperlink"/><Relationship Id="rId722" Target="https%3A%2F%2Fwww.webofscience.com%2Fwos%2Fwoscc%2Ffull-record%2FWOS%3A001607409100001" TargetMode="External" Type="http://schemas.openxmlformats.org/officeDocument/2006/relationships/hyperlink"/><Relationship Id="rId723" Target="http%3A%2F%2Fdx.doi.org%2F10.1007%2Fs00330-026-12648-8" TargetMode="External" Type="http://schemas.openxmlformats.org/officeDocument/2006/relationships/hyperlink"/><Relationship Id="rId724" Target="https%3A%2F%2Fwww.webofscience.com%2Fwos%2Fwoscc%2Ffull-record%2FWOS%3A001789053200001" TargetMode="External" Type="http://schemas.openxmlformats.org/officeDocument/2006/relationships/hyperlink"/><Relationship Id="rId725" Target="http%3A%2F%2Fdx.doi.org%2F10.5664%2Fjcsm.11594" TargetMode="External" Type="http://schemas.openxmlformats.org/officeDocument/2006/relationships/hyperlink"/><Relationship Id="rId726" Target="https%3A%2F%2Fwww.webofscience.com%2Fwos%2Fwoscc%2Ffull-record%2FWOS%3A001517502500018" TargetMode="External" Type="http://schemas.openxmlformats.org/officeDocument/2006/relationships/hyperlink"/><Relationship Id="rId727" Target="http%3A%2F%2Fdx.doi.org%2F10.1016%2Fj.acra.2025.06.057" TargetMode="External" Type="http://schemas.openxmlformats.org/officeDocument/2006/relationships/hyperlink"/><Relationship Id="rId728" Target="https%3A%2F%2Fwww.webofscience.com%2Fwos%2Fwoscc%2Ffull-record%2FWOS%3A001590129500004" TargetMode="External" Type="http://schemas.openxmlformats.org/officeDocument/2006/relationships/hyperlink"/><Relationship Id="rId729" Target="http%3A%2F%2Fdx.doi.org%2F10.3205%2Fzma001675" TargetMode="External" Type="http://schemas.openxmlformats.org/officeDocument/2006/relationships/hyperlink"/><Relationship Id="rId73" Target="http%3A%2F%2Fdx.doi.org%2F10.1371%2Fjournal.pdig.0000685" TargetMode="External" Type="http://schemas.openxmlformats.org/officeDocument/2006/relationships/hyperlink"/><Relationship Id="rId730" Target="https%3A%2F%2Fwww.webofscience.com%2Fwos%2Fwoscc%2Ffull-record%2FWOS%3A001206966700005" TargetMode="External" Type="http://schemas.openxmlformats.org/officeDocument/2006/relationships/hyperlink"/><Relationship Id="rId731" Target="http%3A%2F%2Fdx.doi.org%2F10.1038%2Fs41598-024-63824-z" TargetMode="External" Type="http://schemas.openxmlformats.org/officeDocument/2006/relationships/hyperlink"/><Relationship Id="rId732" Target="https%3A%2F%2Fwww.webofscience.com%2Fwos%2Fwoscc%2Ffull-record%2FWOS%3A001248258900019" TargetMode="External" Type="http://schemas.openxmlformats.org/officeDocument/2006/relationships/hyperlink"/><Relationship Id="rId733" Target="http%3A%2F%2Fdx.doi.org%2F10.4018%2FIJSSCI.394323" TargetMode="External" Type="http://schemas.openxmlformats.org/officeDocument/2006/relationships/hyperlink"/><Relationship Id="rId734" Target="https%3A%2F%2Fwww.webofscience.com%2Fwos%2Fwoscc%2Ffull-record%2FWOS%3A001644473900001" TargetMode="External" Type="http://schemas.openxmlformats.org/officeDocument/2006/relationships/hyperlink"/><Relationship Id="rId735" Target="http%3A%2F%2Fdx.doi.org%2F10.1001%2Fjamanetworkopen.2024.25981" TargetMode="External" Type="http://schemas.openxmlformats.org/officeDocument/2006/relationships/hyperlink"/><Relationship Id="rId736" Target="https%3A%2F%2Fwww.webofscience.com%2Fwos%2Fwoscc%2Ffull-record%2FWOS%3A001292425900002" TargetMode="External" Type="http://schemas.openxmlformats.org/officeDocument/2006/relationships/hyperlink"/><Relationship Id="rId737" Target="http%3A%2F%2Fdx.doi.org%2F10.1016%2Fj.nedt.2026.107108" TargetMode="External" Type="http://schemas.openxmlformats.org/officeDocument/2006/relationships/hyperlink"/><Relationship Id="rId738" Target="https%3A%2F%2Fwww.webofscience.com%2Fwos%2Fwoscc%2Ffull-record%2FWOS%3A001741272800001" TargetMode="External" Type="http://schemas.openxmlformats.org/officeDocument/2006/relationships/hyperlink"/><Relationship Id="rId739" Target="http%3A%2F%2Fdx.doi.org%2F10.3390%2Ffi18060280" TargetMode="External" Type="http://schemas.openxmlformats.org/officeDocument/2006/relationships/hyperlink"/><Relationship Id="rId74" Target="https%3A%2F%2Fwww.webofscience.com%2Fwos%2Fwoscc%2Ffull-record%2FWOS%3A001416927800001" TargetMode="External" Type="http://schemas.openxmlformats.org/officeDocument/2006/relationships/hyperlink"/><Relationship Id="rId740" Target="https%3A%2F%2Fwww.webofscience.com%2Fwos%2Fwoscc%2Ffull-record%2FWOS%3A001803444400001" TargetMode="External" Type="http://schemas.openxmlformats.org/officeDocument/2006/relationships/hyperlink"/><Relationship Id="rId741" Target="http%3A%2F%2Fdx.doi.org%2F10.1186%2Fs12910-026-01513-4" TargetMode="External" Type="http://schemas.openxmlformats.org/officeDocument/2006/relationships/hyperlink"/><Relationship Id="rId742" Target="https%3A%2F%2Fwww.webofscience.com%2Fwos%2Fwoscc%2Ffull-record%2FWOS%3A001845414600002" TargetMode="External" Type="http://schemas.openxmlformats.org/officeDocument/2006/relationships/hyperlink"/><Relationship Id="rId743" Target="http%3A%2F%2Fdx.doi.org%2F10.1016%2Fj.spinee.2025.02.010" TargetMode="External" Type="http://schemas.openxmlformats.org/officeDocument/2006/relationships/hyperlink"/><Relationship Id="rId744" Target="https%3A%2F%2Fwww.webofscience.com%2Fwos%2Fwoscc%2Ffull-record%2FWOS%3A001533476100006" TargetMode="External" Type="http://schemas.openxmlformats.org/officeDocument/2006/relationships/hyperlink"/><Relationship Id="rId745" Target="http%3A%2F%2Fdx.doi.org%2F10.1200%2FCCI.24.00123" TargetMode="External" Type="http://schemas.openxmlformats.org/officeDocument/2006/relationships/hyperlink"/><Relationship Id="rId746" Target="https%3A%2F%2Fwww.webofscience.com%2Fwos%2Fwoscc%2Ffull-record%2FWOS%3A001380126700001" TargetMode="External" Type="http://schemas.openxmlformats.org/officeDocument/2006/relationships/hyperlink"/><Relationship Id="rId747" Target="http%3A%2F%2Fdx.doi.org%2F10.3389%2Ffdgth.2026.1849190" TargetMode="External" Type="http://schemas.openxmlformats.org/officeDocument/2006/relationships/hyperlink"/><Relationship Id="rId748" Target="https%3A%2F%2Fwww.webofscience.com%2Fwos%2Fwoscc%2Ffull-record%2FWOS%3A001818978700001" TargetMode="External" Type="http://schemas.openxmlformats.org/officeDocument/2006/relationships/hyperlink"/><Relationship Id="rId749" Target="http%3A%2F%2Fdx.doi.org%2F10.2196%2F86474" TargetMode="External" Type="http://schemas.openxmlformats.org/officeDocument/2006/relationships/hyperlink"/><Relationship Id="rId75" Target="http%3A%2F%2Fdx.doi.org%2F10.1080%2F03007995.2023.2295411" TargetMode="External" Type="http://schemas.openxmlformats.org/officeDocument/2006/relationships/hyperlink"/><Relationship Id="rId750" Target="https%3A%2F%2Fwww.webofscience.com%2Fwos%2Fwoscc%2Ffull-record%2FWOS%3A001747369400001" TargetMode="External" Type="http://schemas.openxmlformats.org/officeDocument/2006/relationships/hyperlink"/><Relationship Id="rId751" Target="http%3A%2F%2Fdx.doi.org%2F10.1007%2Fs12282-026-01858-z" TargetMode="External" Type="http://schemas.openxmlformats.org/officeDocument/2006/relationships/hyperlink"/><Relationship Id="rId752" Target="https%3A%2F%2Fwww.webofscience.com%2Fwos%2Fwoscc%2Ffull-record%2FWOS%3A001771147200001" TargetMode="External" Type="http://schemas.openxmlformats.org/officeDocument/2006/relationships/hyperlink"/><Relationship Id="rId753" Target="http%3A%2F%2Fdx.doi.org%2F10.2024%2F1%2Fe51187" TargetMode="External" Type="http://schemas.openxmlformats.org/officeDocument/2006/relationships/hyperlink"/><Relationship Id="rId754" Target="https%3A%2F%2Fwww.webofscience.com%2Fwos%2Fwoscc%2Ffull-record%2FWOS%3A001226395600002" TargetMode="External" Type="http://schemas.openxmlformats.org/officeDocument/2006/relationships/hyperlink"/><Relationship Id="rId755" Target="http%3A%2F%2Fdx.doi.org%2F10.2196%2F51187" TargetMode="External" Type="http://schemas.openxmlformats.org/officeDocument/2006/relationships/hyperlink"/><Relationship Id="rId756" Target="https%3A%2F%2Fwww.webofscience.com%2Fwos%2Fwoscc%2Ffull-record%2FWOS%3A001233902800001" TargetMode="External" Type="http://schemas.openxmlformats.org/officeDocument/2006/relationships/hyperlink"/><Relationship Id="rId757" Target="http%3A%2F%2Fdx.doi.org%2F10.1177%2F21501319251381878" TargetMode="External" Type="http://schemas.openxmlformats.org/officeDocument/2006/relationships/hyperlink"/><Relationship Id="rId758" Target="https%3A%2F%2Fwww.webofscience.com%2Fwos%2Fwoscc%2Ffull-record%2FWOS%3A001577829100001" TargetMode="External" Type="http://schemas.openxmlformats.org/officeDocument/2006/relationships/hyperlink"/><Relationship Id="rId759" Target="https%3A%2F%2Fwww.webofscience.com%2Fwos%2Fwoscc%2Ffull-record%2FWOS%3A001710512300001" TargetMode="External" Type="http://schemas.openxmlformats.org/officeDocument/2006/relationships/hyperlink"/><Relationship Id="rId76" Target="https%3A%2F%2Fwww.webofscience.com%2Fwos%2Fwoscc%2Ffull-record%2FWOS%3A001128890400001" TargetMode="External" Type="http://schemas.openxmlformats.org/officeDocument/2006/relationships/hyperlink"/><Relationship Id="rId760" Target="http%3A%2F%2Fdx.doi.org%2F10.1186%2Fs44247-025-00225-w" TargetMode="External" Type="http://schemas.openxmlformats.org/officeDocument/2006/relationships/hyperlink"/><Relationship Id="rId761" Target="https%3A%2F%2Fwww.webofscience.com%2Fwos%2Fwoscc%2Ffull-record%2FWOS%3A001684689300001" TargetMode="External" Type="http://schemas.openxmlformats.org/officeDocument/2006/relationships/hyperlink"/><Relationship Id="rId762" Target="http%3A%2F%2Fdx.doi.org%2F10.1200%2FCCI-25-00042" TargetMode="External" Type="http://schemas.openxmlformats.org/officeDocument/2006/relationships/hyperlink"/><Relationship Id="rId763" Target="https%3A%2F%2Fwww.webofscience.com%2Fwos%2Fwoscc%2Ffull-record%2FWOS%3A001569124900001" TargetMode="External" Type="http://schemas.openxmlformats.org/officeDocument/2006/relationships/hyperlink"/><Relationship Id="rId764" Target="http%3A%2F%2Fdx.doi.org%2F10.31662%2Fjmaj.2026-0174" TargetMode="External" Type="http://schemas.openxmlformats.org/officeDocument/2006/relationships/hyperlink"/><Relationship Id="rId765" Target="https%3A%2F%2Fwww.webofscience.com%2Fwos%2Fwoscc%2Ffull-record%2FWOS%3A001824454700001" TargetMode="External" Type="http://schemas.openxmlformats.org/officeDocument/2006/relationships/hyperlink"/><Relationship Id="rId766" Target="http%3A%2F%2Fdx.doi.org%2F10.2196%2F78816" TargetMode="External" Type="http://schemas.openxmlformats.org/officeDocument/2006/relationships/hyperlink"/><Relationship Id="rId767" Target="https%3A%2F%2Fwww.webofscience.com%2Fwos%2Fwoscc%2Ffull-record%2FWOS%3A001640175200017" TargetMode="External" Type="http://schemas.openxmlformats.org/officeDocument/2006/relationships/hyperlink"/><Relationship Id="rId768" Target="http%3A%2F%2Fdx.doi.org%2F10.1109%2FACCESS.2024.3514175" TargetMode="External" Type="http://schemas.openxmlformats.org/officeDocument/2006/relationships/hyperlink"/><Relationship Id="rId769" Target="https%3A%2F%2Fwww.webofscience.com%2Fwos%2Fwoscc%2Ffull-record%2FWOS%3A001380707700049" TargetMode="External" Type="http://schemas.openxmlformats.org/officeDocument/2006/relationships/hyperlink"/><Relationship Id="rId77" Target="http%3A%2F%2Fdx.doi.org%2F10.14309%2Fajg.0000000000003905" TargetMode="External" Type="http://schemas.openxmlformats.org/officeDocument/2006/relationships/hyperlink"/><Relationship Id="rId770" Target="http%3A%2F%2Fdx.doi.org%2F10.1016%2Fj.jbi.2024.104662" TargetMode="External" Type="http://schemas.openxmlformats.org/officeDocument/2006/relationships/hyperlink"/><Relationship Id="rId771" Target="https%3A%2F%2Fwww.webofscience.com%2Fwos%2Fwoscc%2Ffull-record%2FWOS%3A001325570100001" TargetMode="External" Type="http://schemas.openxmlformats.org/officeDocument/2006/relationships/hyperlink"/><Relationship Id="rId772" Target="http%3A%2F%2Fdx.doi.org%2F10.3390%2Fbioengineering12010081" TargetMode="External" Type="http://schemas.openxmlformats.org/officeDocument/2006/relationships/hyperlink"/><Relationship Id="rId773" Target="https%3A%2F%2Fwww.webofscience.com%2Fwos%2Fwoscc%2Ffull-record%2FWOS%3A001404583800001" TargetMode="External" Type="http://schemas.openxmlformats.org/officeDocument/2006/relationships/hyperlink"/><Relationship Id="rId774" Target="http%3A%2F%2Fdx.doi.org%2F10.1017%2Fice.2026.10480" TargetMode="External" Type="http://schemas.openxmlformats.org/officeDocument/2006/relationships/hyperlink"/><Relationship Id="rId775" Target="https%3A%2F%2Fwww.webofscience.com%2Fwos%2Fwoscc%2Ffull-record%2FWOS%3A001787411700001" TargetMode="External" Type="http://schemas.openxmlformats.org/officeDocument/2006/relationships/hyperlink"/><Relationship Id="rId776" Target="http%3A%2F%2Fdx.doi.org%2F10.2196%2F70176" TargetMode="External" Type="http://schemas.openxmlformats.org/officeDocument/2006/relationships/hyperlink"/><Relationship Id="rId777" Target="https%3A%2F%2Fwww.webofscience.com%2Fwos%2Fwoscc%2Ffull-record%2FWOS%3A001580587400001" TargetMode="External" Type="http://schemas.openxmlformats.org/officeDocument/2006/relationships/hyperlink"/><Relationship Id="rId778" Target="http%3A%2F%2Fdx.doi.org%2F10.1038%2Fs41746-024-01336-w" TargetMode="External" Type="http://schemas.openxmlformats.org/officeDocument/2006/relationships/hyperlink"/><Relationship Id="rId779" Target="https%3A%2F%2Fwww.webofscience.com%2Fwos%2Fwoscc%2Ffull-record%2FWOS%3A001359496300001" TargetMode="External" Type="http://schemas.openxmlformats.org/officeDocument/2006/relationships/hyperlink"/><Relationship Id="rId78" Target="https%3A%2F%2Fwww.webofscience.com%2Fwos%2Fwoscc%2Ffull-record%2FWOS%3A001735069500024" TargetMode="External" Type="http://schemas.openxmlformats.org/officeDocument/2006/relationships/hyperlink"/><Relationship Id="rId79" Target="http%3A%2F%2Fdx.doi.org%2F10.21037%2Fjmai-24-287" TargetMode="External" Type="http://schemas.openxmlformats.org/officeDocument/2006/relationships/hyperlink"/><Relationship Id="rId8" Target="https%3A%2F%2Fwww.webofscience.com%2Fwos%2Fwoscc%2Ffull-record%2FWOS%3A001736055100001" TargetMode="External" Type="http://schemas.openxmlformats.org/officeDocument/2006/relationships/hyperlink"/><Relationship Id="rId80" Target="https%3A%2F%2Fwww.webofscience.com%2Fwos%2Fwoscc%2Ffull-record%2FWOS%3A001532550700028" TargetMode="External" Type="http://schemas.openxmlformats.org/officeDocument/2006/relationships/hyperlink"/><Relationship Id="rId81" Target="http%3A%2F%2Fdx.doi.org%2F10.1007%2Fs00330-026-12384-z" TargetMode="External" Type="http://schemas.openxmlformats.org/officeDocument/2006/relationships/hyperlink"/><Relationship Id="rId82" Target="https%3A%2F%2Fwww.webofscience.com%2Fwos%2Fwoscc%2Ffull-record%2FWOS%3A001696738200001" TargetMode="External" Type="http://schemas.openxmlformats.org/officeDocument/2006/relationships/hyperlink"/><Relationship Id="rId83" Target="http%3A%2F%2Fdx.doi.org%2F10.1038%2Fs41746-025-01830-9" TargetMode="External" Type="http://schemas.openxmlformats.org/officeDocument/2006/relationships/hyperlink"/><Relationship Id="rId84" Target="https%3A%2F%2Fwww.webofscience.com%2Fwos%2Fwoscc%2Ffull-record%2FWOS%3A001538753100003" TargetMode="External" Type="http://schemas.openxmlformats.org/officeDocument/2006/relationships/hyperlink"/><Relationship Id="rId85" Target="http%3A%2F%2Fdx.doi.org%2F10.22454%2FFamMed.2024.775525" TargetMode="External" Type="http://schemas.openxmlformats.org/officeDocument/2006/relationships/hyperlink"/><Relationship Id="rId86" Target="https%3A%2F%2Fwww.webofscience.com%2Fwos%2Fwoscc%2Ffull-record%2FWOS%3A001341020900002" TargetMode="External" Type="http://schemas.openxmlformats.org/officeDocument/2006/relationships/hyperlink"/><Relationship Id="rId87" Target="http%3A%2F%2Fdx.doi.org%2F10.2196%2F95899" TargetMode="External" Type="http://schemas.openxmlformats.org/officeDocument/2006/relationships/hyperlink"/><Relationship Id="rId88" Target="https%3A%2F%2Fwww.webofscience.com%2Fwos%2Fwoscc%2Ffull-record%2FWOS%3A001791462500001" TargetMode="External" Type="http://schemas.openxmlformats.org/officeDocument/2006/relationships/hyperlink"/><Relationship Id="rId89" Target="http%3A%2F%2Fdx.doi.org%2F10.1093%2Fjamia%2Focaf174" TargetMode="External" Type="http://schemas.openxmlformats.org/officeDocument/2006/relationships/hyperlink"/><Relationship Id="rId9" Target="http%3A%2F%2Fdx.doi.org%2F10.4258%2Fhir.2025.31.4.416" TargetMode="External" Type="http://schemas.openxmlformats.org/officeDocument/2006/relationships/hyperlink"/><Relationship Id="rId90" Target="https%3A%2F%2Fwww.webofscience.com%2Fwos%2Fwoscc%2Ffull-record%2FWOS%3A001600523400001" TargetMode="External" Type="http://schemas.openxmlformats.org/officeDocument/2006/relationships/hyperlink"/><Relationship Id="rId91" Target="http%3A%2F%2Fdx.doi.org%2F10.1038%2Fs41591-024-03445-1" TargetMode="External" Type="http://schemas.openxmlformats.org/officeDocument/2006/relationships/hyperlink"/><Relationship Id="rId92" Target="https%3A%2F%2Fwww.webofscience.com%2Fwos%2Fwoscc%2Ffull-record%2FWOS%3A001391708900001" TargetMode="External" Type="http://schemas.openxmlformats.org/officeDocument/2006/relationships/hyperlink"/><Relationship Id="rId93" Target="http%3A%2F%2Fdx.doi.org%2F10.1007%2Fs44196-026-01402-z" TargetMode="External" Type="http://schemas.openxmlformats.org/officeDocument/2006/relationships/hyperlink"/><Relationship Id="rId94" Target="https%3A%2F%2Fwww.webofscience.com%2Fwos%2Fwoscc%2Ffull-record%2FWOS%3A001813670900001" TargetMode="External" Type="http://schemas.openxmlformats.org/officeDocument/2006/relationships/hyperlink"/><Relationship Id="rId95" Target="http%3A%2F%2Fdx.doi.org%2F10.2196%2F60083" TargetMode="External" Type="http://schemas.openxmlformats.org/officeDocument/2006/relationships/hyperlink"/><Relationship Id="rId96" Target="https%3A%2F%2Fwww.webofscience.com%2Fwos%2Fwoscc%2Ffull-record%2FWOS%3A001297047500006" TargetMode="External" Type="http://schemas.openxmlformats.org/officeDocument/2006/relationships/hyperlink"/><Relationship Id="rId97" Target="http%3A%2F%2Fdx.doi.org%2F10.1016%2Fj.esmorw.2026.100718" TargetMode="External" Type="http://schemas.openxmlformats.org/officeDocument/2006/relationships/hyperlink"/><Relationship Id="rId98" Target="https%3A%2F%2Fwww.webofscience.com%2Fwos%2Fwoscc%2Ffull-record%2FWOS%3A001769437400001" TargetMode="External" Type="http://schemas.openxmlformats.org/officeDocument/2006/relationships/hyperlink"/><Relationship Id="rId99" Target="http%3A%2F%2Fdx.doi.org%2F10.1093%2Fjamia%2Focae08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393"/>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77</v>
      </c>
      <c r="C2" t="s" s="0">
        <v>77</v>
      </c>
      <c r="D2" t="s" s="0">
        <v>77</v>
      </c>
      <c r="E2" t="s" s="0">
        <v>78</v>
      </c>
      <c r="F2" t="s" s="0">
        <v>79</v>
      </c>
      <c r="G2" t="s" s="0">
        <v>80</v>
      </c>
      <c r="H2" t="s" s="0">
        <v>81</v>
      </c>
      <c r="I2" t="s" s="0">
        <v>82</v>
      </c>
      <c r="J2" t="s" s="0">
        <v>83</v>
      </c>
      <c r="K2" t="s" s="0">
        <v>84</v>
      </c>
      <c r="L2" t="s" s="0">
        <v>85</v>
      </c>
      <c r="M2" t="s" s="0">
        <v>86</v>
      </c>
      <c r="N2" t="s" s="0">
        <v>87</v>
      </c>
      <c r="O2" t="s" s="0">
        <v>88</v>
      </c>
      <c r="P2" t="s" s="0">
        <v>89</v>
      </c>
      <c r="Q2" t="s" s="0">
        <v>90</v>
      </c>
      <c r="R2" t="s" s="0">
        <v>81</v>
      </c>
      <c r="S2" t="s" s="0">
        <v>81</v>
      </c>
      <c r="T2" t="s" s="0">
        <v>81</v>
      </c>
      <c r="U2" t="s" s="0">
        <v>81</v>
      </c>
      <c r="V2" t="s" s="0">
        <v>91</v>
      </c>
      <c r="W2" t="s" s="0">
        <v>92</v>
      </c>
      <c r="X2" t="s" s="0">
        <v>81</v>
      </c>
      <c r="Y2" t="s" s="0">
        <v>81</v>
      </c>
      <c r="Z2" t="s" s="0">
        <v>93</v>
      </c>
      <c r="AA2" t="s" s="0">
        <v>94</v>
      </c>
      <c r="AB2" t="s" s="0">
        <v>81</v>
      </c>
      <c r="AC2" t="s" s="0">
        <v>81</v>
      </c>
      <c r="AD2" t="s" s="0">
        <v>81</v>
      </c>
      <c r="AE2" t="s" s="0">
        <v>81</v>
      </c>
      <c r="AF2" t="s" s="0">
        <v>81</v>
      </c>
      <c r="AG2" t="s" s="0">
        <v>95</v>
      </c>
      <c r="AH2" t="s" s="0">
        <v>81</v>
      </c>
      <c r="AI2" t="s" s="0">
        <v>96</v>
      </c>
      <c r="AJ2" t="s" s="0">
        <v>97</v>
      </c>
      <c r="AK2" t="s" s="0">
        <v>81</v>
      </c>
      <c r="AL2" t="s" s="0">
        <v>98</v>
      </c>
      <c r="AM2" t="s" s="0">
        <v>99</v>
      </c>
      <c r="AN2" t="s" s="0">
        <v>100</v>
      </c>
      <c r="AO2" t="s" s="0">
        <v>101</v>
      </c>
      <c r="AP2" t="s" s="0">
        <v>102</v>
      </c>
      <c r="AQ2" t="s" s="0">
        <v>103</v>
      </c>
      <c r="AR2" t="s" s="0">
        <v>104</v>
      </c>
      <c r="AS2" t="s" s="0">
        <v>105</v>
      </c>
      <c r="AT2" t="s" s="0">
        <v>106</v>
      </c>
      <c r="AU2" t="s" s="0">
        <v>81</v>
      </c>
      <c r="AV2" t="s" s="0">
        <v>81</v>
      </c>
      <c r="AW2" t="s" s="0">
        <v>107</v>
      </c>
      <c r="AX2" t="s" s="0">
        <v>108</v>
      </c>
      <c r="AY2" t="s" s="0">
        <v>109</v>
      </c>
      <c r="AZ2" t="s" s="0">
        <v>110</v>
      </c>
      <c r="BA2" t="s" s="0">
        <v>111</v>
      </c>
      <c r="BB2" t="s" s="0">
        <v>81</v>
      </c>
      <c r="BC2" t="s" s="0">
        <v>81</v>
      </c>
      <c r="BD2" t="s" s="0">
        <v>81</v>
      </c>
      <c r="BE2" t="s" s="0">
        <v>81</v>
      </c>
      <c r="BF2" t="s" s="0">
        <v>81</v>
      </c>
      <c r="BG2" t="s" s="0">
        <v>81</v>
      </c>
      <c r="BH2" t="s" s="0">
        <v>81</v>
      </c>
      <c r="BI2" t="s" s="0">
        <v>112</v>
      </c>
      <c r="BJ2" t="s" s="0">
        <v>113</v>
      </c>
      <c r="BK2" t="s" s="1">
        <f>HYPERLINK("http://dx.doi.org/10.2196/73233","http://dx.doi.org/10.2196/73233")</f>
        <v>114</v>
      </c>
      <c r="BL2" t="s" s="0">
        <v>81</v>
      </c>
      <c r="BM2" t="s" s="0">
        <v>81</v>
      </c>
      <c r="BN2" t="s" s="0">
        <v>115</v>
      </c>
      <c r="BO2" t="s" s="0">
        <v>116</v>
      </c>
      <c r="BP2" t="s" s="0">
        <v>116</v>
      </c>
      <c r="BQ2" t="s" s="0">
        <v>117</v>
      </c>
      <c r="BR2" t="s" s="0">
        <v>118</v>
      </c>
      <c r="BS2" t="s" s="0">
        <v>119</v>
      </c>
      <c r="BT2" t="s" s="2">
        <f>HYPERLINK("https://www.webofscience.com/wos/woscc/full-record/WOS:001513537600002","View Record in Web of Science")</f>
        <v>120</v>
      </c>
      <c r="BU2" t="s" s="0">
        <v>121</v>
      </c>
      <c r="BV2" t="s" s="0">
        <v>81</v>
      </c>
      <c r="BW2" t="s" s="0">
        <v>81</v>
      </c>
      <c r="BX2" t="s" s="0">
        <v>122</v>
      </c>
    </row>
    <row r="3">
      <c r="A3" t="s" s="0">
        <v>77</v>
      </c>
      <c r="B3" t="s" s="0">
        <v>77</v>
      </c>
      <c r="C3" t="s" s="0">
        <v>77</v>
      </c>
      <c r="D3" t="s" s="0">
        <v>77</v>
      </c>
      <c r="E3" t="s" s="0">
        <v>123</v>
      </c>
      <c r="F3" t="s" s="0">
        <v>124</v>
      </c>
      <c r="G3" t="s" s="0">
        <v>125</v>
      </c>
      <c r="H3" t="s" s="0">
        <v>81</v>
      </c>
      <c r="I3" t="s" s="0">
        <v>82</v>
      </c>
      <c r="J3" t="s" s="0">
        <v>126</v>
      </c>
      <c r="K3" t="s" s="0">
        <v>127</v>
      </c>
      <c r="L3" t="s" s="0">
        <v>81</v>
      </c>
      <c r="M3" t="s" s="0">
        <v>81</v>
      </c>
      <c r="N3" t="s" s="0">
        <v>128</v>
      </c>
      <c r="O3" t="s" s="0">
        <v>129</v>
      </c>
      <c r="P3" t="s" s="0">
        <v>130</v>
      </c>
      <c r="Q3" t="s" s="0">
        <v>90</v>
      </c>
      <c r="R3" t="s" s="0">
        <v>81</v>
      </c>
      <c r="S3" t="s" s="0">
        <v>81</v>
      </c>
      <c r="T3" t="s" s="0">
        <v>81</v>
      </c>
      <c r="U3" t="s" s="0">
        <v>81</v>
      </c>
      <c r="V3" t="s" s="0">
        <v>131</v>
      </c>
      <c r="W3" t="s" s="0">
        <v>132</v>
      </c>
      <c r="X3" t="s" s="0">
        <v>81</v>
      </c>
      <c r="Y3" t="s" s="0">
        <v>81</v>
      </c>
      <c r="Z3" t="s" s="0">
        <v>93</v>
      </c>
      <c r="AA3" t="s" s="0">
        <v>94</v>
      </c>
      <c r="AB3" t="s" s="0">
        <v>81</v>
      </c>
      <c r="AC3" t="s" s="0">
        <v>81</v>
      </c>
      <c r="AD3" t="s" s="0">
        <v>81</v>
      </c>
      <c r="AE3" t="s" s="0">
        <v>81</v>
      </c>
      <c r="AF3" t="s" s="0">
        <v>81</v>
      </c>
      <c r="AG3" t="s" s="0">
        <v>133</v>
      </c>
      <c r="AH3" t="s" s="0">
        <v>134</v>
      </c>
      <c r="AI3" t="s" s="0">
        <v>135</v>
      </c>
      <c r="AJ3" t="s" s="0">
        <v>81</v>
      </c>
      <c r="AK3" t="s" s="0">
        <v>81</v>
      </c>
      <c r="AL3" t="s" s="0">
        <v>136</v>
      </c>
      <c r="AM3" t="s" s="0">
        <v>77</v>
      </c>
      <c r="AN3" t="s" s="0">
        <v>77</v>
      </c>
      <c r="AO3" t="s" s="0">
        <v>77</v>
      </c>
      <c r="AP3" t="s" s="0">
        <v>77</v>
      </c>
      <c r="AQ3" t="s" s="0">
        <v>137</v>
      </c>
      <c r="AR3" t="s" s="0">
        <v>138</v>
      </c>
      <c r="AS3" t="s" s="0">
        <v>139</v>
      </c>
      <c r="AT3" t="s" s="0">
        <v>81</v>
      </c>
      <c r="AU3" t="s" s="0">
        <v>140</v>
      </c>
      <c r="AV3" t="s" s="0">
        <v>81</v>
      </c>
      <c r="AW3" t="s" s="0">
        <v>141</v>
      </c>
      <c r="AX3" t="s" s="0">
        <v>142</v>
      </c>
      <c r="AY3" t="s" s="0">
        <v>143</v>
      </c>
      <c r="AZ3" t="s" s="0">
        <v>144</v>
      </c>
      <c r="BA3" t="s" s="0">
        <v>145</v>
      </c>
      <c r="BB3" t="s" s="0">
        <v>115</v>
      </c>
      <c r="BC3" t="s" s="0">
        <v>81</v>
      </c>
      <c r="BD3" t="s" s="0">
        <v>81</v>
      </c>
      <c r="BE3" t="s" s="0">
        <v>81</v>
      </c>
      <c r="BF3" t="s" s="0">
        <v>81</v>
      </c>
      <c r="BG3" t="s" s="0">
        <v>81</v>
      </c>
      <c r="BH3" t="s" s="0">
        <v>81</v>
      </c>
      <c r="BI3" t="s" s="0">
        <v>146</v>
      </c>
      <c r="BJ3" t="s" s="0">
        <v>147</v>
      </c>
      <c r="BK3" t="s" s="3">
        <f>HYPERLINK("http://dx.doi.org/10.3390/jcm15134932","http://dx.doi.org/10.3390/jcm15134932")</f>
        <v>148</v>
      </c>
      <c r="BL3" t="s" s="0">
        <v>81</v>
      </c>
      <c r="BM3" t="s" s="0">
        <v>81</v>
      </c>
      <c r="BN3" t="s" s="0">
        <v>102</v>
      </c>
      <c r="BO3" t="s" s="0">
        <v>149</v>
      </c>
      <c r="BP3" t="s" s="0">
        <v>150</v>
      </c>
      <c r="BQ3" t="s" s="0">
        <v>151</v>
      </c>
      <c r="BR3" t="s" s="0">
        <v>152</v>
      </c>
      <c r="BS3" t="s" s="0">
        <v>153</v>
      </c>
      <c r="BT3" t="s" s="4">
        <f>HYPERLINK("https://www.webofscience.com/wos/woscc/full-record/WOS:001818612300001","View Record in Web of Science")</f>
        <v>120</v>
      </c>
      <c r="BU3" t="s" s="0">
        <v>121</v>
      </c>
      <c r="BV3" t="s" s="0">
        <v>81</v>
      </c>
      <c r="BW3" t="s" s="0">
        <v>81</v>
      </c>
      <c r="BX3" t="s" s="0">
        <v>122</v>
      </c>
    </row>
    <row r="4">
      <c r="A4" t="s" s="0">
        <v>77</v>
      </c>
      <c r="B4" t="s" s="0">
        <v>77</v>
      </c>
      <c r="C4" t="s" s="0">
        <v>77</v>
      </c>
      <c r="D4" t="s" s="0">
        <v>77</v>
      </c>
      <c r="E4" t="s" s="0">
        <v>154</v>
      </c>
      <c r="F4" t="s" s="0">
        <v>155</v>
      </c>
      <c r="G4" t="s" s="0">
        <v>156</v>
      </c>
      <c r="H4" t="s" s="0">
        <v>81</v>
      </c>
      <c r="I4" t="s" s="0">
        <v>82</v>
      </c>
      <c r="J4" t="s" s="0">
        <v>157</v>
      </c>
      <c r="K4" t="s" s="0">
        <v>158</v>
      </c>
      <c r="L4" t="s" s="0">
        <v>159</v>
      </c>
      <c r="M4" t="s" s="0">
        <v>160</v>
      </c>
      <c r="N4" t="s" s="0">
        <v>161</v>
      </c>
      <c r="O4" t="s" s="0">
        <v>162</v>
      </c>
      <c r="P4" t="s" s="0">
        <v>163</v>
      </c>
      <c r="Q4" t="s" s="0">
        <v>90</v>
      </c>
      <c r="R4" t="s" s="0">
        <v>81</v>
      </c>
      <c r="S4" t="s" s="0">
        <v>81</v>
      </c>
      <c r="T4" t="s" s="0">
        <v>81</v>
      </c>
      <c r="U4" t="s" s="0">
        <v>81</v>
      </c>
      <c r="V4" t="s" s="0">
        <v>164</v>
      </c>
      <c r="W4" t="s" s="0">
        <v>165</v>
      </c>
      <c r="X4" t="s" s="0">
        <v>81</v>
      </c>
      <c r="Y4" t="s" s="0">
        <v>81</v>
      </c>
      <c r="Z4" t="s" s="0">
        <v>93</v>
      </c>
      <c r="AA4" t="s" s="0">
        <v>94</v>
      </c>
      <c r="AB4" t="s" s="0">
        <v>81</v>
      </c>
      <c r="AC4" t="s" s="0">
        <v>81</v>
      </c>
      <c r="AD4" t="s" s="0">
        <v>81</v>
      </c>
      <c r="AE4" t="s" s="0">
        <v>81</v>
      </c>
      <c r="AF4" t="s" s="0">
        <v>81</v>
      </c>
      <c r="AG4" t="s" s="0">
        <v>166</v>
      </c>
      <c r="AH4" t="s" s="0">
        <v>81</v>
      </c>
      <c r="AI4" t="s" s="0">
        <v>167</v>
      </c>
      <c r="AJ4" t="s" s="0">
        <v>81</v>
      </c>
      <c r="AK4" t="s" s="0">
        <v>81</v>
      </c>
      <c r="AL4" t="s" s="0">
        <v>168</v>
      </c>
      <c r="AM4" t="s" s="0">
        <v>99</v>
      </c>
      <c r="AN4" t="s" s="0">
        <v>99</v>
      </c>
      <c r="AO4" t="s" s="0">
        <v>169</v>
      </c>
      <c r="AP4" t="s" s="0">
        <v>169</v>
      </c>
      <c r="AQ4" t="s" s="0">
        <v>170</v>
      </c>
      <c r="AR4" t="s" s="0">
        <v>171</v>
      </c>
      <c r="AS4" t="s" s="0">
        <v>172</v>
      </c>
      <c r="AT4" t="s" s="0">
        <v>173</v>
      </c>
      <c r="AU4" t="s" s="0">
        <v>174</v>
      </c>
      <c r="AV4" t="s" s="0">
        <v>81</v>
      </c>
      <c r="AW4" t="s" s="0">
        <v>175</v>
      </c>
      <c r="AX4" t="s" s="0">
        <v>176</v>
      </c>
      <c r="AY4" t="s" s="0">
        <v>177</v>
      </c>
      <c r="AZ4" t="s" s="0">
        <v>144</v>
      </c>
      <c r="BA4" t="s" s="0">
        <v>111</v>
      </c>
      <c r="BB4" t="s" s="0">
        <v>101</v>
      </c>
      <c r="BC4" t="s" s="0">
        <v>81</v>
      </c>
      <c r="BD4" t="s" s="0">
        <v>81</v>
      </c>
      <c r="BE4" t="s" s="0">
        <v>81</v>
      </c>
      <c r="BF4" t="s" s="0">
        <v>81</v>
      </c>
      <c r="BG4" t="s" s="0">
        <v>178</v>
      </c>
      <c r="BH4" t="s" s="0">
        <v>179</v>
      </c>
      <c r="BI4" t="s" s="0">
        <v>81</v>
      </c>
      <c r="BJ4" t="s" s="0">
        <v>180</v>
      </c>
      <c r="BK4" t="s" s="5">
        <f>HYPERLINK("http://dx.doi.org/10.3348/kjr.2025.1045","http://dx.doi.org/10.3348/kjr.2025.1045")</f>
        <v>181</v>
      </c>
      <c r="BL4" t="s" s="0">
        <v>81</v>
      </c>
      <c r="BM4" t="s" s="0">
        <v>81</v>
      </c>
      <c r="BN4" t="s" s="0">
        <v>115</v>
      </c>
      <c r="BO4" t="s" s="0">
        <v>182</v>
      </c>
      <c r="BP4" t="s" s="0">
        <v>182</v>
      </c>
      <c r="BQ4" t="s" s="0">
        <v>183</v>
      </c>
      <c r="BR4" t="s" s="0">
        <v>184</v>
      </c>
      <c r="BS4" t="s" s="0">
        <v>185</v>
      </c>
      <c r="BT4" t="s" s="6">
        <f>HYPERLINK("https://www.webofscience.com/wos/woscc/full-record/WOS:001699173100005","View Record in Web of Science")</f>
        <v>120</v>
      </c>
      <c r="BU4" t="s" s="0">
        <v>186</v>
      </c>
      <c r="BV4" t="s" s="0">
        <v>81</v>
      </c>
      <c r="BW4" t="s" s="0">
        <v>81</v>
      </c>
      <c r="BX4" t="s" s="0">
        <v>122</v>
      </c>
    </row>
    <row r="5">
      <c r="A5" t="s" s="0">
        <v>77</v>
      </c>
      <c r="B5" t="s" s="0">
        <v>77</v>
      </c>
      <c r="C5" t="s" s="0">
        <v>77</v>
      </c>
      <c r="D5" t="s" s="0">
        <v>77</v>
      </c>
      <c r="E5" t="s" s="0">
        <v>187</v>
      </c>
      <c r="F5" t="s" s="0">
        <v>188</v>
      </c>
      <c r="G5" t="s" s="0">
        <v>189</v>
      </c>
      <c r="H5" t="s" s="0">
        <v>81</v>
      </c>
      <c r="I5" t="s" s="0">
        <v>82</v>
      </c>
      <c r="J5" t="s" s="0">
        <v>190</v>
      </c>
      <c r="K5" t="s" s="0">
        <v>191</v>
      </c>
      <c r="L5" t="s" s="0">
        <v>81</v>
      </c>
      <c r="M5" t="s" s="0">
        <v>81</v>
      </c>
      <c r="N5" t="s" s="0">
        <v>81</v>
      </c>
      <c r="O5" t="s" s="0">
        <v>192</v>
      </c>
      <c r="P5" t="s" s="0">
        <v>193</v>
      </c>
      <c r="Q5" t="s" s="0">
        <v>90</v>
      </c>
      <c r="R5" t="s" s="0">
        <v>81</v>
      </c>
      <c r="S5" t="s" s="0">
        <v>81</v>
      </c>
      <c r="T5" t="s" s="0">
        <v>81</v>
      </c>
      <c r="U5" t="s" s="0">
        <v>81</v>
      </c>
      <c r="V5" t="s" s="0">
        <v>194</v>
      </c>
      <c r="W5" t="s" s="0">
        <v>195</v>
      </c>
      <c r="X5" t="s" s="0">
        <v>81</v>
      </c>
      <c r="Y5" t="s" s="0">
        <v>81</v>
      </c>
      <c r="Z5" t="s" s="0">
        <v>93</v>
      </c>
      <c r="AA5" t="s" s="0">
        <v>196</v>
      </c>
      <c r="AB5" t="s" s="0">
        <v>81</v>
      </c>
      <c r="AC5" t="s" s="0">
        <v>81</v>
      </c>
      <c r="AD5" t="s" s="0">
        <v>81</v>
      </c>
      <c r="AE5" t="s" s="0">
        <v>81</v>
      </c>
      <c r="AF5" t="s" s="0">
        <v>81</v>
      </c>
      <c r="AG5" t="s" s="0">
        <v>197</v>
      </c>
      <c r="AH5" t="s" s="0">
        <v>81</v>
      </c>
      <c r="AI5" t="s" s="0">
        <v>198</v>
      </c>
      <c r="AJ5" t="s" s="0">
        <v>81</v>
      </c>
      <c r="AK5" t="s" s="0">
        <v>81</v>
      </c>
      <c r="AL5" t="s" s="0">
        <v>199</v>
      </c>
      <c r="AM5" t="s" s="0">
        <v>77</v>
      </c>
      <c r="AN5" t="s" s="0">
        <v>77</v>
      </c>
      <c r="AO5" t="s" s="0">
        <v>169</v>
      </c>
      <c r="AP5" t="s" s="0">
        <v>169</v>
      </c>
      <c r="AQ5" t="s" s="0">
        <v>200</v>
      </c>
      <c r="AR5" t="s" s="0">
        <v>201</v>
      </c>
      <c r="AS5" t="s" s="0">
        <v>202</v>
      </c>
      <c r="AT5" t="s" s="0">
        <v>203</v>
      </c>
      <c r="AU5" t="s" s="0">
        <v>204</v>
      </c>
      <c r="AV5" t="s" s="0">
        <v>81</v>
      </c>
      <c r="AW5" t="s" s="0">
        <v>205</v>
      </c>
      <c r="AX5" t="s" s="0">
        <v>206</v>
      </c>
      <c r="AY5" t="s" s="0">
        <v>81</v>
      </c>
      <c r="AZ5" t="s" s="0">
        <v>144</v>
      </c>
      <c r="BA5" t="s" s="0">
        <v>81</v>
      </c>
      <c r="BB5" t="s" s="0">
        <v>81</v>
      </c>
      <c r="BC5" t="s" s="0">
        <v>81</v>
      </c>
      <c r="BD5" t="s" s="0">
        <v>81</v>
      </c>
      <c r="BE5" t="s" s="0">
        <v>81</v>
      </c>
      <c r="BF5" t="s" s="0">
        <v>81</v>
      </c>
      <c r="BG5" t="s" s="0">
        <v>81</v>
      </c>
      <c r="BH5" t="s" s="0">
        <v>81</v>
      </c>
      <c r="BI5" t="s" s="0">
        <v>81</v>
      </c>
      <c r="BJ5" t="s" s="0">
        <v>207</v>
      </c>
      <c r="BK5" t="s" s="7">
        <f>HYPERLINK("http://dx.doi.org/10.1136/bjo-2025-328867","http://dx.doi.org/10.1136/bjo-2025-328867")</f>
        <v>208</v>
      </c>
      <c r="BL5" t="s" s="0">
        <v>81</v>
      </c>
      <c r="BM5" t="s" s="0">
        <v>209</v>
      </c>
      <c r="BN5" t="s" s="0">
        <v>210</v>
      </c>
      <c r="BO5" t="s" s="0">
        <v>211</v>
      </c>
      <c r="BP5" t="s" s="0">
        <v>211</v>
      </c>
      <c r="BQ5" t="s" s="0">
        <v>212</v>
      </c>
      <c r="BR5" t="s" s="0">
        <v>213</v>
      </c>
      <c r="BS5" t="s" s="0">
        <v>214</v>
      </c>
      <c r="BT5" t="s" s="8">
        <f>HYPERLINK("https://www.webofscience.com/wos/woscc/full-record/WOS:001736055100001","View Record in Web of Science")</f>
        <v>120</v>
      </c>
      <c r="BU5" t="s" s="0">
        <v>81</v>
      </c>
      <c r="BV5" t="s" s="0">
        <v>81</v>
      </c>
      <c r="BW5" t="s" s="0">
        <v>81</v>
      </c>
      <c r="BX5" t="s" s="0">
        <v>122</v>
      </c>
    </row>
    <row r="6">
      <c r="A6" t="s" s="0">
        <v>77</v>
      </c>
      <c r="B6" t="s" s="0">
        <v>77</v>
      </c>
      <c r="C6" t="s" s="0">
        <v>77</v>
      </c>
      <c r="D6" t="s" s="0">
        <v>77</v>
      </c>
      <c r="E6" t="s" s="0">
        <v>215</v>
      </c>
      <c r="F6" t="s" s="0">
        <v>216</v>
      </c>
      <c r="G6" t="s" s="0">
        <v>217</v>
      </c>
      <c r="H6" t="s" s="0">
        <v>81</v>
      </c>
      <c r="I6" t="s" s="0">
        <v>218</v>
      </c>
      <c r="J6" t="s" s="0">
        <v>219</v>
      </c>
      <c r="K6" t="s" s="0">
        <v>220</v>
      </c>
      <c r="L6" t="s" s="0">
        <v>221</v>
      </c>
      <c r="M6" t="s" s="0">
        <v>222</v>
      </c>
      <c r="N6" t="s" s="0">
        <v>223</v>
      </c>
      <c r="O6" t="s" s="0">
        <v>224</v>
      </c>
      <c r="P6" t="s" s="0">
        <v>225</v>
      </c>
      <c r="Q6" t="s" s="0">
        <v>90</v>
      </c>
      <c r="R6" t="s" s="0">
        <v>81</v>
      </c>
      <c r="S6" t="s" s="0">
        <v>81</v>
      </c>
      <c r="T6" t="s" s="0">
        <v>81</v>
      </c>
      <c r="U6" t="s" s="0">
        <v>81</v>
      </c>
      <c r="V6" t="s" s="0">
        <v>226</v>
      </c>
      <c r="W6" t="s" s="0">
        <v>227</v>
      </c>
      <c r="X6" t="s" s="0">
        <v>81</v>
      </c>
      <c r="Y6" t="s" s="0">
        <v>81</v>
      </c>
      <c r="Z6" t="s" s="0">
        <v>93</v>
      </c>
      <c r="AA6" t="s" s="0">
        <v>94</v>
      </c>
      <c r="AB6" t="s" s="0">
        <v>81</v>
      </c>
      <c r="AC6" t="s" s="0">
        <v>81</v>
      </c>
      <c r="AD6" t="s" s="0">
        <v>81</v>
      </c>
      <c r="AE6" t="s" s="0">
        <v>81</v>
      </c>
      <c r="AF6" t="s" s="0">
        <v>81</v>
      </c>
      <c r="AG6" t="s" s="0">
        <v>228</v>
      </c>
      <c r="AH6" t="s" s="0">
        <v>229</v>
      </c>
      <c r="AI6" t="s" s="0">
        <v>230</v>
      </c>
      <c r="AJ6" t="s" s="0">
        <v>231</v>
      </c>
      <c r="AK6" t="s" s="0">
        <v>81</v>
      </c>
      <c r="AL6" t="s" s="0">
        <v>199</v>
      </c>
      <c r="AM6" t="s" s="0">
        <v>77</v>
      </c>
      <c r="AN6" t="s" s="0">
        <v>77</v>
      </c>
      <c r="AO6" t="s" s="0">
        <v>101</v>
      </c>
      <c r="AP6" t="s" s="0">
        <v>100</v>
      </c>
      <c r="AQ6" t="s" s="0">
        <v>232</v>
      </c>
      <c r="AR6" t="s" s="0">
        <v>171</v>
      </c>
      <c r="AS6" t="s" s="0">
        <v>233</v>
      </c>
      <c r="AT6" t="s" s="0">
        <v>234</v>
      </c>
      <c r="AU6" t="s" s="0">
        <v>235</v>
      </c>
      <c r="AV6" t="s" s="0">
        <v>81</v>
      </c>
      <c r="AW6" t="s" s="0">
        <v>236</v>
      </c>
      <c r="AX6" t="s" s="0">
        <v>237</v>
      </c>
      <c r="AY6" t="s" s="0">
        <v>238</v>
      </c>
      <c r="AZ6" t="s" s="0">
        <v>110</v>
      </c>
      <c r="BA6" t="s" s="0">
        <v>239</v>
      </c>
      <c r="BB6" t="s" s="0">
        <v>99</v>
      </c>
      <c r="BC6" t="s" s="0">
        <v>81</v>
      </c>
      <c r="BD6" t="s" s="0">
        <v>81</v>
      </c>
      <c r="BE6" t="s" s="0">
        <v>81</v>
      </c>
      <c r="BF6" t="s" s="0">
        <v>81</v>
      </c>
      <c r="BG6" t="s" s="0">
        <v>240</v>
      </c>
      <c r="BH6" t="s" s="0">
        <v>241</v>
      </c>
      <c r="BI6" t="s" s="0">
        <v>81</v>
      </c>
      <c r="BJ6" t="s" s="0">
        <v>242</v>
      </c>
      <c r="BK6" t="s" s="9">
        <f>HYPERLINK("http://dx.doi.org/10.4258/hir.2025.31.4.416","http://dx.doi.org/10.4258/hir.2025.31.4.416")</f>
        <v>243</v>
      </c>
      <c r="BL6" t="s" s="0">
        <v>81</v>
      </c>
      <c r="BM6" t="s" s="0">
        <v>81</v>
      </c>
      <c r="BN6" t="s" s="0">
        <v>102</v>
      </c>
      <c r="BO6" t="s" s="0">
        <v>244</v>
      </c>
      <c r="BP6" t="s" s="0">
        <v>244</v>
      </c>
      <c r="BQ6" t="s" s="0">
        <v>245</v>
      </c>
      <c r="BR6" t="s" s="0">
        <v>246</v>
      </c>
      <c r="BS6" t="s" s="0">
        <v>247</v>
      </c>
      <c r="BT6" t="s" s="10">
        <f>HYPERLINK("https://www.webofscience.com/wos/woscc/full-record/WOS:001620298200010","View Record in Web of Science")</f>
        <v>120</v>
      </c>
      <c r="BU6" t="s" s="0">
        <v>121</v>
      </c>
      <c r="BV6" t="s" s="0">
        <v>81</v>
      </c>
      <c r="BW6" t="s" s="0">
        <v>81</v>
      </c>
      <c r="BX6" t="s" s="0">
        <v>122</v>
      </c>
    </row>
    <row r="7">
      <c r="A7" t="s" s="0">
        <v>77</v>
      </c>
      <c r="B7" t="s" s="0">
        <v>77</v>
      </c>
      <c r="C7" t="s" s="0">
        <v>77</v>
      </c>
      <c r="D7" t="s" s="0">
        <v>77</v>
      </c>
      <c r="E7" t="s" s="0">
        <v>248</v>
      </c>
      <c r="F7" t="s" s="0">
        <v>249</v>
      </c>
      <c r="G7" t="s" s="0">
        <v>250</v>
      </c>
      <c r="H7" t="s" s="0">
        <v>81</v>
      </c>
      <c r="I7" t="s" s="0">
        <v>82</v>
      </c>
      <c r="J7" t="s" s="0">
        <v>251</v>
      </c>
      <c r="K7" t="s" s="0">
        <v>252</v>
      </c>
      <c r="L7" t="s" s="0">
        <v>81</v>
      </c>
      <c r="M7" t="s" s="0">
        <v>81</v>
      </c>
      <c r="N7" t="s" s="0">
        <v>81</v>
      </c>
      <c r="O7" t="s" s="0">
        <v>253</v>
      </c>
      <c r="P7" t="s" s="0">
        <v>254</v>
      </c>
      <c r="Q7" t="s" s="0">
        <v>90</v>
      </c>
      <c r="R7" t="s" s="0">
        <v>81</v>
      </c>
      <c r="S7" t="s" s="0">
        <v>81</v>
      </c>
      <c r="T7" t="s" s="0">
        <v>81</v>
      </c>
      <c r="U7" t="s" s="0">
        <v>81</v>
      </c>
      <c r="V7" t="s" s="0">
        <v>255</v>
      </c>
      <c r="W7" t="s" s="0">
        <v>256</v>
      </c>
      <c r="X7" t="s" s="0">
        <v>81</v>
      </c>
      <c r="Y7" t="s" s="0">
        <v>81</v>
      </c>
      <c r="Z7" t="s" s="0">
        <v>93</v>
      </c>
      <c r="AA7" t="s" s="0">
        <v>94</v>
      </c>
      <c r="AB7" t="s" s="0">
        <v>81</v>
      </c>
      <c r="AC7" t="s" s="0">
        <v>81</v>
      </c>
      <c r="AD7" t="s" s="0">
        <v>81</v>
      </c>
      <c r="AE7" t="s" s="0">
        <v>81</v>
      </c>
      <c r="AF7" t="s" s="0">
        <v>81</v>
      </c>
      <c r="AG7" t="s" s="0">
        <v>257</v>
      </c>
      <c r="AH7" t="s" s="0">
        <v>258</v>
      </c>
      <c r="AI7" t="s" s="0">
        <v>259</v>
      </c>
      <c r="AJ7" t="s" s="0">
        <v>260</v>
      </c>
      <c r="AK7" t="s" s="0">
        <v>81</v>
      </c>
      <c r="AL7" t="s" s="0">
        <v>261</v>
      </c>
      <c r="AM7" t="s" s="0">
        <v>77</v>
      </c>
      <c r="AN7" t="s" s="0">
        <v>77</v>
      </c>
      <c r="AO7" t="s" s="0">
        <v>169</v>
      </c>
      <c r="AP7" t="s" s="0">
        <v>169</v>
      </c>
      <c r="AQ7" t="s" s="0">
        <v>137</v>
      </c>
      <c r="AR7" t="s" s="0">
        <v>138</v>
      </c>
      <c r="AS7" t="s" s="0">
        <v>139</v>
      </c>
      <c r="AT7" t="s" s="0">
        <v>81</v>
      </c>
      <c r="AU7" t="s" s="0">
        <v>262</v>
      </c>
      <c r="AV7" t="s" s="0">
        <v>81</v>
      </c>
      <c r="AW7" t="s" s="0">
        <v>256</v>
      </c>
      <c r="AX7" t="s" s="0">
        <v>263</v>
      </c>
      <c r="AY7" t="s" s="0">
        <v>264</v>
      </c>
      <c r="AZ7" t="s" s="0">
        <v>144</v>
      </c>
      <c r="BA7" t="s" s="0">
        <v>265</v>
      </c>
      <c r="BB7" t="s" s="0">
        <v>101</v>
      </c>
      <c r="BC7" t="s" s="0">
        <v>81</v>
      </c>
      <c r="BD7" t="s" s="0">
        <v>81</v>
      </c>
      <c r="BE7" t="s" s="0">
        <v>81</v>
      </c>
      <c r="BF7" t="s" s="0">
        <v>81</v>
      </c>
      <c r="BG7" t="s" s="0">
        <v>81</v>
      </c>
      <c r="BH7" t="s" s="0">
        <v>81</v>
      </c>
      <c r="BI7" t="s" s="0">
        <v>266</v>
      </c>
      <c r="BJ7" t="s" s="0">
        <v>267</v>
      </c>
      <c r="BK7" t="s" s="11">
        <f>HYPERLINK("http://dx.doi.org/10.3390/diagnostics16030424","http://dx.doi.org/10.3390/diagnostics16030424")</f>
        <v>268</v>
      </c>
      <c r="BL7" t="s" s="0">
        <v>81</v>
      </c>
      <c r="BM7" t="s" s="0">
        <v>81</v>
      </c>
      <c r="BN7" t="s" s="0">
        <v>145</v>
      </c>
      <c r="BO7" t="s" s="0">
        <v>149</v>
      </c>
      <c r="BP7" t="s" s="0">
        <v>150</v>
      </c>
      <c r="BQ7" t="s" s="0">
        <v>269</v>
      </c>
      <c r="BR7" t="s" s="0">
        <v>270</v>
      </c>
      <c r="BS7" t="s" s="0">
        <v>271</v>
      </c>
      <c r="BT7" t="s" s="12">
        <f>HYPERLINK("https://www.webofscience.com/wos/woscc/full-record/WOS:001688358400001","View Record in Web of Science")</f>
        <v>120</v>
      </c>
      <c r="BU7" t="s" s="0">
        <v>121</v>
      </c>
      <c r="BV7" t="s" s="0">
        <v>81</v>
      </c>
      <c r="BW7" t="s" s="0">
        <v>81</v>
      </c>
      <c r="BX7" t="s" s="0">
        <v>122</v>
      </c>
    </row>
    <row r="8">
      <c r="A8" t="s" s="0">
        <v>77</v>
      </c>
      <c r="B8" t="s" s="0">
        <v>77</v>
      </c>
      <c r="C8" t="s" s="0">
        <v>77</v>
      </c>
      <c r="D8" t="s" s="0">
        <v>77</v>
      </c>
      <c r="E8" t="s" s="0">
        <v>272</v>
      </c>
      <c r="F8" t="s" s="0">
        <v>273</v>
      </c>
      <c r="G8" t="s" s="0">
        <v>274</v>
      </c>
      <c r="H8" t="s" s="0">
        <v>81</v>
      </c>
      <c r="I8" t="s" s="0">
        <v>82</v>
      </c>
      <c r="J8" t="s" s="0">
        <v>275</v>
      </c>
      <c r="K8" t="s" s="0">
        <v>276</v>
      </c>
      <c r="L8" t="s" s="0">
        <v>277</v>
      </c>
      <c r="M8" t="s" s="0">
        <v>278</v>
      </c>
      <c r="N8" t="s" s="0">
        <v>279</v>
      </c>
      <c r="O8" t="s" s="0">
        <v>280</v>
      </c>
      <c r="P8" t="s" s="0">
        <v>281</v>
      </c>
      <c r="Q8" t="s" s="0">
        <v>90</v>
      </c>
      <c r="R8" t="s" s="0">
        <v>81</v>
      </c>
      <c r="S8" t="s" s="0">
        <v>81</v>
      </c>
      <c r="T8" t="s" s="0">
        <v>81</v>
      </c>
      <c r="U8" t="s" s="0">
        <v>81</v>
      </c>
      <c r="V8" t="s" s="0">
        <v>282</v>
      </c>
      <c r="W8" t="s" s="0">
        <v>283</v>
      </c>
      <c r="X8" t="s" s="0">
        <v>81</v>
      </c>
      <c r="Y8" t="s" s="0">
        <v>81</v>
      </c>
      <c r="Z8" t="s" s="0">
        <v>93</v>
      </c>
      <c r="AA8" t="s" s="0">
        <v>94</v>
      </c>
      <c r="AB8" t="s" s="0">
        <v>81</v>
      </c>
      <c r="AC8" t="s" s="0">
        <v>81</v>
      </c>
      <c r="AD8" t="s" s="0">
        <v>81</v>
      </c>
      <c r="AE8" t="s" s="0">
        <v>81</v>
      </c>
      <c r="AF8" t="s" s="0">
        <v>81</v>
      </c>
      <c r="AG8" t="s" s="0">
        <v>284</v>
      </c>
      <c r="AH8" t="s" s="0">
        <v>81</v>
      </c>
      <c r="AI8" t="s" s="0">
        <v>285</v>
      </c>
      <c r="AJ8" t="s" s="0">
        <v>286</v>
      </c>
      <c r="AK8" t="s" s="0">
        <v>81</v>
      </c>
      <c r="AL8" t="s" s="0">
        <v>287</v>
      </c>
      <c r="AM8" t="s" s="0">
        <v>169</v>
      </c>
      <c r="AN8" t="s" s="0">
        <v>169</v>
      </c>
      <c r="AO8" t="s" s="0">
        <v>115</v>
      </c>
      <c r="AP8" t="s" s="0">
        <v>145</v>
      </c>
      <c r="AQ8" t="s" s="0">
        <v>288</v>
      </c>
      <c r="AR8" t="s" s="0">
        <v>289</v>
      </c>
      <c r="AS8" t="s" s="0">
        <v>290</v>
      </c>
      <c r="AT8" t="s" s="0">
        <v>291</v>
      </c>
      <c r="AU8" t="s" s="0">
        <v>292</v>
      </c>
      <c r="AV8" t="s" s="0">
        <v>81</v>
      </c>
      <c r="AW8" t="s" s="0">
        <v>293</v>
      </c>
      <c r="AX8" t="s" s="0">
        <v>294</v>
      </c>
      <c r="AY8" t="s" s="0">
        <v>295</v>
      </c>
      <c r="AZ8" t="s" s="0">
        <v>144</v>
      </c>
      <c r="BA8" t="s" s="0">
        <v>296</v>
      </c>
      <c r="BB8" t="s" s="0">
        <v>81</v>
      </c>
      <c r="BC8" t="s" s="0">
        <v>81</v>
      </c>
      <c r="BD8" t="s" s="0">
        <v>81</v>
      </c>
      <c r="BE8" t="s" s="0">
        <v>81</v>
      </c>
      <c r="BF8" t="s" s="0">
        <v>81</v>
      </c>
      <c r="BG8" t="s" s="0">
        <v>81</v>
      </c>
      <c r="BH8" t="s" s="0">
        <v>81</v>
      </c>
      <c r="BI8" t="s" s="0">
        <v>297</v>
      </c>
      <c r="BJ8" t="s" s="0">
        <v>298</v>
      </c>
      <c r="BK8" t="s" s="13">
        <f>HYPERLINK("http://dx.doi.org/10.1016/j.inffus.2025.104027","http://dx.doi.org/10.1016/j.inffus.2025.104027")</f>
        <v>299</v>
      </c>
      <c r="BL8" t="s" s="0">
        <v>81</v>
      </c>
      <c r="BM8" t="s" s="0">
        <v>300</v>
      </c>
      <c r="BN8" t="s" s="0">
        <v>301</v>
      </c>
      <c r="BO8" t="s" s="0">
        <v>302</v>
      </c>
      <c r="BP8" t="s" s="0">
        <v>303</v>
      </c>
      <c r="BQ8" t="s" s="0">
        <v>304</v>
      </c>
      <c r="BR8" t="s" s="0">
        <v>81</v>
      </c>
      <c r="BS8" t="s" s="0">
        <v>305</v>
      </c>
      <c r="BT8" t="s" s="14">
        <f>HYPERLINK("https://www.webofscience.com/wos/woscc/full-record/WOS:001651923100001","View Record in Web of Science")</f>
        <v>120</v>
      </c>
      <c r="BU8" t="s" s="0">
        <v>306</v>
      </c>
      <c r="BV8" t="s" s="0">
        <v>81</v>
      </c>
      <c r="BW8" t="s" s="0">
        <v>81</v>
      </c>
      <c r="BX8" t="s" s="0">
        <v>122</v>
      </c>
    </row>
    <row r="9">
      <c r="A9" t="s" s="0">
        <v>77</v>
      </c>
      <c r="B9" t="s" s="0">
        <v>77</v>
      </c>
      <c r="C9" t="s" s="0">
        <v>169</v>
      </c>
      <c r="D9" t="s" s="0">
        <v>77</v>
      </c>
      <c r="E9" t="s" s="0">
        <v>307</v>
      </c>
      <c r="F9" t="s" s="0">
        <v>308</v>
      </c>
      <c r="G9" t="s" s="0">
        <v>309</v>
      </c>
      <c r="H9" t="s" s="0">
        <v>81</v>
      </c>
      <c r="I9" t="s" s="0">
        <v>82</v>
      </c>
      <c r="J9" t="s" s="0">
        <v>310</v>
      </c>
      <c r="K9" t="s" s="0">
        <v>311</v>
      </c>
      <c r="L9" t="s" s="0">
        <v>312</v>
      </c>
      <c r="M9" t="s" s="0">
        <v>312</v>
      </c>
      <c r="N9" t="s" s="0">
        <v>313</v>
      </c>
      <c r="O9" t="s" s="0">
        <v>314</v>
      </c>
      <c r="P9" t="s" s="0">
        <v>315</v>
      </c>
      <c r="Q9" t="s" s="0">
        <v>90</v>
      </c>
      <c r="R9" t="s" s="0">
        <v>81</v>
      </c>
      <c r="S9" t="s" s="0">
        <v>81</v>
      </c>
      <c r="T9" t="s" s="0">
        <v>81</v>
      </c>
      <c r="U9" t="s" s="0">
        <v>81</v>
      </c>
      <c r="V9" t="s" s="0">
        <v>316</v>
      </c>
      <c r="W9" t="s" s="0">
        <v>317</v>
      </c>
      <c r="X9" t="s" s="0">
        <v>81</v>
      </c>
      <c r="Y9" t="s" s="0">
        <v>81</v>
      </c>
      <c r="Z9" t="s" s="0">
        <v>93</v>
      </c>
      <c r="AA9" t="s" s="0">
        <v>94</v>
      </c>
      <c r="AB9" t="s" s="0">
        <v>81</v>
      </c>
      <c r="AC9" t="s" s="0">
        <v>81</v>
      </c>
      <c r="AD9" t="s" s="0">
        <v>81</v>
      </c>
      <c r="AE9" t="s" s="0">
        <v>81</v>
      </c>
      <c r="AF9" t="s" s="0">
        <v>81</v>
      </c>
      <c r="AG9" t="s" s="0">
        <v>81</v>
      </c>
      <c r="AH9" t="s" s="0">
        <v>81</v>
      </c>
      <c r="AI9" t="s" s="0">
        <v>318</v>
      </c>
      <c r="AJ9" t="s" s="0">
        <v>81</v>
      </c>
      <c r="AK9" t="s" s="0">
        <v>81</v>
      </c>
      <c r="AL9" t="s" s="0">
        <v>319</v>
      </c>
      <c r="AM9" t="s" s="0">
        <v>320</v>
      </c>
      <c r="AN9" t="s" s="0">
        <v>265</v>
      </c>
      <c r="AO9" t="s" s="0">
        <v>100</v>
      </c>
      <c r="AP9" t="s" s="0">
        <v>100</v>
      </c>
      <c r="AQ9" t="s" s="0">
        <v>321</v>
      </c>
      <c r="AR9" t="s" s="0">
        <v>322</v>
      </c>
      <c r="AS9" t="s" s="0">
        <v>323</v>
      </c>
      <c r="AT9" t="s" s="0">
        <v>324</v>
      </c>
      <c r="AU9" t="s" s="0">
        <v>81</v>
      </c>
      <c r="AV9" t="s" s="0">
        <v>81</v>
      </c>
      <c r="AW9" t="s" s="0">
        <v>325</v>
      </c>
      <c r="AX9" t="s" s="0">
        <v>326</v>
      </c>
      <c r="AY9" t="s" s="0">
        <v>327</v>
      </c>
      <c r="AZ9" t="s" s="0">
        <v>144</v>
      </c>
      <c r="BA9" t="s" s="0">
        <v>328</v>
      </c>
      <c r="BB9" t="s" s="0">
        <v>169</v>
      </c>
      <c r="BC9" t="s" s="0">
        <v>81</v>
      </c>
      <c r="BD9" t="s" s="0">
        <v>81</v>
      </c>
      <c r="BE9" t="s" s="0">
        <v>81</v>
      </c>
      <c r="BF9" t="s" s="0">
        <v>81</v>
      </c>
      <c r="BG9" t="s" s="0">
        <v>81</v>
      </c>
      <c r="BH9" t="s" s="0">
        <v>81</v>
      </c>
      <c r="BI9" t="s" s="0">
        <v>329</v>
      </c>
      <c r="BJ9" t="s" s="0">
        <v>330</v>
      </c>
      <c r="BK9" t="s" s="15">
        <f>HYPERLINK("http://dx.doi.org/10.1038/s41746-026-02428-5","http://dx.doi.org/10.1038/s41746-026-02428-5")</f>
        <v>331</v>
      </c>
      <c r="BL9" t="s" s="0">
        <v>81</v>
      </c>
      <c r="BM9" t="s" s="0">
        <v>81</v>
      </c>
      <c r="BN9" t="s" s="0">
        <v>328</v>
      </c>
      <c r="BO9" t="s" s="0">
        <v>116</v>
      </c>
      <c r="BP9" t="s" s="0">
        <v>116</v>
      </c>
      <c r="BQ9" t="s" s="0">
        <v>332</v>
      </c>
      <c r="BR9" t="s" s="0">
        <v>333</v>
      </c>
      <c r="BS9" t="s" s="0">
        <v>334</v>
      </c>
      <c r="BT9" t="s" s="16">
        <f>HYPERLINK("https://www.webofscience.com/wos/woscc/full-record/WOS:001722447300002","View Record in Web of Science")</f>
        <v>120</v>
      </c>
      <c r="BU9" t="s" s="0">
        <v>121</v>
      </c>
      <c r="BV9" t="s" s="0">
        <v>81</v>
      </c>
      <c r="BW9" t="s" s="0">
        <v>81</v>
      </c>
      <c r="BX9" t="s" s="0">
        <v>122</v>
      </c>
    </row>
    <row r="10">
      <c r="A10" t="s" s="0">
        <v>77</v>
      </c>
      <c r="B10" t="s" s="0">
        <v>77</v>
      </c>
      <c r="C10" t="s" s="0">
        <v>99</v>
      </c>
      <c r="D10" t="s" s="0">
        <v>77</v>
      </c>
      <c r="E10" t="s" s="0">
        <v>335</v>
      </c>
      <c r="F10" t="s" s="0">
        <v>336</v>
      </c>
      <c r="G10" t="s" s="0">
        <v>337</v>
      </c>
      <c r="H10" t="s" s="0">
        <v>81</v>
      </c>
      <c r="I10" t="s" s="0">
        <v>82</v>
      </c>
      <c r="J10" t="s" s="0">
        <v>338</v>
      </c>
      <c r="K10" t="s" s="0">
        <v>339</v>
      </c>
      <c r="L10" t="s" s="0">
        <v>340</v>
      </c>
      <c r="M10" t="s" s="0">
        <v>341</v>
      </c>
      <c r="N10" t="s" s="0">
        <v>342</v>
      </c>
      <c r="O10" t="s" s="0">
        <v>343</v>
      </c>
      <c r="P10" t="s" s="0">
        <v>344</v>
      </c>
      <c r="Q10" t="s" s="0">
        <v>90</v>
      </c>
      <c r="R10" t="s" s="0">
        <v>81</v>
      </c>
      <c r="S10" t="s" s="0">
        <v>81</v>
      </c>
      <c r="T10" t="s" s="0">
        <v>81</v>
      </c>
      <c r="U10" t="s" s="0">
        <v>81</v>
      </c>
      <c r="V10" t="s" s="0">
        <v>345</v>
      </c>
      <c r="W10" t="s" s="0">
        <v>346</v>
      </c>
      <c r="X10" t="s" s="0">
        <v>81</v>
      </c>
      <c r="Y10" t="s" s="0">
        <v>81</v>
      </c>
      <c r="Z10" t="s" s="0">
        <v>93</v>
      </c>
      <c r="AA10" t="s" s="0">
        <v>94</v>
      </c>
      <c r="AB10" t="s" s="0">
        <v>81</v>
      </c>
      <c r="AC10" t="s" s="0">
        <v>81</v>
      </c>
      <c r="AD10" t="s" s="0">
        <v>81</v>
      </c>
      <c r="AE10" t="s" s="0">
        <v>81</v>
      </c>
      <c r="AF10" t="s" s="0">
        <v>81</v>
      </c>
      <c r="AG10" t="s" s="0">
        <v>347</v>
      </c>
      <c r="AH10" t="s" s="0">
        <v>348</v>
      </c>
      <c r="AI10" t="s" s="0">
        <v>349</v>
      </c>
      <c r="AJ10" t="s" s="0">
        <v>350</v>
      </c>
      <c r="AK10" t="s" s="0">
        <v>81</v>
      </c>
      <c r="AL10" t="s" s="0">
        <v>351</v>
      </c>
      <c r="AM10" t="s" s="0">
        <v>102</v>
      </c>
      <c r="AN10" t="s" s="0">
        <v>102</v>
      </c>
      <c r="AO10" t="s" s="0">
        <v>169</v>
      </c>
      <c r="AP10" t="s" s="0">
        <v>352</v>
      </c>
      <c r="AQ10" t="s" s="0">
        <v>353</v>
      </c>
      <c r="AR10" t="s" s="0">
        <v>354</v>
      </c>
      <c r="AS10" t="s" s="0">
        <v>355</v>
      </c>
      <c r="AT10" t="s" s="0">
        <v>356</v>
      </c>
      <c r="AU10" t="s" s="0">
        <v>81</v>
      </c>
      <c r="AV10" t="s" s="0">
        <v>81</v>
      </c>
      <c r="AW10" t="s" s="0">
        <v>357</v>
      </c>
      <c r="AX10" t="s" s="0">
        <v>358</v>
      </c>
      <c r="AY10" t="s" s="0">
        <v>359</v>
      </c>
      <c r="AZ10" t="s" s="0">
        <v>110</v>
      </c>
      <c r="BA10" t="s" s="0">
        <v>360</v>
      </c>
      <c r="BB10" t="s" s="0">
        <v>81</v>
      </c>
      <c r="BC10" t="s" s="0">
        <v>81</v>
      </c>
      <c r="BD10" t="s" s="0">
        <v>81</v>
      </c>
      <c r="BE10" t="s" s="0">
        <v>81</v>
      </c>
      <c r="BF10" t="s" s="0">
        <v>81</v>
      </c>
      <c r="BG10" t="s" s="0">
        <v>81</v>
      </c>
      <c r="BH10" t="s" s="0">
        <v>81</v>
      </c>
      <c r="BI10" t="s" s="0">
        <v>361</v>
      </c>
      <c r="BJ10" t="s" s="0">
        <v>362</v>
      </c>
      <c r="BK10" t="s" s="17">
        <f>HYPERLINK("http://dx.doi.org/10.3389/fcvm.2025.1458289","http://dx.doi.org/10.3389/fcvm.2025.1458289")</f>
        <v>363</v>
      </c>
      <c r="BL10" t="s" s="0">
        <v>81</v>
      </c>
      <c r="BM10" t="s" s="0">
        <v>81</v>
      </c>
      <c r="BN10" t="s" s="0">
        <v>328</v>
      </c>
      <c r="BO10" t="s" s="0">
        <v>364</v>
      </c>
      <c r="BP10" t="s" s="0">
        <v>365</v>
      </c>
      <c r="BQ10" t="s" s="0">
        <v>366</v>
      </c>
      <c r="BR10" t="s" s="0">
        <v>367</v>
      </c>
      <c r="BS10" t="s" s="0">
        <v>368</v>
      </c>
      <c r="BT10" t="s" s="18">
        <f>HYPERLINK("https://www.webofscience.com/wos/woscc/full-record/WOS:001425772800001","View Record in Web of Science")</f>
        <v>120</v>
      </c>
      <c r="BU10" t="s" s="0">
        <v>121</v>
      </c>
      <c r="BV10" t="s" s="0">
        <v>81</v>
      </c>
      <c r="BW10" t="s" s="0">
        <v>81</v>
      </c>
      <c r="BX10" t="s" s="0">
        <v>122</v>
      </c>
    </row>
    <row r="11">
      <c r="A11" t="s" s="0">
        <v>77</v>
      </c>
      <c r="B11" t="s" s="0">
        <v>77</v>
      </c>
      <c r="C11" t="s" s="0">
        <v>77</v>
      </c>
      <c r="D11" t="s" s="0">
        <v>77</v>
      </c>
      <c r="E11" t="s" s="0">
        <v>369</v>
      </c>
      <c r="F11" t="s" s="0">
        <v>370</v>
      </c>
      <c r="G11" t="s" s="0">
        <v>371</v>
      </c>
      <c r="H11" t="s" s="0">
        <v>81</v>
      </c>
      <c r="I11" t="s" s="0">
        <v>82</v>
      </c>
      <c r="J11" t="s" s="0">
        <v>372</v>
      </c>
      <c r="K11" t="s" s="0">
        <v>373</v>
      </c>
      <c r="L11" t="s" s="0">
        <v>374</v>
      </c>
      <c r="M11" t="s" s="0">
        <v>375</v>
      </c>
      <c r="N11" t="s" s="0">
        <v>376</v>
      </c>
      <c r="O11" t="s" s="0">
        <v>377</v>
      </c>
      <c r="P11" t="s" s="0">
        <v>378</v>
      </c>
      <c r="Q11" t="s" s="0">
        <v>90</v>
      </c>
      <c r="R11" t="s" s="0">
        <v>81</v>
      </c>
      <c r="S11" t="s" s="0">
        <v>81</v>
      </c>
      <c r="T11" t="s" s="0">
        <v>81</v>
      </c>
      <c r="U11" t="s" s="0">
        <v>81</v>
      </c>
      <c r="V11" t="s" s="0">
        <v>379</v>
      </c>
      <c r="W11" t="s" s="0">
        <v>380</v>
      </c>
      <c r="X11" t="s" s="0">
        <v>81</v>
      </c>
      <c r="Y11" t="s" s="0">
        <v>81</v>
      </c>
      <c r="Z11" t="s" s="0">
        <v>93</v>
      </c>
      <c r="AA11" t="s" s="0">
        <v>94</v>
      </c>
      <c r="AB11" t="s" s="0">
        <v>81</v>
      </c>
      <c r="AC11" t="s" s="0">
        <v>81</v>
      </c>
      <c r="AD11" t="s" s="0">
        <v>81</v>
      </c>
      <c r="AE11" t="s" s="0">
        <v>81</v>
      </c>
      <c r="AF11" t="s" s="0">
        <v>81</v>
      </c>
      <c r="AG11" t="s" s="0">
        <v>381</v>
      </c>
      <c r="AH11" t="s" s="0">
        <v>382</v>
      </c>
      <c r="AI11" t="s" s="0">
        <v>383</v>
      </c>
      <c r="AJ11" t="s" s="0">
        <v>384</v>
      </c>
      <c r="AK11" t="s" s="0">
        <v>81</v>
      </c>
      <c r="AL11" t="s" s="0">
        <v>385</v>
      </c>
      <c r="AM11" t="s" s="0">
        <v>386</v>
      </c>
      <c r="AN11" t="s" s="0">
        <v>360</v>
      </c>
      <c r="AO11" t="s" s="0">
        <v>210</v>
      </c>
      <c r="AP11" t="s" s="0">
        <v>320</v>
      </c>
      <c r="AQ11" t="s" s="0">
        <v>103</v>
      </c>
      <c r="AR11" t="s" s="0">
        <v>104</v>
      </c>
      <c r="AS11" t="s" s="0">
        <v>105</v>
      </c>
      <c r="AT11" t="s" s="0">
        <v>81</v>
      </c>
      <c r="AU11" t="s" s="0">
        <v>387</v>
      </c>
      <c r="AV11" t="s" s="0">
        <v>81</v>
      </c>
      <c r="AW11" t="s" s="0">
        <v>388</v>
      </c>
      <c r="AX11" t="s" s="0">
        <v>389</v>
      </c>
      <c r="AY11" t="s" s="0">
        <v>110</v>
      </c>
      <c r="AZ11" t="s" s="0">
        <v>110</v>
      </c>
      <c r="BA11" t="s" s="0">
        <v>115</v>
      </c>
      <c r="BB11" t="s" s="0">
        <v>81</v>
      </c>
      <c r="BC11" t="s" s="0">
        <v>81</v>
      </c>
      <c r="BD11" t="s" s="0">
        <v>81</v>
      </c>
      <c r="BE11" t="s" s="0">
        <v>81</v>
      </c>
      <c r="BF11" t="s" s="0">
        <v>81</v>
      </c>
      <c r="BG11" t="s" s="0">
        <v>81</v>
      </c>
      <c r="BH11" t="s" s="0">
        <v>81</v>
      </c>
      <c r="BI11" t="s" s="0">
        <v>390</v>
      </c>
      <c r="BJ11" t="s" s="0">
        <v>391</v>
      </c>
      <c r="BK11" t="s" s="19">
        <f>HYPERLINK("http://dx.doi.org/10.2196/76326","http://dx.doi.org/10.2196/76326")</f>
        <v>392</v>
      </c>
      <c r="BL11" t="s" s="0">
        <v>81</v>
      </c>
      <c r="BM11" t="s" s="0">
        <v>81</v>
      </c>
      <c r="BN11" t="s" s="0">
        <v>393</v>
      </c>
      <c r="BO11" t="s" s="0">
        <v>244</v>
      </c>
      <c r="BP11" t="s" s="0">
        <v>244</v>
      </c>
      <c r="BQ11" t="s" s="0">
        <v>394</v>
      </c>
      <c r="BR11" t="s" s="0">
        <v>395</v>
      </c>
      <c r="BS11" t="s" s="0">
        <v>396</v>
      </c>
      <c r="BT11" t="s" s="20">
        <f>HYPERLINK("https://www.webofscience.com/wos/woscc/full-record/WOS:001634505900001","View Record in Web of Science")</f>
        <v>120</v>
      </c>
      <c r="BU11" t="s" s="0">
        <v>121</v>
      </c>
      <c r="BV11" t="s" s="0">
        <v>81</v>
      </c>
      <c r="BW11" t="s" s="0">
        <v>81</v>
      </c>
      <c r="BX11" t="s" s="0">
        <v>122</v>
      </c>
    </row>
    <row r="12">
      <c r="A12" t="s" s="0">
        <v>77</v>
      </c>
      <c r="B12" t="s" s="0">
        <v>77</v>
      </c>
      <c r="C12" t="s" s="0">
        <v>77</v>
      </c>
      <c r="D12" t="s" s="0">
        <v>77</v>
      </c>
      <c r="E12" t="s" s="0">
        <v>397</v>
      </c>
      <c r="F12" t="s" s="0">
        <v>398</v>
      </c>
      <c r="G12" t="s" s="0">
        <v>399</v>
      </c>
      <c r="H12" t="s" s="0">
        <v>81</v>
      </c>
      <c r="I12" t="s" s="0">
        <v>218</v>
      </c>
      <c r="J12" t="s" s="0">
        <v>400</v>
      </c>
      <c r="K12" t="s" s="0">
        <v>401</v>
      </c>
      <c r="L12" t="s" s="0">
        <v>402</v>
      </c>
      <c r="M12" t="s" s="0">
        <v>403</v>
      </c>
      <c r="N12" t="s" s="0">
        <v>404</v>
      </c>
      <c r="O12" t="s" s="0">
        <v>405</v>
      </c>
      <c r="P12" t="s" s="0">
        <v>406</v>
      </c>
      <c r="Q12" t="s" s="0">
        <v>90</v>
      </c>
      <c r="R12" t="s" s="0">
        <v>81</v>
      </c>
      <c r="S12" t="s" s="0">
        <v>81</v>
      </c>
      <c r="T12" t="s" s="0">
        <v>81</v>
      </c>
      <c r="U12" t="s" s="0">
        <v>81</v>
      </c>
      <c r="V12" t="s" s="0">
        <v>407</v>
      </c>
      <c r="W12" t="s" s="0">
        <v>408</v>
      </c>
      <c r="X12" t="s" s="0">
        <v>81</v>
      </c>
      <c r="Y12" t="s" s="0">
        <v>81</v>
      </c>
      <c r="Z12" t="s" s="0">
        <v>93</v>
      </c>
      <c r="AA12" t="s" s="0">
        <v>94</v>
      </c>
      <c r="AB12" t="s" s="0">
        <v>81</v>
      </c>
      <c r="AC12" t="s" s="0">
        <v>81</v>
      </c>
      <c r="AD12" t="s" s="0">
        <v>81</v>
      </c>
      <c r="AE12" t="s" s="0">
        <v>81</v>
      </c>
      <c r="AF12" t="s" s="0">
        <v>81</v>
      </c>
      <c r="AG12" t="s" s="0">
        <v>409</v>
      </c>
      <c r="AH12" t="s" s="0">
        <v>410</v>
      </c>
      <c r="AI12" t="s" s="0">
        <v>411</v>
      </c>
      <c r="AJ12" t="s" s="0">
        <v>81</v>
      </c>
      <c r="AK12" t="s" s="0">
        <v>81</v>
      </c>
      <c r="AL12" t="s" s="0">
        <v>412</v>
      </c>
      <c r="AM12" t="s" s="0">
        <v>169</v>
      </c>
      <c r="AN12" t="s" s="0">
        <v>169</v>
      </c>
      <c r="AO12" t="s" s="0">
        <v>169</v>
      </c>
      <c r="AP12" t="s" s="0">
        <v>320</v>
      </c>
      <c r="AQ12" t="s" s="0">
        <v>353</v>
      </c>
      <c r="AR12" t="s" s="0">
        <v>354</v>
      </c>
      <c r="AS12" t="s" s="0">
        <v>355</v>
      </c>
      <c r="AT12" t="s" s="0">
        <v>81</v>
      </c>
      <c r="AU12" t="s" s="0">
        <v>413</v>
      </c>
      <c r="AV12" t="s" s="0">
        <v>81</v>
      </c>
      <c r="AW12" t="s" s="0">
        <v>414</v>
      </c>
      <c r="AX12" t="s" s="0">
        <v>415</v>
      </c>
      <c r="AY12" t="s" s="0">
        <v>416</v>
      </c>
      <c r="AZ12" t="s" s="0">
        <v>110</v>
      </c>
      <c r="BA12" t="s" s="0">
        <v>210</v>
      </c>
      <c r="BB12" t="s" s="0">
        <v>81</v>
      </c>
      <c r="BC12" t="s" s="0">
        <v>81</v>
      </c>
      <c r="BD12" t="s" s="0">
        <v>81</v>
      </c>
      <c r="BE12" t="s" s="0">
        <v>81</v>
      </c>
      <c r="BF12" t="s" s="0">
        <v>81</v>
      </c>
      <c r="BG12" t="s" s="0">
        <v>81</v>
      </c>
      <c r="BH12" t="s" s="0">
        <v>81</v>
      </c>
      <c r="BI12" t="s" s="0">
        <v>417</v>
      </c>
      <c r="BJ12" t="s" s="0">
        <v>418</v>
      </c>
      <c r="BK12" t="s" s="21">
        <f>HYPERLINK("http://dx.doi.org/10.3389/frai.2025.1623339","http://dx.doi.org/10.3389/frai.2025.1623339")</f>
        <v>419</v>
      </c>
      <c r="BL12" t="s" s="0">
        <v>81</v>
      </c>
      <c r="BM12" t="s" s="0">
        <v>81</v>
      </c>
      <c r="BN12" t="s" s="0">
        <v>115</v>
      </c>
      <c r="BO12" t="s" s="0">
        <v>420</v>
      </c>
      <c r="BP12" t="s" s="0">
        <v>303</v>
      </c>
      <c r="BQ12" t="s" s="0">
        <v>421</v>
      </c>
      <c r="BR12" t="s" s="0">
        <v>422</v>
      </c>
      <c r="BS12" t="s" s="0">
        <v>423</v>
      </c>
      <c r="BT12" t="s" s="22">
        <f>HYPERLINK("https://www.webofscience.com/wos/woscc/full-record/WOS:001590402600001","View Record in Web of Science")</f>
        <v>120</v>
      </c>
      <c r="BU12" t="s" s="0">
        <v>121</v>
      </c>
      <c r="BV12" t="s" s="0">
        <v>81</v>
      </c>
      <c r="BW12" t="s" s="0">
        <v>81</v>
      </c>
      <c r="BX12" t="s" s="0">
        <v>122</v>
      </c>
    </row>
    <row r="13">
      <c r="A13" t="s" s="0">
        <v>77</v>
      </c>
      <c r="B13" t="s" s="0">
        <v>77</v>
      </c>
      <c r="C13" t="s" s="0">
        <v>77</v>
      </c>
      <c r="D13" t="s" s="0">
        <v>77</v>
      </c>
      <c r="E13" t="s" s="0">
        <v>424</v>
      </c>
      <c r="F13" t="s" s="0">
        <v>425</v>
      </c>
      <c r="G13" t="s" s="0">
        <v>426</v>
      </c>
      <c r="H13" t="s" s="0">
        <v>81</v>
      </c>
      <c r="I13" t="s" s="0">
        <v>82</v>
      </c>
      <c r="J13" t="s" s="0">
        <v>427</v>
      </c>
      <c r="K13" t="s" s="0">
        <v>428</v>
      </c>
      <c r="L13" t="s" s="0">
        <v>429</v>
      </c>
      <c r="M13" t="s" s="0">
        <v>430</v>
      </c>
      <c r="N13" t="s" s="0">
        <v>431</v>
      </c>
      <c r="O13" t="s" s="0">
        <v>432</v>
      </c>
      <c r="P13" t="s" s="0">
        <v>433</v>
      </c>
      <c r="Q13" t="s" s="0">
        <v>90</v>
      </c>
      <c r="R13" t="s" s="0">
        <v>81</v>
      </c>
      <c r="S13" t="s" s="0">
        <v>81</v>
      </c>
      <c r="T13" t="s" s="0">
        <v>81</v>
      </c>
      <c r="U13" t="s" s="0">
        <v>81</v>
      </c>
      <c r="V13" t="s" s="0">
        <v>434</v>
      </c>
      <c r="W13" t="s" s="0">
        <v>435</v>
      </c>
      <c r="X13" t="s" s="0">
        <v>81</v>
      </c>
      <c r="Y13" t="s" s="0">
        <v>81</v>
      </c>
      <c r="Z13" t="s" s="0">
        <v>93</v>
      </c>
      <c r="AA13" t="s" s="0">
        <v>94</v>
      </c>
      <c r="AB13" t="s" s="0">
        <v>81</v>
      </c>
      <c r="AC13" t="s" s="0">
        <v>81</v>
      </c>
      <c r="AD13" t="s" s="0">
        <v>81</v>
      </c>
      <c r="AE13" t="s" s="0">
        <v>81</v>
      </c>
      <c r="AF13" t="s" s="0">
        <v>81</v>
      </c>
      <c r="AG13" t="s" s="0">
        <v>436</v>
      </c>
      <c r="AH13" t="s" s="0">
        <v>81</v>
      </c>
      <c r="AI13" t="s" s="0">
        <v>437</v>
      </c>
      <c r="AJ13" t="s" s="0">
        <v>81</v>
      </c>
      <c r="AK13" t="s" s="0">
        <v>81</v>
      </c>
      <c r="AL13" t="s" s="0">
        <v>168</v>
      </c>
      <c r="AM13" t="s" s="0">
        <v>169</v>
      </c>
      <c r="AN13" t="s" s="0">
        <v>169</v>
      </c>
      <c r="AO13" t="s" s="0">
        <v>438</v>
      </c>
      <c r="AP13" t="s" s="0">
        <v>319</v>
      </c>
      <c r="AQ13" t="s" s="0">
        <v>439</v>
      </c>
      <c r="AR13" t="s" s="0">
        <v>201</v>
      </c>
      <c r="AS13" t="s" s="0">
        <v>440</v>
      </c>
      <c r="AT13" t="s" s="0">
        <v>441</v>
      </c>
      <c r="AU13" t="s" s="0">
        <v>81</v>
      </c>
      <c r="AV13" t="s" s="0">
        <v>81</v>
      </c>
      <c r="AW13" t="s" s="0">
        <v>442</v>
      </c>
      <c r="AX13" t="s" s="0">
        <v>443</v>
      </c>
      <c r="AY13" t="s" s="0">
        <v>444</v>
      </c>
      <c r="AZ13" t="s" s="0">
        <v>144</v>
      </c>
      <c r="BA13" t="s" s="0">
        <v>445</v>
      </c>
      <c r="BB13" t="s" s="0">
        <v>169</v>
      </c>
      <c r="BC13" t="s" s="0">
        <v>81</v>
      </c>
      <c r="BD13" t="s" s="0">
        <v>81</v>
      </c>
      <c r="BE13" t="s" s="0">
        <v>81</v>
      </c>
      <c r="BF13" t="s" s="0">
        <v>81</v>
      </c>
      <c r="BG13" t="s" s="0">
        <v>81</v>
      </c>
      <c r="BH13" t="s" s="0">
        <v>81</v>
      </c>
      <c r="BI13" t="s" s="0">
        <v>287</v>
      </c>
      <c r="BJ13" t="s" s="0">
        <v>446</v>
      </c>
      <c r="BK13" t="s" s="23">
        <f>HYPERLINK("http://dx.doi.org/10.1186/s13020-025-01295-8","http://dx.doi.org/10.1186/s13020-025-01295-8")</f>
        <v>447</v>
      </c>
      <c r="BL13" t="s" s="0">
        <v>81</v>
      </c>
      <c r="BM13" t="s" s="0">
        <v>81</v>
      </c>
      <c r="BN13" t="s" s="0">
        <v>115</v>
      </c>
      <c r="BO13" t="s" s="0">
        <v>448</v>
      </c>
      <c r="BP13" t="s" s="0">
        <v>448</v>
      </c>
      <c r="BQ13" t="s" s="0">
        <v>449</v>
      </c>
      <c r="BR13" t="s" s="0">
        <v>450</v>
      </c>
      <c r="BS13" t="s" s="0">
        <v>451</v>
      </c>
      <c r="BT13" t="s" s="24">
        <f>HYPERLINK("https://www.webofscience.com/wos/woscc/full-record/WOS:001667077000001","View Record in Web of Science")</f>
        <v>120</v>
      </c>
      <c r="BU13" t="s" s="0">
        <v>121</v>
      </c>
      <c r="BV13" t="s" s="0">
        <v>81</v>
      </c>
      <c r="BW13" t="s" s="0">
        <v>81</v>
      </c>
      <c r="BX13" t="s" s="0">
        <v>122</v>
      </c>
    </row>
    <row r="14">
      <c r="A14" t="s" s="0">
        <v>77</v>
      </c>
      <c r="B14" t="s" s="0">
        <v>77</v>
      </c>
      <c r="C14" t="s" s="0">
        <v>452</v>
      </c>
      <c r="D14" t="s" s="0">
        <v>77</v>
      </c>
      <c r="E14" t="s" s="0">
        <v>453</v>
      </c>
      <c r="F14" t="s" s="0">
        <v>454</v>
      </c>
      <c r="G14" t="s" s="0">
        <v>455</v>
      </c>
      <c r="H14" t="s" s="0">
        <v>81</v>
      </c>
      <c r="I14" t="s" s="0">
        <v>82</v>
      </c>
      <c r="J14" t="s" s="0">
        <v>456</v>
      </c>
      <c r="K14" t="s" s="0">
        <v>457</v>
      </c>
      <c r="L14" t="s" s="0">
        <v>458</v>
      </c>
      <c r="M14" t="s" s="0">
        <v>459</v>
      </c>
      <c r="N14" t="s" s="0">
        <v>460</v>
      </c>
      <c r="O14" t="s" s="0">
        <v>461</v>
      </c>
      <c r="P14" t="s" s="0">
        <v>462</v>
      </c>
      <c r="Q14" t="s" s="0">
        <v>90</v>
      </c>
      <c r="R14" t="s" s="0">
        <v>81</v>
      </c>
      <c r="S14" t="s" s="0">
        <v>81</v>
      </c>
      <c r="T14" t="s" s="0">
        <v>81</v>
      </c>
      <c r="U14" t="s" s="0">
        <v>81</v>
      </c>
      <c r="V14" t="s" s="0">
        <v>463</v>
      </c>
      <c r="W14" t="s" s="0">
        <v>464</v>
      </c>
      <c r="X14" t="s" s="0">
        <v>81</v>
      </c>
      <c r="Y14" t="s" s="0">
        <v>81</v>
      </c>
      <c r="Z14" t="s" s="0">
        <v>93</v>
      </c>
      <c r="AA14" t="s" s="0">
        <v>94</v>
      </c>
      <c r="AB14" t="s" s="0">
        <v>81</v>
      </c>
      <c r="AC14" t="s" s="0">
        <v>81</v>
      </c>
      <c r="AD14" t="s" s="0">
        <v>81</v>
      </c>
      <c r="AE14" t="s" s="0">
        <v>81</v>
      </c>
      <c r="AF14" t="s" s="0">
        <v>81</v>
      </c>
      <c r="AG14" t="s" s="0">
        <v>465</v>
      </c>
      <c r="AH14" t="s" s="0">
        <v>466</v>
      </c>
      <c r="AI14" t="s" s="0">
        <v>467</v>
      </c>
      <c r="AJ14" t="s" s="0">
        <v>468</v>
      </c>
      <c r="AK14" t="s" s="0">
        <v>81</v>
      </c>
      <c r="AL14" t="s" s="0">
        <v>469</v>
      </c>
      <c r="AM14" t="s" s="0">
        <v>438</v>
      </c>
      <c r="AN14" t="s" s="0">
        <v>301</v>
      </c>
      <c r="AO14" t="s" s="0">
        <v>360</v>
      </c>
      <c r="AP14" t="s" s="0">
        <v>168</v>
      </c>
      <c r="AQ14" t="s" s="0">
        <v>470</v>
      </c>
      <c r="AR14" t="s" s="0">
        <v>471</v>
      </c>
      <c r="AS14" t="s" s="0">
        <v>472</v>
      </c>
      <c r="AT14" t="s" s="0">
        <v>473</v>
      </c>
      <c r="AU14" t="s" s="0">
        <v>474</v>
      </c>
      <c r="AV14" t="s" s="0">
        <v>81</v>
      </c>
      <c r="AW14" t="s" s="0">
        <v>475</v>
      </c>
      <c r="AX14" t="s" s="0">
        <v>476</v>
      </c>
      <c r="AY14" t="s" s="0">
        <v>477</v>
      </c>
      <c r="AZ14" t="s" s="0">
        <v>110</v>
      </c>
      <c r="BA14" t="s" s="0">
        <v>478</v>
      </c>
      <c r="BB14" t="s" s="0">
        <v>386</v>
      </c>
      <c r="BC14" t="s" s="0">
        <v>81</v>
      </c>
      <c r="BD14" t="s" s="0">
        <v>81</v>
      </c>
      <c r="BE14" t="s" s="0">
        <v>81</v>
      </c>
      <c r="BF14" t="s" s="0">
        <v>81</v>
      </c>
      <c r="BG14" t="s" s="0">
        <v>81</v>
      </c>
      <c r="BH14" t="s" s="0">
        <v>81</v>
      </c>
      <c r="BI14" t="s" s="0">
        <v>479</v>
      </c>
      <c r="BJ14" t="s" s="0">
        <v>480</v>
      </c>
      <c r="BK14" t="s" s="25">
        <f>HYPERLINK("http://dx.doi.org/10.1088/1361-6560/adbff1","http://dx.doi.org/10.1088/1361-6560/adbff1")</f>
        <v>481</v>
      </c>
      <c r="BL14" t="s" s="0">
        <v>81</v>
      </c>
      <c r="BM14" t="s" s="0">
        <v>81</v>
      </c>
      <c r="BN14" t="s" s="0">
        <v>301</v>
      </c>
      <c r="BO14" t="s" s="0">
        <v>482</v>
      </c>
      <c r="BP14" t="s" s="0">
        <v>483</v>
      </c>
      <c r="BQ14" t="s" s="0">
        <v>484</v>
      </c>
      <c r="BR14" t="s" s="0">
        <v>485</v>
      </c>
      <c r="BS14" t="s" s="0">
        <v>486</v>
      </c>
      <c r="BT14" t="s" s="26">
        <f>HYPERLINK("https://www.webofscience.com/wos/woscc/full-record/WOS:001469440600001","View Record in Web of Science")</f>
        <v>120</v>
      </c>
      <c r="BU14" t="s" s="0">
        <v>81</v>
      </c>
      <c r="BV14" t="s" s="0">
        <v>81</v>
      </c>
      <c r="BW14" t="s" s="0">
        <v>81</v>
      </c>
      <c r="BX14" t="s" s="0">
        <v>122</v>
      </c>
    </row>
    <row r="15">
      <c r="A15" t="s" s="0">
        <v>77</v>
      </c>
      <c r="B15" t="s" s="0">
        <v>77</v>
      </c>
      <c r="C15" t="s" s="0">
        <v>77</v>
      </c>
      <c r="D15" t="s" s="0">
        <v>77</v>
      </c>
      <c r="E15" t="s" s="0">
        <v>487</v>
      </c>
      <c r="F15" t="s" s="0">
        <v>488</v>
      </c>
      <c r="G15" t="s" s="0">
        <v>489</v>
      </c>
      <c r="H15" t="s" s="0">
        <v>81</v>
      </c>
      <c r="I15" t="s" s="0">
        <v>82</v>
      </c>
      <c r="J15" t="s" s="0">
        <v>490</v>
      </c>
      <c r="K15" t="s" s="0">
        <v>491</v>
      </c>
      <c r="L15" t="s" s="0">
        <v>81</v>
      </c>
      <c r="M15" t="s" s="0">
        <v>81</v>
      </c>
      <c r="N15" t="s" s="0">
        <v>81</v>
      </c>
      <c r="O15" t="s" s="0">
        <v>492</v>
      </c>
      <c r="P15" t="s" s="0">
        <v>493</v>
      </c>
      <c r="Q15" t="s" s="0">
        <v>90</v>
      </c>
      <c r="R15" t="s" s="0">
        <v>81</v>
      </c>
      <c r="S15" t="s" s="0">
        <v>81</v>
      </c>
      <c r="T15" t="s" s="0">
        <v>81</v>
      </c>
      <c r="U15" t="s" s="0">
        <v>81</v>
      </c>
      <c r="V15" t="s" s="0">
        <v>494</v>
      </c>
      <c r="W15" t="s" s="0">
        <v>495</v>
      </c>
      <c r="X15" t="s" s="0">
        <v>81</v>
      </c>
      <c r="Y15" t="s" s="0">
        <v>81</v>
      </c>
      <c r="Z15" t="s" s="0">
        <v>93</v>
      </c>
      <c r="AA15" t="s" s="0">
        <v>196</v>
      </c>
      <c r="AB15" t="s" s="0">
        <v>81</v>
      </c>
      <c r="AC15" t="s" s="0">
        <v>81</v>
      </c>
      <c r="AD15" t="s" s="0">
        <v>81</v>
      </c>
      <c r="AE15" t="s" s="0">
        <v>81</v>
      </c>
      <c r="AF15" t="s" s="0">
        <v>81</v>
      </c>
      <c r="AG15" t="s" s="0">
        <v>496</v>
      </c>
      <c r="AH15" t="s" s="0">
        <v>81</v>
      </c>
      <c r="AI15" t="s" s="0">
        <v>497</v>
      </c>
      <c r="AJ15" t="s" s="0">
        <v>498</v>
      </c>
      <c r="AK15" t="s" s="0">
        <v>81</v>
      </c>
      <c r="AL15" t="s" s="0">
        <v>301</v>
      </c>
      <c r="AM15" t="s" s="0">
        <v>169</v>
      </c>
      <c r="AN15" t="s" s="0">
        <v>169</v>
      </c>
      <c r="AO15" t="s" s="0">
        <v>169</v>
      </c>
      <c r="AP15" t="s" s="0">
        <v>169</v>
      </c>
      <c r="AQ15" t="s" s="0">
        <v>499</v>
      </c>
      <c r="AR15" t="s" s="0">
        <v>500</v>
      </c>
      <c r="AS15" t="s" s="0">
        <v>501</v>
      </c>
      <c r="AT15" t="s" s="0">
        <v>502</v>
      </c>
      <c r="AU15" t="s" s="0">
        <v>503</v>
      </c>
      <c r="AV15" t="s" s="0">
        <v>81</v>
      </c>
      <c r="AW15" t="s" s="0">
        <v>504</v>
      </c>
      <c r="AX15" t="s" s="0">
        <v>505</v>
      </c>
      <c r="AY15" t="s" s="0">
        <v>81</v>
      </c>
      <c r="AZ15" t="s" s="0">
        <v>144</v>
      </c>
      <c r="BA15" t="s" s="0">
        <v>81</v>
      </c>
      <c r="BB15" t="s" s="0">
        <v>81</v>
      </c>
      <c r="BC15" t="s" s="0">
        <v>81</v>
      </c>
      <c r="BD15" t="s" s="0">
        <v>81</v>
      </c>
      <c r="BE15" t="s" s="0">
        <v>81</v>
      </c>
      <c r="BF15" t="s" s="0">
        <v>81</v>
      </c>
      <c r="BG15" t="s" s="0">
        <v>81</v>
      </c>
      <c r="BH15" t="s" s="0">
        <v>81</v>
      </c>
      <c r="BI15" t="s" s="0">
        <v>81</v>
      </c>
      <c r="BJ15" t="s" s="0">
        <v>506</v>
      </c>
      <c r="BK15" t="s" s="27">
        <f>HYPERLINK("http://dx.doi.org/10.1007/s10278-026-01880-9","http://dx.doi.org/10.1007/s10278-026-01880-9")</f>
        <v>507</v>
      </c>
      <c r="BL15" t="s" s="0">
        <v>81</v>
      </c>
      <c r="BM15" t="s" s="0">
        <v>508</v>
      </c>
      <c r="BN15" t="s" s="0">
        <v>509</v>
      </c>
      <c r="BO15" t="s" s="0">
        <v>182</v>
      </c>
      <c r="BP15" t="s" s="0">
        <v>182</v>
      </c>
      <c r="BQ15" t="s" s="0">
        <v>510</v>
      </c>
      <c r="BR15" t="s" s="0">
        <v>511</v>
      </c>
      <c r="BS15" t="s" s="0">
        <v>512</v>
      </c>
      <c r="BT15" t="s" s="28">
        <f>HYPERLINK("https://www.webofscience.com/wos/woscc/full-record/WOS:001699093000001","View Record in Web of Science")</f>
        <v>120</v>
      </c>
      <c r="BU15" t="s" s="0">
        <v>81</v>
      </c>
      <c r="BV15" t="s" s="0">
        <v>81</v>
      </c>
      <c r="BW15" t="s" s="0">
        <v>81</v>
      </c>
      <c r="BX15" t="s" s="0">
        <v>122</v>
      </c>
    </row>
    <row r="16">
      <c r="A16" t="s" s="0">
        <v>77</v>
      </c>
      <c r="B16" t="s" s="0">
        <v>77</v>
      </c>
      <c r="C16" t="s" s="0">
        <v>77</v>
      </c>
      <c r="D16" t="s" s="0">
        <v>77</v>
      </c>
      <c r="E16" t="s" s="0">
        <v>513</v>
      </c>
      <c r="F16" t="s" s="0">
        <v>514</v>
      </c>
      <c r="G16" t="s" s="0">
        <v>515</v>
      </c>
      <c r="H16" t="s" s="0">
        <v>81</v>
      </c>
      <c r="I16" t="s" s="0">
        <v>218</v>
      </c>
      <c r="J16" t="s" s="0">
        <v>516</v>
      </c>
      <c r="K16" t="s" s="0">
        <v>517</v>
      </c>
      <c r="L16" t="s" s="0">
        <v>518</v>
      </c>
      <c r="M16" t="s" s="0">
        <v>519</v>
      </c>
      <c r="N16" t="s" s="0">
        <v>520</v>
      </c>
      <c r="O16" t="s" s="0">
        <v>521</v>
      </c>
      <c r="P16" t="s" s="0">
        <v>522</v>
      </c>
      <c r="Q16" t="s" s="0">
        <v>90</v>
      </c>
      <c r="R16" t="s" s="0">
        <v>81</v>
      </c>
      <c r="S16" t="s" s="0">
        <v>81</v>
      </c>
      <c r="T16" t="s" s="0">
        <v>81</v>
      </c>
      <c r="U16" t="s" s="0">
        <v>81</v>
      </c>
      <c r="V16" t="s" s="0">
        <v>523</v>
      </c>
      <c r="W16" t="s" s="0">
        <v>524</v>
      </c>
      <c r="X16" t="s" s="0">
        <v>81</v>
      </c>
      <c r="Y16" t="s" s="0">
        <v>81</v>
      </c>
      <c r="Z16" t="s" s="0">
        <v>93</v>
      </c>
      <c r="AA16" t="s" s="0">
        <v>94</v>
      </c>
      <c r="AB16" t="s" s="0">
        <v>81</v>
      </c>
      <c r="AC16" t="s" s="0">
        <v>81</v>
      </c>
      <c r="AD16" t="s" s="0">
        <v>81</v>
      </c>
      <c r="AE16" t="s" s="0">
        <v>81</v>
      </c>
      <c r="AF16" t="s" s="0">
        <v>81</v>
      </c>
      <c r="AG16" t="s" s="0">
        <v>525</v>
      </c>
      <c r="AH16" t="s" s="0">
        <v>81</v>
      </c>
      <c r="AI16" t="s" s="0">
        <v>81</v>
      </c>
      <c r="AJ16" t="s" s="0">
        <v>81</v>
      </c>
      <c r="AK16" t="s" s="0">
        <v>81</v>
      </c>
      <c r="AL16" t="s" s="0">
        <v>526</v>
      </c>
      <c r="AM16" t="s" s="0">
        <v>77</v>
      </c>
      <c r="AN16" t="s" s="0">
        <v>77</v>
      </c>
      <c r="AO16" t="s" s="0">
        <v>101</v>
      </c>
      <c r="AP16" t="s" s="0">
        <v>101</v>
      </c>
      <c r="AQ16" t="s" s="0">
        <v>527</v>
      </c>
      <c r="AR16" t="s" s="0">
        <v>528</v>
      </c>
      <c r="AS16" t="s" s="0">
        <v>529</v>
      </c>
      <c r="AT16" t="s" s="0">
        <v>81</v>
      </c>
      <c r="AU16" t="s" s="0">
        <v>530</v>
      </c>
      <c r="AV16" t="s" s="0">
        <v>81</v>
      </c>
      <c r="AW16" t="s" s="0">
        <v>524</v>
      </c>
      <c r="AX16" t="s" s="0">
        <v>531</v>
      </c>
      <c r="AY16" t="s" s="0">
        <v>532</v>
      </c>
      <c r="AZ16" t="s" s="0">
        <v>144</v>
      </c>
      <c r="BA16" t="s" s="0">
        <v>328</v>
      </c>
      <c r="BB16" t="s" s="0">
        <v>101</v>
      </c>
      <c r="BC16" t="s" s="0">
        <v>81</v>
      </c>
      <c r="BD16" t="s" s="0">
        <v>81</v>
      </c>
      <c r="BE16" t="s" s="0">
        <v>81</v>
      </c>
      <c r="BF16" t="s" s="0">
        <v>81</v>
      </c>
      <c r="BG16" t="s" s="0">
        <v>81</v>
      </c>
      <c r="BH16" t="s" s="0">
        <v>81</v>
      </c>
      <c r="BI16" t="s" s="0">
        <v>533</v>
      </c>
      <c r="BJ16" t="s" s="0">
        <v>534</v>
      </c>
      <c r="BK16" t="s" s="29">
        <f>HYPERLINK("http://dx.doi.org/10.1093/jamiaopen/ooag119","http://dx.doi.org/10.1093/jamiaopen/ooag119")</f>
        <v>535</v>
      </c>
      <c r="BL16" t="s" s="0">
        <v>81</v>
      </c>
      <c r="BM16" t="s" s="0">
        <v>81</v>
      </c>
      <c r="BN16" t="s" s="0">
        <v>320</v>
      </c>
      <c r="BO16" t="s" s="0">
        <v>116</v>
      </c>
      <c r="BP16" t="s" s="0">
        <v>116</v>
      </c>
      <c r="BQ16" t="s" s="0">
        <v>536</v>
      </c>
      <c r="BR16" t="s" s="0">
        <v>537</v>
      </c>
      <c r="BS16" t="s" s="0">
        <v>538</v>
      </c>
      <c r="BT16" t="s" s="30">
        <f>HYPERLINK("https://www.webofscience.com/wos/woscc/full-record/WOS:001804794600001","View Record in Web of Science")</f>
        <v>120</v>
      </c>
      <c r="BU16" t="s" s="0">
        <v>121</v>
      </c>
      <c r="BV16" t="s" s="0">
        <v>81</v>
      </c>
      <c r="BW16" t="s" s="0">
        <v>81</v>
      </c>
      <c r="BX16" t="s" s="0">
        <v>122</v>
      </c>
    </row>
    <row r="17">
      <c r="A17" t="s" s="0">
        <v>77</v>
      </c>
      <c r="B17" t="s" s="0">
        <v>77</v>
      </c>
      <c r="C17" t="s" s="0">
        <v>77</v>
      </c>
      <c r="D17" t="s" s="0">
        <v>77</v>
      </c>
      <c r="E17" t="s" s="0">
        <v>539</v>
      </c>
      <c r="F17" t="s" s="0">
        <v>540</v>
      </c>
      <c r="G17" t="s" s="0">
        <v>541</v>
      </c>
      <c r="H17" t="s" s="0">
        <v>81</v>
      </c>
      <c r="I17" t="s" s="0">
        <v>82</v>
      </c>
      <c r="J17" t="s" s="0">
        <v>542</v>
      </c>
      <c r="K17" t="s" s="0">
        <v>543</v>
      </c>
      <c r="L17" t="s" s="0">
        <v>544</v>
      </c>
      <c r="M17" t="s" s="0">
        <v>545</v>
      </c>
      <c r="N17" t="s" s="0">
        <v>546</v>
      </c>
      <c r="O17" t="s" s="0">
        <v>547</v>
      </c>
      <c r="P17" t="s" s="0">
        <v>548</v>
      </c>
      <c r="Q17" t="s" s="0">
        <v>90</v>
      </c>
      <c r="R17" t="s" s="0">
        <v>81</v>
      </c>
      <c r="S17" t="s" s="0">
        <v>81</v>
      </c>
      <c r="T17" t="s" s="0">
        <v>81</v>
      </c>
      <c r="U17" t="s" s="0">
        <v>81</v>
      </c>
      <c r="V17" t="s" s="0">
        <v>549</v>
      </c>
      <c r="W17" t="s" s="0">
        <v>550</v>
      </c>
      <c r="X17" t="s" s="0">
        <v>81</v>
      </c>
      <c r="Y17" t="s" s="0">
        <v>81</v>
      </c>
      <c r="Z17" t="s" s="0">
        <v>93</v>
      </c>
      <c r="AA17" t="s" s="0">
        <v>94</v>
      </c>
      <c r="AB17" t="s" s="0">
        <v>81</v>
      </c>
      <c r="AC17" t="s" s="0">
        <v>81</v>
      </c>
      <c r="AD17" t="s" s="0">
        <v>81</v>
      </c>
      <c r="AE17" t="s" s="0">
        <v>81</v>
      </c>
      <c r="AF17" t="s" s="0">
        <v>81</v>
      </c>
      <c r="AG17" t="s" s="0">
        <v>551</v>
      </c>
      <c r="AH17" t="s" s="0">
        <v>81</v>
      </c>
      <c r="AI17" t="s" s="0">
        <v>81</v>
      </c>
      <c r="AJ17" t="s" s="0">
        <v>552</v>
      </c>
      <c r="AK17" t="s" s="0">
        <v>81</v>
      </c>
      <c r="AL17" t="s" s="0">
        <v>553</v>
      </c>
      <c r="AM17" t="s" s="0">
        <v>77</v>
      </c>
      <c r="AN17" t="s" s="0">
        <v>77</v>
      </c>
      <c r="AO17" t="s" s="0">
        <v>554</v>
      </c>
      <c r="AP17" t="s" s="0">
        <v>554</v>
      </c>
      <c r="AQ17" t="s" s="0">
        <v>439</v>
      </c>
      <c r="AR17" t="s" s="0">
        <v>201</v>
      </c>
      <c r="AS17" t="s" s="0">
        <v>440</v>
      </c>
      <c r="AT17" t="s" s="0">
        <v>81</v>
      </c>
      <c r="AU17" t="s" s="0">
        <v>555</v>
      </c>
      <c r="AV17" t="s" s="0">
        <v>81</v>
      </c>
      <c r="AW17" t="s" s="0">
        <v>556</v>
      </c>
      <c r="AX17" t="s" s="0">
        <v>557</v>
      </c>
      <c r="AY17" t="s" s="0">
        <v>558</v>
      </c>
      <c r="AZ17" t="s" s="0">
        <v>144</v>
      </c>
      <c r="BA17" t="s" s="0">
        <v>319</v>
      </c>
      <c r="BB17" t="s" s="0">
        <v>169</v>
      </c>
      <c r="BC17" t="s" s="0">
        <v>81</v>
      </c>
      <c r="BD17" t="s" s="0">
        <v>81</v>
      </c>
      <c r="BE17" t="s" s="0">
        <v>81</v>
      </c>
      <c r="BF17" t="s" s="0">
        <v>81</v>
      </c>
      <c r="BG17" t="s" s="0">
        <v>81</v>
      </c>
      <c r="BH17" t="s" s="0">
        <v>81</v>
      </c>
      <c r="BI17" t="s" s="0">
        <v>559</v>
      </c>
      <c r="BJ17" t="s" s="0">
        <v>560</v>
      </c>
      <c r="BK17" t="s" s="31">
        <f>HYPERLINK("http://dx.doi.org/10.1186/s12911-026-03586-y","http://dx.doi.org/10.1186/s12911-026-03586-y")</f>
        <v>561</v>
      </c>
      <c r="BL17" t="s" s="0">
        <v>81</v>
      </c>
      <c r="BM17" t="s" s="0">
        <v>295</v>
      </c>
      <c r="BN17" t="s" s="0">
        <v>360</v>
      </c>
      <c r="BO17" t="s" s="0">
        <v>244</v>
      </c>
      <c r="BP17" t="s" s="0">
        <v>244</v>
      </c>
      <c r="BQ17" t="s" s="0">
        <v>562</v>
      </c>
      <c r="BR17" t="s" s="0">
        <v>563</v>
      </c>
      <c r="BS17" t="s" s="0">
        <v>564</v>
      </c>
      <c r="BT17" t="s" s="32">
        <f>HYPERLINK("https://www.webofscience.com/wos/woscc/full-record/WOS:001807315200001","View Record in Web of Science")</f>
        <v>120</v>
      </c>
      <c r="BU17" t="s" s="0">
        <v>121</v>
      </c>
      <c r="BV17" t="s" s="0">
        <v>81</v>
      </c>
      <c r="BW17" t="s" s="0">
        <v>81</v>
      </c>
      <c r="BX17" t="s" s="0">
        <v>122</v>
      </c>
    </row>
    <row r="18">
      <c r="A18" t="s" s="0">
        <v>169</v>
      </c>
      <c r="B18" t="s" s="0">
        <v>77</v>
      </c>
      <c r="C18" t="s" s="0">
        <v>386</v>
      </c>
      <c r="D18" t="s" s="0">
        <v>77</v>
      </c>
      <c r="E18" t="s" s="0">
        <v>565</v>
      </c>
      <c r="F18" t="s" s="0">
        <v>566</v>
      </c>
      <c r="G18" t="s" s="0">
        <v>567</v>
      </c>
      <c r="H18" t="s" s="0">
        <v>81</v>
      </c>
      <c r="I18" t="s" s="0">
        <v>568</v>
      </c>
      <c r="J18" t="s" s="0">
        <v>569</v>
      </c>
      <c r="K18" t="s" s="0">
        <v>570</v>
      </c>
      <c r="L18" t="s" s="0">
        <v>571</v>
      </c>
      <c r="M18" t="s" s="0">
        <v>572</v>
      </c>
      <c r="N18" t="s" s="0">
        <v>573</v>
      </c>
      <c r="O18" t="s" s="0">
        <v>574</v>
      </c>
      <c r="P18" t="s" s="0">
        <v>575</v>
      </c>
      <c r="Q18" t="s" s="0">
        <v>90</v>
      </c>
      <c r="R18" t="s" s="0">
        <v>81</v>
      </c>
      <c r="S18" t="s" s="0">
        <v>81</v>
      </c>
      <c r="T18" t="s" s="0">
        <v>81</v>
      </c>
      <c r="U18" t="s" s="0">
        <v>81</v>
      </c>
      <c r="V18" t="s" s="0">
        <v>576</v>
      </c>
      <c r="W18" t="s" s="0">
        <v>577</v>
      </c>
      <c r="X18" t="s" s="0">
        <v>81</v>
      </c>
      <c r="Y18" t="s" s="0">
        <v>81</v>
      </c>
      <c r="Z18" t="s" s="0">
        <v>93</v>
      </c>
      <c r="AA18" t="s" s="0">
        <v>94</v>
      </c>
      <c r="AB18" t="s" s="0">
        <v>81</v>
      </c>
      <c r="AC18" t="s" s="0">
        <v>81</v>
      </c>
      <c r="AD18" t="s" s="0">
        <v>81</v>
      </c>
      <c r="AE18" t="s" s="0">
        <v>81</v>
      </c>
      <c r="AF18" t="s" s="0">
        <v>81</v>
      </c>
      <c r="AG18" t="s" s="0">
        <v>578</v>
      </c>
      <c r="AH18" t="s" s="0">
        <v>81</v>
      </c>
      <c r="AI18" t="s" s="0">
        <v>579</v>
      </c>
      <c r="AJ18" t="s" s="0">
        <v>81</v>
      </c>
      <c r="AK18" t="s" s="0">
        <v>81</v>
      </c>
      <c r="AL18" t="s" s="0">
        <v>580</v>
      </c>
      <c r="AM18" t="s" s="0">
        <v>581</v>
      </c>
      <c r="AN18" t="s" s="0">
        <v>582</v>
      </c>
      <c r="AO18" t="s" s="0">
        <v>99</v>
      </c>
      <c r="AP18" t="s" s="0">
        <v>583</v>
      </c>
      <c r="AQ18" t="s" s="0">
        <v>584</v>
      </c>
      <c r="AR18" t="s" s="0">
        <v>585</v>
      </c>
      <c r="AS18" t="s" s="0">
        <v>586</v>
      </c>
      <c r="AT18" t="s" s="0">
        <v>587</v>
      </c>
      <c r="AU18" t="s" s="0">
        <v>588</v>
      </c>
      <c r="AV18" t="s" s="0">
        <v>81</v>
      </c>
      <c r="AW18" t="s" s="0">
        <v>589</v>
      </c>
      <c r="AX18" t="s" s="0">
        <v>590</v>
      </c>
      <c r="AY18" t="s" s="0">
        <v>591</v>
      </c>
      <c r="AZ18" t="s" s="0">
        <v>592</v>
      </c>
      <c r="BA18" t="s" s="0">
        <v>593</v>
      </c>
      <c r="BB18" t="s" s="0">
        <v>81</v>
      </c>
      <c r="BC18" t="s" s="0">
        <v>81</v>
      </c>
      <c r="BD18" t="s" s="0">
        <v>81</v>
      </c>
      <c r="BE18" t="s" s="0">
        <v>81</v>
      </c>
      <c r="BF18" t="s" s="0">
        <v>81</v>
      </c>
      <c r="BG18" t="s" s="0">
        <v>81</v>
      </c>
      <c r="BH18" t="s" s="0">
        <v>81</v>
      </c>
      <c r="BI18" t="s" s="0">
        <v>594</v>
      </c>
      <c r="BJ18" t="s" s="0">
        <v>595</v>
      </c>
      <c r="BK18" t="s" s="33">
        <f>HYPERLINK("http://dx.doi.org/10.1016/j.psychres.2024.116026","http://dx.doi.org/10.1016/j.psychres.2024.116026")</f>
        <v>596</v>
      </c>
      <c r="BL18" t="s" s="0">
        <v>81</v>
      </c>
      <c r="BM18" t="s" s="0">
        <v>597</v>
      </c>
      <c r="BN18" t="s" s="0">
        <v>210</v>
      </c>
      <c r="BO18" t="s" s="0">
        <v>598</v>
      </c>
      <c r="BP18" t="s" s="0">
        <v>598</v>
      </c>
      <c r="BQ18" t="s" s="0">
        <v>599</v>
      </c>
      <c r="BR18" t="s" s="0">
        <v>600</v>
      </c>
      <c r="BS18" t="s" s="0">
        <v>601</v>
      </c>
      <c r="BT18" t="s" s="34">
        <f>HYPERLINK("https://www.webofscience.com/wos/woscc/full-record/WOS:001259580300001","View Record in Web of Science")</f>
        <v>120</v>
      </c>
      <c r="BU18" t="s" s="0">
        <v>81</v>
      </c>
      <c r="BV18" t="s" s="0">
        <v>602</v>
      </c>
      <c r="BW18" t="s" s="0">
        <v>603</v>
      </c>
      <c r="BX18" t="s" s="0">
        <v>122</v>
      </c>
    </row>
    <row r="19">
      <c r="A19" t="s" s="0">
        <v>604</v>
      </c>
      <c r="B19" t="s" s="0">
        <v>77</v>
      </c>
      <c r="C19" t="s" s="0">
        <v>605</v>
      </c>
      <c r="D19" t="s" s="0">
        <v>100</v>
      </c>
      <c r="E19" t="s" s="0">
        <v>606</v>
      </c>
      <c r="F19" t="s" s="0">
        <v>607</v>
      </c>
      <c r="G19" t="s" s="0">
        <v>608</v>
      </c>
      <c r="H19" t="s" s="0">
        <v>81</v>
      </c>
      <c r="I19" t="s" s="0">
        <v>82</v>
      </c>
      <c r="J19" t="s" s="0">
        <v>609</v>
      </c>
      <c r="K19" t="s" s="0">
        <v>610</v>
      </c>
      <c r="L19" t="s" s="0">
        <v>611</v>
      </c>
      <c r="M19" t="s" s="0">
        <v>611</v>
      </c>
      <c r="N19" t="s" s="0">
        <v>612</v>
      </c>
      <c r="O19" t="s" s="0">
        <v>613</v>
      </c>
      <c r="P19" t="s" s="0">
        <v>614</v>
      </c>
      <c r="Q19" t="s" s="0">
        <v>90</v>
      </c>
      <c r="R19" t="s" s="0">
        <v>81</v>
      </c>
      <c r="S19" t="s" s="0">
        <v>81</v>
      </c>
      <c r="T19" t="s" s="0">
        <v>81</v>
      </c>
      <c r="U19" t="s" s="0">
        <v>81</v>
      </c>
      <c r="V19" t="s" s="0">
        <v>615</v>
      </c>
      <c r="W19" t="s" s="0">
        <v>616</v>
      </c>
      <c r="X19" t="s" s="0">
        <v>81</v>
      </c>
      <c r="Y19" t="s" s="0">
        <v>81</v>
      </c>
      <c r="Z19" t="s" s="0">
        <v>93</v>
      </c>
      <c r="AA19" t="s" s="0">
        <v>94</v>
      </c>
      <c r="AB19" t="s" s="0">
        <v>81</v>
      </c>
      <c r="AC19" t="s" s="0">
        <v>81</v>
      </c>
      <c r="AD19" t="s" s="0">
        <v>81</v>
      </c>
      <c r="AE19" t="s" s="0">
        <v>81</v>
      </c>
      <c r="AF19" t="s" s="0">
        <v>81</v>
      </c>
      <c r="AG19" t="s" s="0">
        <v>81</v>
      </c>
      <c r="AH19" t="s" s="0">
        <v>617</v>
      </c>
      <c r="AI19" t="s" s="0">
        <v>618</v>
      </c>
      <c r="AJ19" t="s" s="0">
        <v>619</v>
      </c>
      <c r="AK19" t="s" s="0">
        <v>81</v>
      </c>
      <c r="AL19" t="s" s="0">
        <v>620</v>
      </c>
      <c r="AM19" t="s" s="0">
        <v>621</v>
      </c>
      <c r="AN19" t="s" s="0">
        <v>622</v>
      </c>
      <c r="AO19" t="s" s="0">
        <v>623</v>
      </c>
      <c r="AP19" t="s" s="0">
        <v>624</v>
      </c>
      <c r="AQ19" t="s" s="0">
        <v>321</v>
      </c>
      <c r="AR19" t="s" s="0">
        <v>322</v>
      </c>
      <c r="AS19" t="s" s="0">
        <v>323</v>
      </c>
      <c r="AT19" t="s" s="0">
        <v>625</v>
      </c>
      <c r="AU19" t="s" s="0">
        <v>626</v>
      </c>
      <c r="AV19" t="s" s="0">
        <v>81</v>
      </c>
      <c r="AW19" t="s" s="0">
        <v>616</v>
      </c>
      <c r="AX19" t="s" s="0">
        <v>627</v>
      </c>
      <c r="AY19" t="s" s="0">
        <v>628</v>
      </c>
      <c r="AZ19" t="s" s="0">
        <v>629</v>
      </c>
      <c r="BA19" t="s" s="0">
        <v>630</v>
      </c>
      <c r="BB19" t="s" s="0">
        <v>631</v>
      </c>
      <c r="BC19" t="s" s="0">
        <v>81</v>
      </c>
      <c r="BD19" t="s" s="0">
        <v>81</v>
      </c>
      <c r="BE19" t="s" s="0">
        <v>81</v>
      </c>
      <c r="BF19" t="s" s="0">
        <v>81</v>
      </c>
      <c r="BG19" t="s" s="0">
        <v>632</v>
      </c>
      <c r="BH19" t="s" s="0">
        <v>633</v>
      </c>
      <c r="BI19" t="s" s="0">
        <v>81</v>
      </c>
      <c r="BJ19" t="s" s="0">
        <v>634</v>
      </c>
      <c r="BK19" t="s" s="35">
        <f>HYPERLINK("http://dx.doi.org/10.1038/s41586-023-06291-2","http://dx.doi.org/10.1038/s41586-023-06291-2")</f>
        <v>635</v>
      </c>
      <c r="BL19" t="s" s="0">
        <v>81</v>
      </c>
      <c r="BM19" t="s" s="0">
        <v>636</v>
      </c>
      <c r="BN19" t="s" s="0">
        <v>637</v>
      </c>
      <c r="BO19" t="s" s="0">
        <v>638</v>
      </c>
      <c r="BP19" t="s" s="0">
        <v>639</v>
      </c>
      <c r="BQ19" t="s" s="0">
        <v>640</v>
      </c>
      <c r="BR19" t="s" s="0">
        <v>641</v>
      </c>
      <c r="BS19" t="s" s="0">
        <v>642</v>
      </c>
      <c r="BT19" t="s" s="36">
        <f>HYPERLINK("https://www.webofscience.com/wos/woscc/full-record/WOS:001028865500001","View Record in Web of Science")</f>
        <v>120</v>
      </c>
      <c r="BU19" t="s" s="0">
        <v>186</v>
      </c>
      <c r="BV19" t="s" s="0">
        <v>602</v>
      </c>
      <c r="BW19" t="s" s="0">
        <v>603</v>
      </c>
      <c r="BX19" t="s" s="0">
        <v>122</v>
      </c>
    </row>
    <row r="20">
      <c r="A20" t="s" s="0">
        <v>77</v>
      </c>
      <c r="B20" t="s" s="0">
        <v>77</v>
      </c>
      <c r="C20" t="s" s="0">
        <v>169</v>
      </c>
      <c r="D20" t="s" s="0">
        <v>77</v>
      </c>
      <c r="E20" t="s" s="0">
        <v>643</v>
      </c>
      <c r="F20" t="s" s="0">
        <v>644</v>
      </c>
      <c r="G20" t="s" s="0">
        <v>645</v>
      </c>
      <c r="H20" t="s" s="0">
        <v>81</v>
      </c>
      <c r="I20" t="s" s="0">
        <v>82</v>
      </c>
      <c r="J20" t="s" s="0">
        <v>646</v>
      </c>
      <c r="K20" t="s" s="0">
        <v>647</v>
      </c>
      <c r="L20" t="s" s="0">
        <v>648</v>
      </c>
      <c r="M20" t="s" s="0">
        <v>649</v>
      </c>
      <c r="N20" t="s" s="0">
        <v>650</v>
      </c>
      <c r="O20" t="s" s="0">
        <v>651</v>
      </c>
      <c r="P20" t="s" s="0">
        <v>652</v>
      </c>
      <c r="Q20" t="s" s="0">
        <v>90</v>
      </c>
      <c r="R20" t="s" s="0">
        <v>81</v>
      </c>
      <c r="S20" t="s" s="0">
        <v>81</v>
      </c>
      <c r="T20" t="s" s="0">
        <v>81</v>
      </c>
      <c r="U20" t="s" s="0">
        <v>81</v>
      </c>
      <c r="V20" t="s" s="0">
        <v>653</v>
      </c>
      <c r="W20" t="s" s="0">
        <v>654</v>
      </c>
      <c r="X20" t="s" s="0">
        <v>81</v>
      </c>
      <c r="Y20" t="s" s="0">
        <v>81</v>
      </c>
      <c r="Z20" t="s" s="0">
        <v>93</v>
      </c>
      <c r="AA20" t="s" s="0">
        <v>94</v>
      </c>
      <c r="AB20" t="s" s="0">
        <v>81</v>
      </c>
      <c r="AC20" t="s" s="0">
        <v>81</v>
      </c>
      <c r="AD20" t="s" s="0">
        <v>81</v>
      </c>
      <c r="AE20" t="s" s="0">
        <v>81</v>
      </c>
      <c r="AF20" t="s" s="0">
        <v>81</v>
      </c>
      <c r="AG20" t="s" s="0">
        <v>655</v>
      </c>
      <c r="AH20" t="s" s="0">
        <v>81</v>
      </c>
      <c r="AI20" t="s" s="0">
        <v>656</v>
      </c>
      <c r="AJ20" t="s" s="0">
        <v>657</v>
      </c>
      <c r="AK20" t="s" s="0">
        <v>81</v>
      </c>
      <c r="AL20" t="s" s="0">
        <v>658</v>
      </c>
      <c r="AM20" t="s" s="0">
        <v>452</v>
      </c>
      <c r="AN20" t="s" s="0">
        <v>452</v>
      </c>
      <c r="AO20" t="s" s="0">
        <v>554</v>
      </c>
      <c r="AP20" t="s" s="0">
        <v>328</v>
      </c>
      <c r="AQ20" t="s" s="0">
        <v>659</v>
      </c>
      <c r="AR20" t="s" s="0">
        <v>660</v>
      </c>
      <c r="AS20" t="s" s="0">
        <v>661</v>
      </c>
      <c r="AT20" t="s" s="0">
        <v>662</v>
      </c>
      <c r="AU20" t="s" s="0">
        <v>663</v>
      </c>
      <c r="AV20" t="s" s="0">
        <v>81</v>
      </c>
      <c r="AW20" t="s" s="0">
        <v>664</v>
      </c>
      <c r="AX20" t="s" s="0">
        <v>665</v>
      </c>
      <c r="AY20" t="s" s="0">
        <v>666</v>
      </c>
      <c r="AZ20" t="s" s="0">
        <v>110</v>
      </c>
      <c r="BA20" t="s" s="0">
        <v>667</v>
      </c>
      <c r="BB20" t="s" s="0">
        <v>81</v>
      </c>
      <c r="BC20" t="s" s="0">
        <v>81</v>
      </c>
      <c r="BD20" t="s" s="0">
        <v>81</v>
      </c>
      <c r="BE20" t="s" s="0">
        <v>81</v>
      </c>
      <c r="BF20" t="s" s="0">
        <v>81</v>
      </c>
      <c r="BG20" t="s" s="0">
        <v>81</v>
      </c>
      <c r="BH20" t="s" s="0">
        <v>81</v>
      </c>
      <c r="BI20" t="s" s="0">
        <v>668</v>
      </c>
      <c r="BJ20" t="s" s="0">
        <v>669</v>
      </c>
      <c r="BK20" t="s" s="37">
        <f>HYPERLINK("http://dx.doi.org/10.1016/j.jbi.2025.104898","http://dx.doi.org/10.1016/j.jbi.2025.104898")</f>
        <v>670</v>
      </c>
      <c r="BL20" t="s" s="0">
        <v>81</v>
      </c>
      <c r="BM20" t="s" s="0">
        <v>666</v>
      </c>
      <c r="BN20" t="s" s="0">
        <v>671</v>
      </c>
      <c r="BO20" t="s" s="0">
        <v>672</v>
      </c>
      <c r="BP20" t="s" s="0">
        <v>673</v>
      </c>
      <c r="BQ20" t="s" s="0">
        <v>674</v>
      </c>
      <c r="BR20" t="s" s="0">
        <v>675</v>
      </c>
      <c r="BS20" t="s" s="0">
        <v>676</v>
      </c>
      <c r="BT20" t="s" s="38">
        <f>HYPERLINK("https://www.webofscience.com/wos/woscc/full-record/WOS:001561264800001","View Record in Web of Science")</f>
        <v>120</v>
      </c>
      <c r="BU20" t="s" s="0">
        <v>306</v>
      </c>
      <c r="BV20" t="s" s="0">
        <v>81</v>
      </c>
      <c r="BW20" t="s" s="0">
        <v>81</v>
      </c>
      <c r="BX20" t="s" s="0">
        <v>122</v>
      </c>
    </row>
    <row r="21">
      <c r="A21" t="s" s="0">
        <v>77</v>
      </c>
      <c r="B21" t="s" s="0">
        <v>77</v>
      </c>
      <c r="C21" t="s" s="0">
        <v>386</v>
      </c>
      <c r="D21" t="s" s="0">
        <v>77</v>
      </c>
      <c r="E21" t="s" s="0">
        <v>677</v>
      </c>
      <c r="F21" t="s" s="0">
        <v>678</v>
      </c>
      <c r="G21" t="s" s="0">
        <v>679</v>
      </c>
      <c r="H21" t="s" s="0">
        <v>81</v>
      </c>
      <c r="I21" t="s" s="0">
        <v>82</v>
      </c>
      <c r="J21" t="s" s="0">
        <v>680</v>
      </c>
      <c r="K21" t="s" s="0">
        <v>681</v>
      </c>
      <c r="L21" t="s" s="0">
        <v>682</v>
      </c>
      <c r="M21" t="s" s="0">
        <v>683</v>
      </c>
      <c r="N21" t="s" s="0">
        <v>684</v>
      </c>
      <c r="O21" t="s" s="0">
        <v>685</v>
      </c>
      <c r="P21" t="s" s="0">
        <v>686</v>
      </c>
      <c r="Q21" t="s" s="0">
        <v>90</v>
      </c>
      <c r="R21" t="s" s="0">
        <v>81</v>
      </c>
      <c r="S21" t="s" s="0">
        <v>81</v>
      </c>
      <c r="T21" t="s" s="0">
        <v>81</v>
      </c>
      <c r="U21" t="s" s="0">
        <v>81</v>
      </c>
      <c r="V21" t="s" s="0">
        <v>687</v>
      </c>
      <c r="W21" t="s" s="0">
        <v>317</v>
      </c>
      <c r="X21" t="s" s="0">
        <v>81</v>
      </c>
      <c r="Y21" t="s" s="0">
        <v>81</v>
      </c>
      <c r="Z21" t="s" s="0">
        <v>93</v>
      </c>
      <c r="AA21" t="s" s="0">
        <v>94</v>
      </c>
      <c r="AB21" t="s" s="0">
        <v>81</v>
      </c>
      <c r="AC21" t="s" s="0">
        <v>81</v>
      </c>
      <c r="AD21" t="s" s="0">
        <v>81</v>
      </c>
      <c r="AE21" t="s" s="0">
        <v>81</v>
      </c>
      <c r="AF21" t="s" s="0">
        <v>81</v>
      </c>
      <c r="AG21" t="s" s="0">
        <v>81</v>
      </c>
      <c r="AH21" t="s" s="0">
        <v>81</v>
      </c>
      <c r="AI21" t="s" s="0">
        <v>688</v>
      </c>
      <c r="AJ21" t="s" s="0">
        <v>689</v>
      </c>
      <c r="AK21" t="s" s="0">
        <v>81</v>
      </c>
      <c r="AL21" t="s" s="0">
        <v>690</v>
      </c>
      <c r="AM21" t="s" s="0">
        <v>199</v>
      </c>
      <c r="AN21" t="s" s="0">
        <v>583</v>
      </c>
      <c r="AO21" t="s" s="0">
        <v>101</v>
      </c>
      <c r="AP21" t="s" s="0">
        <v>145</v>
      </c>
      <c r="AQ21" t="s" s="0">
        <v>321</v>
      </c>
      <c r="AR21" t="s" s="0">
        <v>322</v>
      </c>
      <c r="AS21" t="s" s="0">
        <v>323</v>
      </c>
      <c r="AT21" t="s" s="0">
        <v>324</v>
      </c>
      <c r="AU21" t="s" s="0">
        <v>81</v>
      </c>
      <c r="AV21" t="s" s="0">
        <v>81</v>
      </c>
      <c r="AW21" t="s" s="0">
        <v>325</v>
      </c>
      <c r="AX21" t="s" s="0">
        <v>326</v>
      </c>
      <c r="AY21" t="s" s="0">
        <v>691</v>
      </c>
      <c r="AZ21" t="s" s="0">
        <v>110</v>
      </c>
      <c r="BA21" t="s" s="0">
        <v>210</v>
      </c>
      <c r="BB21" t="s" s="0">
        <v>169</v>
      </c>
      <c r="BC21" t="s" s="0">
        <v>81</v>
      </c>
      <c r="BD21" t="s" s="0">
        <v>81</v>
      </c>
      <c r="BE21" t="s" s="0">
        <v>81</v>
      </c>
      <c r="BF21" t="s" s="0">
        <v>81</v>
      </c>
      <c r="BG21" t="s" s="0">
        <v>81</v>
      </c>
      <c r="BH21" t="s" s="0">
        <v>81</v>
      </c>
      <c r="BI21" t="s" s="0">
        <v>692</v>
      </c>
      <c r="BJ21" t="s" s="0">
        <v>693</v>
      </c>
      <c r="BK21" t="s" s="39">
        <f>HYPERLINK("http://dx.doi.org/10.1038/s41746-025-01475-8","http://dx.doi.org/10.1038/s41746-025-01475-8")</f>
        <v>694</v>
      </c>
      <c r="BL21" t="s" s="0">
        <v>81</v>
      </c>
      <c r="BM21" t="s" s="0">
        <v>81</v>
      </c>
      <c r="BN21" t="s" s="0">
        <v>115</v>
      </c>
      <c r="BO21" t="s" s="0">
        <v>116</v>
      </c>
      <c r="BP21" t="s" s="0">
        <v>116</v>
      </c>
      <c r="BQ21" t="s" s="0">
        <v>695</v>
      </c>
      <c r="BR21" t="s" s="0">
        <v>696</v>
      </c>
      <c r="BS21" t="s" s="0">
        <v>697</v>
      </c>
      <c r="BT21" t="s" s="40">
        <f>HYPERLINK("https://www.webofscience.com/wos/woscc/full-record/WOS:001446915600001","View Record in Web of Science")</f>
        <v>120</v>
      </c>
      <c r="BU21" t="s" s="0">
        <v>121</v>
      </c>
      <c r="BV21" t="s" s="0">
        <v>81</v>
      </c>
      <c r="BW21" t="s" s="0">
        <v>81</v>
      </c>
      <c r="BX21" t="s" s="0">
        <v>122</v>
      </c>
    </row>
    <row r="22">
      <c r="A22" t="s" s="0">
        <v>169</v>
      </c>
      <c r="B22" t="s" s="0">
        <v>77</v>
      </c>
      <c r="C22" t="s" s="0">
        <v>583</v>
      </c>
      <c r="D22" t="s" s="0">
        <v>169</v>
      </c>
      <c r="E22" t="s" s="0">
        <v>698</v>
      </c>
      <c r="F22" t="s" s="0">
        <v>699</v>
      </c>
      <c r="G22" t="s" s="0">
        <v>700</v>
      </c>
      <c r="H22" t="s" s="0">
        <v>81</v>
      </c>
      <c r="I22" t="s" s="0">
        <v>82</v>
      </c>
      <c r="J22" t="s" s="0">
        <v>701</v>
      </c>
      <c r="K22" t="s" s="0">
        <v>702</v>
      </c>
      <c r="L22" t="s" s="0">
        <v>81</v>
      </c>
      <c r="M22" t="s" s="0">
        <v>81</v>
      </c>
      <c r="N22" t="s" s="0">
        <v>81</v>
      </c>
      <c r="O22" t="s" s="0">
        <v>703</v>
      </c>
      <c r="P22" t="s" s="0">
        <v>704</v>
      </c>
      <c r="Q22" t="s" s="0">
        <v>90</v>
      </c>
      <c r="R22" t="s" s="0">
        <v>81</v>
      </c>
      <c r="S22" t="s" s="0">
        <v>81</v>
      </c>
      <c r="T22" t="s" s="0">
        <v>81</v>
      </c>
      <c r="U22" t="s" s="0">
        <v>81</v>
      </c>
      <c r="V22" t="s" s="0">
        <v>705</v>
      </c>
      <c r="W22" t="s" s="0">
        <v>706</v>
      </c>
      <c r="X22" t="s" s="0">
        <v>81</v>
      </c>
      <c r="Y22" t="s" s="0">
        <v>81</v>
      </c>
      <c r="Z22" t="s" s="0">
        <v>93</v>
      </c>
      <c r="AA22" t="s" s="0">
        <v>94</v>
      </c>
      <c r="AB22" t="s" s="0">
        <v>81</v>
      </c>
      <c r="AC22" t="s" s="0">
        <v>81</v>
      </c>
      <c r="AD22" t="s" s="0">
        <v>81</v>
      </c>
      <c r="AE22" t="s" s="0">
        <v>81</v>
      </c>
      <c r="AF22" t="s" s="0">
        <v>81</v>
      </c>
      <c r="AG22" t="s" s="0">
        <v>81</v>
      </c>
      <c r="AH22" t="s" s="0">
        <v>81</v>
      </c>
      <c r="AI22" t="s" s="0">
        <v>707</v>
      </c>
      <c r="AJ22" t="s" s="0">
        <v>708</v>
      </c>
      <c r="AK22" t="s" s="0">
        <v>81</v>
      </c>
      <c r="AL22" t="s" s="0">
        <v>352</v>
      </c>
      <c r="AM22" t="s" s="0">
        <v>709</v>
      </c>
      <c r="AN22" t="s" s="0">
        <v>710</v>
      </c>
      <c r="AO22" t="s" s="0">
        <v>77</v>
      </c>
      <c r="AP22" t="s" s="0">
        <v>711</v>
      </c>
      <c r="AQ22" t="s" s="0">
        <v>712</v>
      </c>
      <c r="AR22" t="s" s="0">
        <v>500</v>
      </c>
      <c r="AS22" t="s" s="0">
        <v>713</v>
      </c>
      <c r="AT22" t="s" s="0">
        <v>714</v>
      </c>
      <c r="AU22" t="s" s="0">
        <v>715</v>
      </c>
      <c r="AV22" t="s" s="0">
        <v>81</v>
      </c>
      <c r="AW22" t="s" s="0">
        <v>716</v>
      </c>
      <c r="AX22" t="s" s="0">
        <v>717</v>
      </c>
      <c r="AY22" t="s" s="0">
        <v>718</v>
      </c>
      <c r="AZ22" t="s" s="0">
        <v>629</v>
      </c>
      <c r="BA22" t="s" s="0">
        <v>719</v>
      </c>
      <c r="BB22" t="s" s="0">
        <v>81</v>
      </c>
      <c r="BC22" t="s" s="0">
        <v>81</v>
      </c>
      <c r="BD22" t="s" s="0">
        <v>81</v>
      </c>
      <c r="BE22" t="s" s="0">
        <v>81</v>
      </c>
      <c r="BF22" t="s" s="0">
        <v>81</v>
      </c>
      <c r="BG22" t="s" s="0">
        <v>720</v>
      </c>
      <c r="BH22" t="s" s="0">
        <v>721</v>
      </c>
      <c r="BI22" t="s" s="0">
        <v>81</v>
      </c>
      <c r="BJ22" t="s" s="0">
        <v>722</v>
      </c>
      <c r="BK22" t="s" s="41">
        <f>HYPERLINK("http://dx.doi.org/10.1016/j.ajo.2023.05.024","http://dx.doi.org/10.1016/j.ajo.2023.05.024")</f>
        <v>723</v>
      </c>
      <c r="BL22" t="s" s="0">
        <v>81</v>
      </c>
      <c r="BM22" t="s" s="0">
        <v>636</v>
      </c>
      <c r="BN22" t="s" s="0">
        <v>328</v>
      </c>
      <c r="BO22" t="s" s="0">
        <v>211</v>
      </c>
      <c r="BP22" t="s" s="0">
        <v>211</v>
      </c>
      <c r="BQ22" t="s" s="0">
        <v>724</v>
      </c>
      <c r="BR22" t="s" s="0">
        <v>725</v>
      </c>
      <c r="BS22" t="s" s="0">
        <v>726</v>
      </c>
      <c r="BT22" t="s" s="42">
        <f>HYPERLINK("https://www.webofscience.com/wos/woscc/full-record/WOS:001044630000001","View Record in Web of Science")</f>
        <v>120</v>
      </c>
      <c r="BU22" t="s" s="0">
        <v>81</v>
      </c>
      <c r="BV22" t="s" s="0">
        <v>602</v>
      </c>
      <c r="BW22" t="s" s="0">
        <v>603</v>
      </c>
      <c r="BX22" t="s" s="0">
        <v>122</v>
      </c>
    </row>
    <row r="23">
      <c r="A23" t="s" s="0">
        <v>169</v>
      </c>
      <c r="B23" t="s" s="0">
        <v>77</v>
      </c>
      <c r="C23" t="s" s="0">
        <v>100</v>
      </c>
      <c r="D23" t="s" s="0">
        <v>77</v>
      </c>
      <c r="E23" t="s" s="0">
        <v>727</v>
      </c>
      <c r="F23" t="s" s="0">
        <v>728</v>
      </c>
      <c r="G23" t="s" s="0">
        <v>729</v>
      </c>
      <c r="H23" t="s" s="0">
        <v>81</v>
      </c>
      <c r="I23" t="s" s="0">
        <v>82</v>
      </c>
      <c r="J23" t="s" s="0">
        <v>730</v>
      </c>
      <c r="K23" t="s" s="0">
        <v>731</v>
      </c>
      <c r="L23" t="s" s="0">
        <v>81</v>
      </c>
      <c r="M23" t="s" s="0">
        <v>81</v>
      </c>
      <c r="N23" t="s" s="0">
        <v>81</v>
      </c>
      <c r="O23" t="s" s="0">
        <v>732</v>
      </c>
      <c r="P23" t="s" s="0">
        <v>733</v>
      </c>
      <c r="Q23" t="s" s="0">
        <v>90</v>
      </c>
      <c r="R23" t="s" s="0">
        <v>81</v>
      </c>
      <c r="S23" t="s" s="0">
        <v>81</v>
      </c>
      <c r="T23" t="s" s="0">
        <v>81</v>
      </c>
      <c r="U23" t="s" s="0">
        <v>81</v>
      </c>
      <c r="V23" t="s" s="0">
        <v>734</v>
      </c>
      <c r="W23" t="s" s="0">
        <v>735</v>
      </c>
      <c r="X23" t="s" s="0">
        <v>81</v>
      </c>
      <c r="Y23" t="s" s="0">
        <v>81</v>
      </c>
      <c r="Z23" t="s" s="0">
        <v>93</v>
      </c>
      <c r="AA23" t="s" s="0">
        <v>94</v>
      </c>
      <c r="AB23" t="s" s="0">
        <v>81</v>
      </c>
      <c r="AC23" t="s" s="0">
        <v>81</v>
      </c>
      <c r="AD23" t="s" s="0">
        <v>81</v>
      </c>
      <c r="AE23" t="s" s="0">
        <v>81</v>
      </c>
      <c r="AF23" t="s" s="0">
        <v>81</v>
      </c>
      <c r="AG23" t="s" s="0">
        <v>736</v>
      </c>
      <c r="AH23" t="s" s="0">
        <v>737</v>
      </c>
      <c r="AI23" t="s" s="0">
        <v>738</v>
      </c>
      <c r="AJ23" t="s" s="0">
        <v>81</v>
      </c>
      <c r="AK23" t="s" s="0">
        <v>81</v>
      </c>
      <c r="AL23" t="s" s="0">
        <v>739</v>
      </c>
      <c r="AM23" t="s" s="0">
        <v>360</v>
      </c>
      <c r="AN23" t="s" s="0">
        <v>265</v>
      </c>
      <c r="AO23" t="s" s="0">
        <v>99</v>
      </c>
      <c r="AP23" t="s" s="0">
        <v>360</v>
      </c>
      <c r="AQ23" t="s" s="0">
        <v>740</v>
      </c>
      <c r="AR23" t="s" s="0">
        <v>741</v>
      </c>
      <c r="AS23" t="s" s="0">
        <v>742</v>
      </c>
      <c r="AT23" t="s" s="0">
        <v>743</v>
      </c>
      <c r="AU23" t="s" s="0">
        <v>81</v>
      </c>
      <c r="AV23" t="s" s="0">
        <v>81</v>
      </c>
      <c r="AW23" t="s" s="0">
        <v>744</v>
      </c>
      <c r="AX23" t="s" s="0">
        <v>745</v>
      </c>
      <c r="AY23" t="s" s="0">
        <v>110</v>
      </c>
      <c r="AZ23" t="s" s="0">
        <v>110</v>
      </c>
      <c r="BA23" t="s" s="0">
        <v>210</v>
      </c>
      <c r="BB23" t="s" s="0">
        <v>81</v>
      </c>
      <c r="BC23" t="s" s="0">
        <v>81</v>
      </c>
      <c r="BD23" t="s" s="0">
        <v>81</v>
      </c>
      <c r="BE23" t="s" s="0">
        <v>81</v>
      </c>
      <c r="BF23" t="s" s="0">
        <v>81</v>
      </c>
      <c r="BG23" t="s" s="0">
        <v>746</v>
      </c>
      <c r="BH23" t="s" s="0">
        <v>747</v>
      </c>
      <c r="BI23" t="s" s="0">
        <v>81</v>
      </c>
      <c r="BJ23" t="s" s="0">
        <v>748</v>
      </c>
      <c r="BK23" t="s" s="43">
        <f>HYPERLINK("http://dx.doi.org/10.1146/annurev-biodatasci-103123-095406","http://dx.doi.org/10.1146/annurev-biodatasci-103123-095406")</f>
        <v>749</v>
      </c>
      <c r="BL23" t="s" s="0">
        <v>81</v>
      </c>
      <c r="BM23" t="s" s="0">
        <v>81</v>
      </c>
      <c r="BN23" t="s" s="0">
        <v>352</v>
      </c>
      <c r="BO23" t="s" s="0">
        <v>750</v>
      </c>
      <c r="BP23" t="s" s="0">
        <v>750</v>
      </c>
      <c r="BQ23" t="s" s="0">
        <v>751</v>
      </c>
      <c r="BR23" t="s" s="0">
        <v>752</v>
      </c>
      <c r="BS23" t="s" s="0">
        <v>753</v>
      </c>
      <c r="BT23" t="s" s="44">
        <f>HYPERLINK("https://www.webofscience.com/wos/woscc/full-record/WOS:001602604800022","View Record in Web of Science")</f>
        <v>120</v>
      </c>
      <c r="BU23" t="s" s="0">
        <v>306</v>
      </c>
      <c r="BV23" t="s" s="0">
        <v>81</v>
      </c>
      <c r="BW23" t="s" s="0">
        <v>81</v>
      </c>
      <c r="BX23" t="s" s="0">
        <v>122</v>
      </c>
    </row>
    <row r="24">
      <c r="A24" t="s" s="0">
        <v>169</v>
      </c>
      <c r="B24" t="s" s="0">
        <v>77</v>
      </c>
      <c r="C24" t="s" s="0">
        <v>101</v>
      </c>
      <c r="D24" t="s" s="0">
        <v>77</v>
      </c>
      <c r="E24" t="s" s="0">
        <v>754</v>
      </c>
      <c r="F24" t="s" s="0">
        <v>755</v>
      </c>
      <c r="G24" t="s" s="0">
        <v>756</v>
      </c>
      <c r="H24" t="s" s="0">
        <v>81</v>
      </c>
      <c r="I24" t="s" s="0">
        <v>218</v>
      </c>
      <c r="J24" t="s" s="0">
        <v>757</v>
      </c>
      <c r="K24" t="s" s="0">
        <v>758</v>
      </c>
      <c r="L24" t="s" s="0">
        <v>759</v>
      </c>
      <c r="M24" t="s" s="0">
        <v>760</v>
      </c>
      <c r="N24" t="s" s="0">
        <v>761</v>
      </c>
      <c r="O24" t="s" s="0">
        <v>762</v>
      </c>
      <c r="P24" t="s" s="0">
        <v>763</v>
      </c>
      <c r="Q24" t="s" s="0">
        <v>90</v>
      </c>
      <c r="R24" t="s" s="0">
        <v>81</v>
      </c>
      <c r="S24" t="s" s="0">
        <v>81</v>
      </c>
      <c r="T24" t="s" s="0">
        <v>81</v>
      </c>
      <c r="U24" t="s" s="0">
        <v>81</v>
      </c>
      <c r="V24" t="s" s="0">
        <v>764</v>
      </c>
      <c r="W24" t="s" s="0">
        <v>765</v>
      </c>
      <c r="X24" t="s" s="0">
        <v>81</v>
      </c>
      <c r="Y24" t="s" s="0">
        <v>81</v>
      </c>
      <c r="Z24" t="s" s="0">
        <v>93</v>
      </c>
      <c r="AA24" t="s" s="0">
        <v>94</v>
      </c>
      <c r="AB24" t="s" s="0">
        <v>81</v>
      </c>
      <c r="AC24" t="s" s="0">
        <v>81</v>
      </c>
      <c r="AD24" t="s" s="0">
        <v>81</v>
      </c>
      <c r="AE24" t="s" s="0">
        <v>81</v>
      </c>
      <c r="AF24" t="s" s="0">
        <v>81</v>
      </c>
      <c r="AG24" t="s" s="0">
        <v>81</v>
      </c>
      <c r="AH24" t="s" s="0">
        <v>766</v>
      </c>
      <c r="AI24" t="s" s="0">
        <v>81</v>
      </c>
      <c r="AJ24" t="s" s="0">
        <v>767</v>
      </c>
      <c r="AK24" t="s" s="0">
        <v>81</v>
      </c>
      <c r="AL24" t="s" s="0">
        <v>351</v>
      </c>
      <c r="AM24" t="s" s="0">
        <v>320</v>
      </c>
      <c r="AN24" t="s" s="0">
        <v>509</v>
      </c>
      <c r="AO24" t="s" s="0">
        <v>77</v>
      </c>
      <c r="AP24" t="s" s="0">
        <v>169</v>
      </c>
      <c r="AQ24" t="s" s="0">
        <v>768</v>
      </c>
      <c r="AR24" t="s" s="0">
        <v>769</v>
      </c>
      <c r="AS24" t="s" s="0">
        <v>770</v>
      </c>
      <c r="AT24" t="s" s="0">
        <v>81</v>
      </c>
      <c r="AU24" t="s" s="0">
        <v>771</v>
      </c>
      <c r="AV24" t="s" s="0">
        <v>81</v>
      </c>
      <c r="AW24" t="s" s="0">
        <v>772</v>
      </c>
      <c r="AX24" t="s" s="0">
        <v>773</v>
      </c>
      <c r="AY24" t="s" s="0">
        <v>774</v>
      </c>
      <c r="AZ24" t="s" s="0">
        <v>110</v>
      </c>
      <c r="BA24" t="s" s="0">
        <v>100</v>
      </c>
      <c r="BB24" t="s" s="0">
        <v>81</v>
      </c>
      <c r="BC24" t="s" s="0">
        <v>81</v>
      </c>
      <c r="BD24" t="s" s="0">
        <v>81</v>
      </c>
      <c r="BE24" t="s" s="0">
        <v>81</v>
      </c>
      <c r="BF24" t="s" s="0">
        <v>81</v>
      </c>
      <c r="BG24" t="s" s="0">
        <v>81</v>
      </c>
      <c r="BH24" t="s" s="0">
        <v>81</v>
      </c>
      <c r="BI24" t="s" s="0">
        <v>775</v>
      </c>
      <c r="BJ24" t="s" s="0">
        <v>776</v>
      </c>
      <c r="BK24" t="s" s="45">
        <f>HYPERLINK("http://dx.doi.org/10.34133/hds.0250","http://dx.doi.org/10.34133/hds.0250")</f>
        <v>777</v>
      </c>
      <c r="BL24" t="s" s="0">
        <v>81</v>
      </c>
      <c r="BM24" t="s" s="0">
        <v>81</v>
      </c>
      <c r="BN24" t="s" s="0">
        <v>210</v>
      </c>
      <c r="BO24" t="s" s="0">
        <v>778</v>
      </c>
      <c r="BP24" t="s" s="0">
        <v>779</v>
      </c>
      <c r="BQ24" t="s" s="0">
        <v>780</v>
      </c>
      <c r="BR24" t="s" s="0">
        <v>781</v>
      </c>
      <c r="BS24" t="s" s="0">
        <v>782</v>
      </c>
      <c r="BT24" t="s" s="46">
        <f>HYPERLINK("https://www.webofscience.com/wos/woscc/full-record/WOS:001547513100002","View Record in Web of Science")</f>
        <v>120</v>
      </c>
      <c r="BU24" t="s" s="0">
        <v>121</v>
      </c>
      <c r="BV24" t="s" s="0">
        <v>81</v>
      </c>
      <c r="BW24" t="s" s="0">
        <v>81</v>
      </c>
      <c r="BX24" t="s" s="0">
        <v>122</v>
      </c>
    </row>
    <row r="25">
      <c r="A25" t="s" s="0">
        <v>77</v>
      </c>
      <c r="B25" t="s" s="0">
        <v>77</v>
      </c>
      <c r="C25" t="s" s="0">
        <v>77</v>
      </c>
      <c r="D25" t="s" s="0">
        <v>77</v>
      </c>
      <c r="E25" t="s" s="0">
        <v>783</v>
      </c>
      <c r="F25" t="s" s="0">
        <v>784</v>
      </c>
      <c r="G25" t="s" s="0">
        <v>785</v>
      </c>
      <c r="H25" t="s" s="0">
        <v>81</v>
      </c>
      <c r="I25" t="s" s="0">
        <v>82</v>
      </c>
      <c r="J25" t="s" s="0">
        <v>786</v>
      </c>
      <c r="K25" t="s" s="0">
        <v>787</v>
      </c>
      <c r="L25" t="s" s="0">
        <v>788</v>
      </c>
      <c r="M25" t="s" s="0">
        <v>789</v>
      </c>
      <c r="N25" t="s" s="0">
        <v>790</v>
      </c>
      <c r="O25" t="s" s="0">
        <v>791</v>
      </c>
      <c r="P25" t="s" s="0">
        <v>792</v>
      </c>
      <c r="Q25" t="s" s="0">
        <v>90</v>
      </c>
      <c r="R25" t="s" s="0">
        <v>81</v>
      </c>
      <c r="S25" t="s" s="0">
        <v>81</v>
      </c>
      <c r="T25" t="s" s="0">
        <v>81</v>
      </c>
      <c r="U25" t="s" s="0">
        <v>81</v>
      </c>
      <c r="V25" t="s" s="0">
        <v>793</v>
      </c>
      <c r="W25" t="s" s="0">
        <v>654</v>
      </c>
      <c r="X25" t="s" s="0">
        <v>81</v>
      </c>
      <c r="Y25" t="s" s="0">
        <v>81</v>
      </c>
      <c r="Z25" t="s" s="0">
        <v>93</v>
      </c>
      <c r="AA25" t="s" s="0">
        <v>94</v>
      </c>
      <c r="AB25" t="s" s="0">
        <v>81</v>
      </c>
      <c r="AC25" t="s" s="0">
        <v>81</v>
      </c>
      <c r="AD25" t="s" s="0">
        <v>81</v>
      </c>
      <c r="AE25" t="s" s="0">
        <v>81</v>
      </c>
      <c r="AF25" t="s" s="0">
        <v>81</v>
      </c>
      <c r="AG25" t="s" s="0">
        <v>794</v>
      </c>
      <c r="AH25" t="s" s="0">
        <v>81</v>
      </c>
      <c r="AI25" t="s" s="0">
        <v>795</v>
      </c>
      <c r="AJ25" t="s" s="0">
        <v>796</v>
      </c>
      <c r="AK25" t="s" s="0">
        <v>81</v>
      </c>
      <c r="AL25" t="s" s="0">
        <v>797</v>
      </c>
      <c r="AM25" t="s" s="0">
        <v>554</v>
      </c>
      <c r="AN25" t="s" s="0">
        <v>554</v>
      </c>
      <c r="AO25" t="s" s="0">
        <v>101</v>
      </c>
      <c r="AP25" t="s" s="0">
        <v>100</v>
      </c>
      <c r="AQ25" t="s" s="0">
        <v>659</v>
      </c>
      <c r="AR25" t="s" s="0">
        <v>660</v>
      </c>
      <c r="AS25" t="s" s="0">
        <v>661</v>
      </c>
      <c r="AT25" t="s" s="0">
        <v>662</v>
      </c>
      <c r="AU25" t="s" s="0">
        <v>663</v>
      </c>
      <c r="AV25" t="s" s="0">
        <v>81</v>
      </c>
      <c r="AW25" t="s" s="0">
        <v>664</v>
      </c>
      <c r="AX25" t="s" s="0">
        <v>665</v>
      </c>
      <c r="AY25" t="s" s="0">
        <v>300</v>
      </c>
      <c r="AZ25" t="s" s="0">
        <v>110</v>
      </c>
      <c r="BA25" t="s" s="0">
        <v>632</v>
      </c>
      <c r="BB25" t="s" s="0">
        <v>81</v>
      </c>
      <c r="BC25" t="s" s="0">
        <v>81</v>
      </c>
      <c r="BD25" t="s" s="0">
        <v>81</v>
      </c>
      <c r="BE25" t="s" s="0">
        <v>81</v>
      </c>
      <c r="BF25" t="s" s="0">
        <v>81</v>
      </c>
      <c r="BG25" t="s" s="0">
        <v>81</v>
      </c>
      <c r="BH25" t="s" s="0">
        <v>81</v>
      </c>
      <c r="BI25" t="s" s="0">
        <v>798</v>
      </c>
      <c r="BJ25" t="s" s="0">
        <v>799</v>
      </c>
      <c r="BK25" t="s" s="47">
        <f>HYPERLINK("http://dx.doi.org/10.1016/j.jbi.2025.104949","http://dx.doi.org/10.1016/j.jbi.2025.104949")</f>
        <v>800</v>
      </c>
      <c r="BL25" t="s" s="0">
        <v>81</v>
      </c>
      <c r="BM25" t="s" s="0">
        <v>801</v>
      </c>
      <c r="BN25" t="s" s="0">
        <v>115</v>
      </c>
      <c r="BO25" t="s" s="0">
        <v>672</v>
      </c>
      <c r="BP25" t="s" s="0">
        <v>673</v>
      </c>
      <c r="BQ25" t="s" s="0">
        <v>802</v>
      </c>
      <c r="BR25" t="s" s="0">
        <v>803</v>
      </c>
      <c r="BS25" t="s" s="0">
        <v>804</v>
      </c>
      <c r="BT25" t="s" s="48">
        <f>HYPERLINK("https://www.webofscience.com/wos/woscc/full-record/WOS:001614755400001","View Record in Web of Science")</f>
        <v>120</v>
      </c>
      <c r="BU25" t="s" s="0">
        <v>805</v>
      </c>
      <c r="BV25" t="s" s="0">
        <v>81</v>
      </c>
      <c r="BW25" t="s" s="0">
        <v>81</v>
      </c>
      <c r="BX25" t="s" s="0">
        <v>122</v>
      </c>
    </row>
    <row r="26">
      <c r="A26" t="s" s="0">
        <v>77</v>
      </c>
      <c r="B26" t="s" s="0">
        <v>77</v>
      </c>
      <c r="C26" t="s" s="0">
        <v>77</v>
      </c>
      <c r="D26" t="s" s="0">
        <v>77</v>
      </c>
      <c r="E26" t="s" s="0">
        <v>806</v>
      </c>
      <c r="F26" t="s" s="0">
        <v>807</v>
      </c>
      <c r="G26" t="s" s="0">
        <v>808</v>
      </c>
      <c r="H26" t="s" s="0">
        <v>81</v>
      </c>
      <c r="I26" t="s" s="0">
        <v>218</v>
      </c>
      <c r="J26" t="s" s="0">
        <v>809</v>
      </c>
      <c r="K26" t="s" s="0">
        <v>810</v>
      </c>
      <c r="L26" t="s" s="0">
        <v>811</v>
      </c>
      <c r="M26" t="s" s="0">
        <v>812</v>
      </c>
      <c r="N26" t="s" s="0">
        <v>813</v>
      </c>
      <c r="O26" t="s" s="0">
        <v>814</v>
      </c>
      <c r="P26" t="s" s="0">
        <v>815</v>
      </c>
      <c r="Q26" t="s" s="0">
        <v>90</v>
      </c>
      <c r="R26" t="s" s="0">
        <v>81</v>
      </c>
      <c r="S26" t="s" s="0">
        <v>81</v>
      </c>
      <c r="T26" t="s" s="0">
        <v>81</v>
      </c>
      <c r="U26" t="s" s="0">
        <v>81</v>
      </c>
      <c r="V26" t="s" s="0">
        <v>816</v>
      </c>
      <c r="W26" t="s" s="0">
        <v>817</v>
      </c>
      <c r="X26" t="s" s="0">
        <v>81</v>
      </c>
      <c r="Y26" t="s" s="0">
        <v>81</v>
      </c>
      <c r="Z26" t="s" s="0">
        <v>93</v>
      </c>
      <c r="AA26" t="s" s="0">
        <v>94</v>
      </c>
      <c r="AB26" t="s" s="0">
        <v>81</v>
      </c>
      <c r="AC26" t="s" s="0">
        <v>81</v>
      </c>
      <c r="AD26" t="s" s="0">
        <v>81</v>
      </c>
      <c r="AE26" t="s" s="0">
        <v>81</v>
      </c>
      <c r="AF26" t="s" s="0">
        <v>81</v>
      </c>
      <c r="AG26" t="s" s="0">
        <v>81</v>
      </c>
      <c r="AH26" t="s" s="0">
        <v>81</v>
      </c>
      <c r="AI26" t="s" s="0">
        <v>818</v>
      </c>
      <c r="AJ26" t="s" s="0">
        <v>819</v>
      </c>
      <c r="AK26" t="s" s="0">
        <v>81</v>
      </c>
      <c r="AL26" t="s" s="0">
        <v>820</v>
      </c>
      <c r="AM26" t="s" s="0">
        <v>101</v>
      </c>
      <c r="AN26" t="s" s="0">
        <v>101</v>
      </c>
      <c r="AO26" t="s" s="0">
        <v>100</v>
      </c>
      <c r="AP26" t="s" s="0">
        <v>102</v>
      </c>
      <c r="AQ26" t="s" s="0">
        <v>821</v>
      </c>
      <c r="AR26" t="s" s="0">
        <v>822</v>
      </c>
      <c r="AS26" t="s" s="0">
        <v>823</v>
      </c>
      <c r="AT26" t="s" s="0">
        <v>81</v>
      </c>
      <c r="AU26" t="s" s="0">
        <v>824</v>
      </c>
      <c r="AV26" t="s" s="0">
        <v>81</v>
      </c>
      <c r="AW26" t="s" s="0">
        <v>825</v>
      </c>
      <c r="AX26" t="s" s="0">
        <v>826</v>
      </c>
      <c r="AY26" t="s" s="0">
        <v>666</v>
      </c>
      <c r="AZ26" t="s" s="0">
        <v>110</v>
      </c>
      <c r="BA26" t="s" s="0">
        <v>99</v>
      </c>
      <c r="BB26" t="s" s="0">
        <v>328</v>
      </c>
      <c r="BC26" t="s" s="0">
        <v>81</v>
      </c>
      <c r="BD26" t="s" s="0">
        <v>81</v>
      </c>
      <c r="BE26" t="s" s="0">
        <v>81</v>
      </c>
      <c r="BF26" t="s" s="0">
        <v>81</v>
      </c>
      <c r="BG26" t="s" s="0">
        <v>81</v>
      </c>
      <c r="BH26" t="s" s="0">
        <v>81</v>
      </c>
      <c r="BI26" t="s" s="0">
        <v>827</v>
      </c>
      <c r="BJ26" t="s" s="0">
        <v>828</v>
      </c>
      <c r="BK26" t="s" s="49">
        <f>HYPERLINK("http://dx.doi.org/10.1371/journal.pdig.0001001","http://dx.doi.org/10.1371/journal.pdig.0001001")</f>
        <v>829</v>
      </c>
      <c r="BL26" t="s" s="0">
        <v>81</v>
      </c>
      <c r="BM26" t="s" s="0">
        <v>81</v>
      </c>
      <c r="BN26" t="s" s="0">
        <v>352</v>
      </c>
      <c r="BO26" t="s" s="0">
        <v>116</v>
      </c>
      <c r="BP26" t="s" s="0">
        <v>116</v>
      </c>
      <c r="BQ26" t="s" s="0">
        <v>830</v>
      </c>
      <c r="BR26" t="s" s="0">
        <v>831</v>
      </c>
      <c r="BS26" t="s" s="0">
        <v>832</v>
      </c>
      <c r="BT26" t="s" s="50">
        <f>HYPERLINK("https://www.webofscience.com/wos/woscc/full-record/WOS:001566263500003","View Record in Web of Science")</f>
        <v>120</v>
      </c>
      <c r="BU26" t="s" s="0">
        <v>121</v>
      </c>
      <c r="BV26" t="s" s="0">
        <v>81</v>
      </c>
      <c r="BW26" t="s" s="0">
        <v>81</v>
      </c>
      <c r="BX26" t="s" s="0">
        <v>122</v>
      </c>
    </row>
    <row r="27">
      <c r="A27" t="s" s="0">
        <v>77</v>
      </c>
      <c r="B27" t="s" s="0">
        <v>77</v>
      </c>
      <c r="C27" t="s" s="0">
        <v>77</v>
      </c>
      <c r="D27" t="s" s="0">
        <v>77</v>
      </c>
      <c r="E27" t="s" s="0">
        <v>833</v>
      </c>
      <c r="F27" t="s" s="0">
        <v>834</v>
      </c>
      <c r="G27" t="s" s="0">
        <v>835</v>
      </c>
      <c r="H27" t="s" s="0">
        <v>81</v>
      </c>
      <c r="I27" t="s" s="0">
        <v>218</v>
      </c>
      <c r="J27" t="s" s="0">
        <v>836</v>
      </c>
      <c r="K27" t="s" s="0">
        <v>837</v>
      </c>
      <c r="L27" t="s" s="0">
        <v>81</v>
      </c>
      <c r="M27" t="s" s="0">
        <v>81</v>
      </c>
      <c r="N27" t="s" s="0">
        <v>128</v>
      </c>
      <c r="O27" t="s" s="0">
        <v>838</v>
      </c>
      <c r="P27" t="s" s="0">
        <v>839</v>
      </c>
      <c r="Q27" t="s" s="0">
        <v>90</v>
      </c>
      <c r="R27" t="s" s="0">
        <v>81</v>
      </c>
      <c r="S27" t="s" s="0">
        <v>81</v>
      </c>
      <c r="T27" t="s" s="0">
        <v>81</v>
      </c>
      <c r="U27" t="s" s="0">
        <v>81</v>
      </c>
      <c r="V27" t="s" s="0">
        <v>840</v>
      </c>
      <c r="W27" t="s" s="0">
        <v>841</v>
      </c>
      <c r="X27" t="s" s="0">
        <v>81</v>
      </c>
      <c r="Y27" t="s" s="0">
        <v>81</v>
      </c>
      <c r="Z27" t="s" s="0">
        <v>93</v>
      </c>
      <c r="AA27" t="s" s="0">
        <v>94</v>
      </c>
      <c r="AB27" t="s" s="0">
        <v>81</v>
      </c>
      <c r="AC27" t="s" s="0">
        <v>81</v>
      </c>
      <c r="AD27" t="s" s="0">
        <v>81</v>
      </c>
      <c r="AE27" t="s" s="0">
        <v>81</v>
      </c>
      <c r="AF27" t="s" s="0">
        <v>81</v>
      </c>
      <c r="AG27" t="s" s="0">
        <v>842</v>
      </c>
      <c r="AH27" t="s" s="0">
        <v>843</v>
      </c>
      <c r="AI27" t="s" s="0">
        <v>844</v>
      </c>
      <c r="AJ27" t="s" s="0">
        <v>81</v>
      </c>
      <c r="AK27" t="s" s="0">
        <v>81</v>
      </c>
      <c r="AL27" t="s" s="0">
        <v>845</v>
      </c>
      <c r="AM27" t="s" s="0">
        <v>77</v>
      </c>
      <c r="AN27" t="s" s="0">
        <v>77</v>
      </c>
      <c r="AO27" t="s" s="0">
        <v>77</v>
      </c>
      <c r="AP27" t="s" s="0">
        <v>77</v>
      </c>
      <c r="AQ27" t="s" s="0">
        <v>137</v>
      </c>
      <c r="AR27" t="s" s="0">
        <v>138</v>
      </c>
      <c r="AS27" t="s" s="0">
        <v>139</v>
      </c>
      <c r="AT27" t="s" s="0">
        <v>81</v>
      </c>
      <c r="AU27" t="s" s="0">
        <v>846</v>
      </c>
      <c r="AV27" t="s" s="0">
        <v>81</v>
      </c>
      <c r="AW27" t="s" s="0">
        <v>847</v>
      </c>
      <c r="AX27" t="s" s="0">
        <v>848</v>
      </c>
      <c r="AY27" t="s" s="0">
        <v>849</v>
      </c>
      <c r="AZ27" t="s" s="0">
        <v>144</v>
      </c>
      <c r="BA27" t="s" s="0">
        <v>328</v>
      </c>
      <c r="BB27" t="s" s="0">
        <v>101</v>
      </c>
      <c r="BC27" t="s" s="0">
        <v>81</v>
      </c>
      <c r="BD27" t="s" s="0">
        <v>81</v>
      </c>
      <c r="BE27" t="s" s="0">
        <v>81</v>
      </c>
      <c r="BF27" t="s" s="0">
        <v>81</v>
      </c>
      <c r="BG27" t="s" s="0">
        <v>81</v>
      </c>
      <c r="BH27" t="s" s="0">
        <v>81</v>
      </c>
      <c r="BI27" t="s" s="0">
        <v>850</v>
      </c>
      <c r="BJ27" t="s" s="0">
        <v>851</v>
      </c>
      <c r="BK27" t="s" s="51">
        <f>HYPERLINK("http://dx.doi.org/10.3390/mps9030069","http://dx.doi.org/10.3390/mps9030069")</f>
        <v>852</v>
      </c>
      <c r="BL27" t="s" s="0">
        <v>81</v>
      </c>
      <c r="BM27" t="s" s="0">
        <v>295</v>
      </c>
      <c r="BN27" t="s" s="0">
        <v>145</v>
      </c>
      <c r="BO27" t="s" s="0">
        <v>853</v>
      </c>
      <c r="BP27" t="s" s="0">
        <v>854</v>
      </c>
      <c r="BQ27" t="s" s="0">
        <v>855</v>
      </c>
      <c r="BR27" t="s" s="0">
        <v>856</v>
      </c>
      <c r="BS27" t="s" s="0">
        <v>857</v>
      </c>
      <c r="BT27" t="s" s="52">
        <f>HYPERLINK("https://www.webofscience.com/wos/woscc/full-record/WOS:001804705200001","View Record in Web of Science")</f>
        <v>120</v>
      </c>
      <c r="BU27" t="s" s="0">
        <v>121</v>
      </c>
      <c r="BV27" t="s" s="0">
        <v>81</v>
      </c>
      <c r="BW27" t="s" s="0">
        <v>81</v>
      </c>
      <c r="BX27" t="s" s="0">
        <v>122</v>
      </c>
    </row>
    <row r="28">
      <c r="A28" t="s" s="0">
        <v>77</v>
      </c>
      <c r="B28" t="s" s="0">
        <v>77</v>
      </c>
      <c r="C28" t="s" s="0">
        <v>77</v>
      </c>
      <c r="D28" t="s" s="0">
        <v>77</v>
      </c>
      <c r="E28" t="s" s="0">
        <v>858</v>
      </c>
      <c r="F28" t="s" s="0">
        <v>859</v>
      </c>
      <c r="G28" t="s" s="0">
        <v>860</v>
      </c>
      <c r="H28" t="s" s="0">
        <v>81</v>
      </c>
      <c r="I28" t="s" s="0">
        <v>218</v>
      </c>
      <c r="J28" t="s" s="0">
        <v>861</v>
      </c>
      <c r="K28" t="s" s="0">
        <v>862</v>
      </c>
      <c r="L28" t="s" s="0">
        <v>863</v>
      </c>
      <c r="M28" t="s" s="0">
        <v>864</v>
      </c>
      <c r="N28" t="s" s="0">
        <v>865</v>
      </c>
      <c r="O28" t="s" s="0">
        <v>866</v>
      </c>
      <c r="P28" t="s" s="0">
        <v>867</v>
      </c>
      <c r="Q28" t="s" s="0">
        <v>90</v>
      </c>
      <c r="R28" t="s" s="0">
        <v>81</v>
      </c>
      <c r="S28" t="s" s="0">
        <v>81</v>
      </c>
      <c r="T28" t="s" s="0">
        <v>81</v>
      </c>
      <c r="U28" t="s" s="0">
        <v>81</v>
      </c>
      <c r="V28" t="s" s="0">
        <v>868</v>
      </c>
      <c r="W28" t="s" s="0">
        <v>869</v>
      </c>
      <c r="X28" t="s" s="0">
        <v>81</v>
      </c>
      <c r="Y28" t="s" s="0">
        <v>81</v>
      </c>
      <c r="Z28" t="s" s="0">
        <v>93</v>
      </c>
      <c r="AA28" t="s" s="0">
        <v>94</v>
      </c>
      <c r="AB28" t="s" s="0">
        <v>81</v>
      </c>
      <c r="AC28" t="s" s="0">
        <v>81</v>
      </c>
      <c r="AD28" t="s" s="0">
        <v>81</v>
      </c>
      <c r="AE28" t="s" s="0">
        <v>81</v>
      </c>
      <c r="AF28" t="s" s="0">
        <v>81</v>
      </c>
      <c r="AG28" t="s" s="0">
        <v>870</v>
      </c>
      <c r="AH28" t="s" s="0">
        <v>81</v>
      </c>
      <c r="AI28" t="s" s="0">
        <v>81</v>
      </c>
      <c r="AJ28" t="s" s="0">
        <v>871</v>
      </c>
      <c r="AK28" t="s" s="0">
        <v>81</v>
      </c>
      <c r="AL28" t="s" s="0">
        <v>671</v>
      </c>
      <c r="AM28" t="s" s="0">
        <v>169</v>
      </c>
      <c r="AN28" t="s" s="0">
        <v>169</v>
      </c>
      <c r="AO28" t="s" s="0">
        <v>99</v>
      </c>
      <c r="AP28" t="s" s="0">
        <v>386</v>
      </c>
      <c r="AQ28" t="s" s="0">
        <v>288</v>
      </c>
      <c r="AR28" t="s" s="0">
        <v>289</v>
      </c>
      <c r="AS28" t="s" s="0">
        <v>290</v>
      </c>
      <c r="AT28" t="s" s="0">
        <v>872</v>
      </c>
      <c r="AU28" t="s" s="0">
        <v>81</v>
      </c>
      <c r="AV28" t="s" s="0">
        <v>81</v>
      </c>
      <c r="AW28" t="s" s="0">
        <v>873</v>
      </c>
      <c r="AX28" t="s" s="0">
        <v>874</v>
      </c>
      <c r="AY28" t="s" s="0">
        <v>508</v>
      </c>
      <c r="AZ28" t="s" s="0">
        <v>144</v>
      </c>
      <c r="BA28" t="s" s="0">
        <v>452</v>
      </c>
      <c r="BB28" t="s" s="0">
        <v>554</v>
      </c>
      <c r="BC28" t="s" s="0">
        <v>81</v>
      </c>
      <c r="BD28" t="s" s="0">
        <v>81</v>
      </c>
      <c r="BE28" t="s" s="0">
        <v>81</v>
      </c>
      <c r="BF28" t="s" s="0">
        <v>81</v>
      </c>
      <c r="BG28" t="s" s="0">
        <v>81</v>
      </c>
      <c r="BH28" t="s" s="0">
        <v>81</v>
      </c>
      <c r="BI28" t="s" s="0">
        <v>875</v>
      </c>
      <c r="BJ28" t="s" s="0">
        <v>876</v>
      </c>
      <c r="BK28" t="s" s="53">
        <f>HYPERLINK("http://dx.doi.org/10.1016/j.xops.2025.101004","http://dx.doi.org/10.1016/j.xops.2025.101004")</f>
        <v>877</v>
      </c>
      <c r="BL28" t="s" s="0">
        <v>81</v>
      </c>
      <c r="BM28" t="s" s="0">
        <v>300</v>
      </c>
      <c r="BN28" t="s" s="0">
        <v>102</v>
      </c>
      <c r="BO28" t="s" s="0">
        <v>211</v>
      </c>
      <c r="BP28" t="s" s="0">
        <v>211</v>
      </c>
      <c r="BQ28" t="s" s="0">
        <v>878</v>
      </c>
      <c r="BR28" t="s" s="0">
        <v>879</v>
      </c>
      <c r="BS28" t="s" s="0">
        <v>880</v>
      </c>
      <c r="BT28" t="s" s="54">
        <f>HYPERLINK("https://www.webofscience.com/wos/woscc/full-record/WOS:001644388100001","View Record in Web of Science")</f>
        <v>120</v>
      </c>
      <c r="BU28" t="s" s="0">
        <v>121</v>
      </c>
      <c r="BV28" t="s" s="0">
        <v>81</v>
      </c>
      <c r="BW28" t="s" s="0">
        <v>81</v>
      </c>
      <c r="BX28" t="s" s="0">
        <v>122</v>
      </c>
    </row>
    <row r="29">
      <c r="A29" t="s" s="0">
        <v>101</v>
      </c>
      <c r="B29" t="s" s="0">
        <v>77</v>
      </c>
      <c r="C29" t="s" s="0">
        <v>77</v>
      </c>
      <c r="D29" t="s" s="0">
        <v>77</v>
      </c>
      <c r="E29" t="s" s="0">
        <v>881</v>
      </c>
      <c r="F29" t="s" s="0">
        <v>882</v>
      </c>
      <c r="G29" t="s" s="0">
        <v>883</v>
      </c>
      <c r="H29" t="s" s="0">
        <v>81</v>
      </c>
      <c r="I29" t="s" s="0">
        <v>82</v>
      </c>
      <c r="J29" t="s" s="0">
        <v>884</v>
      </c>
      <c r="K29" t="s" s="0">
        <v>885</v>
      </c>
      <c r="L29" t="s" s="0">
        <v>886</v>
      </c>
      <c r="M29" t="s" s="0">
        <v>887</v>
      </c>
      <c r="N29" t="s" s="0">
        <v>888</v>
      </c>
      <c r="O29" t="s" s="0">
        <v>889</v>
      </c>
      <c r="P29" t="s" s="0">
        <v>890</v>
      </c>
      <c r="Q29" t="s" s="0">
        <v>90</v>
      </c>
      <c r="R29" t="s" s="0">
        <v>81</v>
      </c>
      <c r="S29" t="s" s="0">
        <v>81</v>
      </c>
      <c r="T29" t="s" s="0">
        <v>81</v>
      </c>
      <c r="U29" t="s" s="0">
        <v>81</v>
      </c>
      <c r="V29" t="s" s="0">
        <v>891</v>
      </c>
      <c r="W29" t="s" s="0">
        <v>892</v>
      </c>
      <c r="X29" t="s" s="0">
        <v>81</v>
      </c>
      <c r="Y29" t="s" s="0">
        <v>81</v>
      </c>
      <c r="Z29" t="s" s="0">
        <v>93</v>
      </c>
      <c r="AA29" t="s" s="0">
        <v>94</v>
      </c>
      <c r="AB29" t="s" s="0">
        <v>81</v>
      </c>
      <c r="AC29" t="s" s="0">
        <v>81</v>
      </c>
      <c r="AD29" t="s" s="0">
        <v>81</v>
      </c>
      <c r="AE29" t="s" s="0">
        <v>81</v>
      </c>
      <c r="AF29" t="s" s="0">
        <v>81</v>
      </c>
      <c r="AG29" t="s" s="0">
        <v>893</v>
      </c>
      <c r="AH29" t="s" s="0">
        <v>81</v>
      </c>
      <c r="AI29" t="s" s="0">
        <v>894</v>
      </c>
      <c r="AJ29" t="s" s="0">
        <v>895</v>
      </c>
      <c r="AK29" t="s" s="0">
        <v>81</v>
      </c>
      <c r="AL29" t="s" s="0">
        <v>690</v>
      </c>
      <c r="AM29" t="s" s="0">
        <v>261</v>
      </c>
      <c r="AN29" t="s" s="0">
        <v>351</v>
      </c>
      <c r="AO29" t="s" s="0">
        <v>115</v>
      </c>
      <c r="AP29" t="s" s="0">
        <v>896</v>
      </c>
      <c r="AQ29" t="s" s="0">
        <v>288</v>
      </c>
      <c r="AR29" t="s" s="0">
        <v>289</v>
      </c>
      <c r="AS29" t="s" s="0">
        <v>290</v>
      </c>
      <c r="AT29" t="s" s="0">
        <v>897</v>
      </c>
      <c r="AU29" t="s" s="0">
        <v>898</v>
      </c>
      <c r="AV29" t="s" s="0">
        <v>81</v>
      </c>
      <c r="AW29" t="s" s="0">
        <v>899</v>
      </c>
      <c r="AX29" t="s" s="0">
        <v>900</v>
      </c>
      <c r="AY29" t="s" s="0">
        <v>901</v>
      </c>
      <c r="AZ29" t="s" s="0">
        <v>592</v>
      </c>
      <c r="BA29" t="s" s="0">
        <v>902</v>
      </c>
      <c r="BB29" t="s" s="0">
        <v>81</v>
      </c>
      <c r="BC29" t="s" s="0">
        <v>81</v>
      </c>
      <c r="BD29" t="s" s="0">
        <v>81</v>
      </c>
      <c r="BE29" t="s" s="0">
        <v>81</v>
      </c>
      <c r="BF29" t="s" s="0">
        <v>81</v>
      </c>
      <c r="BG29" t="s" s="0">
        <v>81</v>
      </c>
      <c r="BH29" t="s" s="0">
        <v>81</v>
      </c>
      <c r="BI29" t="s" s="0">
        <v>903</v>
      </c>
      <c r="BJ29" t="s" s="0">
        <v>904</v>
      </c>
      <c r="BK29" t="s" s="55">
        <f>HYPERLINK("http://dx.doi.org/10.1016/j.asoc.2023.111165","http://dx.doi.org/10.1016/j.asoc.2023.111165")</f>
        <v>905</v>
      </c>
      <c r="BL29" t="s" s="0">
        <v>81</v>
      </c>
      <c r="BM29" t="s" s="0">
        <v>906</v>
      </c>
      <c r="BN29" t="s" s="0">
        <v>320</v>
      </c>
      <c r="BO29" t="s" s="0">
        <v>907</v>
      </c>
      <c r="BP29" t="s" s="0">
        <v>303</v>
      </c>
      <c r="BQ29" t="s" s="0">
        <v>908</v>
      </c>
      <c r="BR29" t="s" s="0">
        <v>81</v>
      </c>
      <c r="BS29" t="s" s="0">
        <v>909</v>
      </c>
      <c r="BT29" t="s" s="56">
        <f>HYPERLINK("https://www.webofscience.com/wos/woscc/full-record/WOS:001143416400001","View Record in Web of Science")</f>
        <v>120</v>
      </c>
      <c r="BU29" t="s" s="0">
        <v>81</v>
      </c>
      <c r="BV29" t="s" s="0">
        <v>81</v>
      </c>
      <c r="BW29" t="s" s="0">
        <v>81</v>
      </c>
      <c r="BX29" t="s" s="0">
        <v>122</v>
      </c>
    </row>
    <row r="30">
      <c r="A30" t="s" s="0">
        <v>169</v>
      </c>
      <c r="B30" t="s" s="0">
        <v>77</v>
      </c>
      <c r="C30" t="s" s="0">
        <v>554</v>
      </c>
      <c r="D30" t="s" s="0">
        <v>77</v>
      </c>
      <c r="E30" t="s" s="0">
        <v>910</v>
      </c>
      <c r="F30" t="s" s="0">
        <v>911</v>
      </c>
      <c r="G30" t="s" s="0">
        <v>912</v>
      </c>
      <c r="H30" t="s" s="0">
        <v>81</v>
      </c>
      <c r="I30" t="s" s="0">
        <v>218</v>
      </c>
      <c r="J30" t="s" s="0">
        <v>913</v>
      </c>
      <c r="K30" t="s" s="0">
        <v>914</v>
      </c>
      <c r="L30" t="s" s="0">
        <v>915</v>
      </c>
      <c r="M30" t="s" s="0">
        <v>916</v>
      </c>
      <c r="N30" t="s" s="0">
        <v>917</v>
      </c>
      <c r="O30" t="s" s="0">
        <v>918</v>
      </c>
      <c r="P30" t="s" s="0">
        <v>919</v>
      </c>
      <c r="Q30" t="s" s="0">
        <v>90</v>
      </c>
      <c r="R30" t="s" s="0">
        <v>81</v>
      </c>
      <c r="S30" t="s" s="0">
        <v>81</v>
      </c>
      <c r="T30" t="s" s="0">
        <v>81</v>
      </c>
      <c r="U30" t="s" s="0">
        <v>81</v>
      </c>
      <c r="V30" t="s" s="0">
        <v>920</v>
      </c>
      <c r="W30" t="s" s="0">
        <v>921</v>
      </c>
      <c r="X30" t="s" s="0">
        <v>81</v>
      </c>
      <c r="Y30" t="s" s="0">
        <v>81</v>
      </c>
      <c r="Z30" t="s" s="0">
        <v>93</v>
      </c>
      <c r="AA30" t="s" s="0">
        <v>94</v>
      </c>
      <c r="AB30" t="s" s="0">
        <v>81</v>
      </c>
      <c r="AC30" t="s" s="0">
        <v>81</v>
      </c>
      <c r="AD30" t="s" s="0">
        <v>81</v>
      </c>
      <c r="AE30" t="s" s="0">
        <v>81</v>
      </c>
      <c r="AF30" t="s" s="0">
        <v>81</v>
      </c>
      <c r="AG30" t="s" s="0">
        <v>922</v>
      </c>
      <c r="AH30" t="s" s="0">
        <v>81</v>
      </c>
      <c r="AI30" t="s" s="0">
        <v>923</v>
      </c>
      <c r="AJ30" t="s" s="0">
        <v>81</v>
      </c>
      <c r="AK30" t="s" s="0">
        <v>81</v>
      </c>
      <c r="AL30" t="s" s="0">
        <v>924</v>
      </c>
      <c r="AM30" t="s" s="0">
        <v>102</v>
      </c>
      <c r="AN30" t="s" s="0">
        <v>320</v>
      </c>
      <c r="AO30" t="s" s="0">
        <v>554</v>
      </c>
      <c r="AP30" t="s" s="0">
        <v>145</v>
      </c>
      <c r="AQ30" t="s" s="0">
        <v>137</v>
      </c>
      <c r="AR30" t="s" s="0">
        <v>138</v>
      </c>
      <c r="AS30" t="s" s="0">
        <v>139</v>
      </c>
      <c r="AT30" t="s" s="0">
        <v>81</v>
      </c>
      <c r="AU30" t="s" s="0">
        <v>925</v>
      </c>
      <c r="AV30" t="s" s="0">
        <v>81</v>
      </c>
      <c r="AW30" t="s" s="0">
        <v>921</v>
      </c>
      <c r="AX30" t="s" s="0">
        <v>926</v>
      </c>
      <c r="AY30" t="s" s="0">
        <v>927</v>
      </c>
      <c r="AZ30" t="s" s="0">
        <v>110</v>
      </c>
      <c r="BA30" t="s" s="0">
        <v>265</v>
      </c>
      <c r="BB30" t="s" s="0">
        <v>169</v>
      </c>
      <c r="BC30" t="s" s="0">
        <v>81</v>
      </c>
      <c r="BD30" t="s" s="0">
        <v>81</v>
      </c>
      <c r="BE30" t="s" s="0">
        <v>81</v>
      </c>
      <c r="BF30" t="s" s="0">
        <v>81</v>
      </c>
      <c r="BG30" t="s" s="0">
        <v>81</v>
      </c>
      <c r="BH30" t="s" s="0">
        <v>81</v>
      </c>
      <c r="BI30" t="s" s="0">
        <v>115</v>
      </c>
      <c r="BJ30" t="s" s="0">
        <v>928</v>
      </c>
      <c r="BK30" t="s" s="57">
        <f>HYPERLINK("http://dx.doi.org/10.3390/info16010013","http://dx.doi.org/10.3390/info16010013")</f>
        <v>929</v>
      </c>
      <c r="BL30" t="s" s="0">
        <v>81</v>
      </c>
      <c r="BM30" t="s" s="0">
        <v>81</v>
      </c>
      <c r="BN30" t="s" s="0">
        <v>526</v>
      </c>
      <c r="BO30" t="s" s="0">
        <v>930</v>
      </c>
      <c r="BP30" t="s" s="0">
        <v>303</v>
      </c>
      <c r="BQ30" t="s" s="0">
        <v>931</v>
      </c>
      <c r="BR30" t="s" s="0">
        <v>81</v>
      </c>
      <c r="BS30" t="s" s="0">
        <v>932</v>
      </c>
      <c r="BT30" t="s" s="58">
        <f>HYPERLINK("https://www.webofscience.com/wos/woscc/full-record/WOS:001404263700001","View Record in Web of Science")</f>
        <v>120</v>
      </c>
      <c r="BU30" t="s" s="0">
        <v>121</v>
      </c>
      <c r="BV30" t="s" s="0">
        <v>81</v>
      </c>
      <c r="BW30" t="s" s="0">
        <v>81</v>
      </c>
      <c r="BX30" t="s" s="0">
        <v>122</v>
      </c>
    </row>
    <row r="31">
      <c r="A31" t="s" s="0">
        <v>77</v>
      </c>
      <c r="B31" t="s" s="0">
        <v>77</v>
      </c>
      <c r="C31" t="s" s="0">
        <v>77</v>
      </c>
      <c r="D31" t="s" s="0">
        <v>77</v>
      </c>
      <c r="E31" t="s" s="0">
        <v>933</v>
      </c>
      <c r="F31" t="s" s="0">
        <v>934</v>
      </c>
      <c r="G31" t="s" s="0">
        <v>935</v>
      </c>
      <c r="H31" t="s" s="0">
        <v>81</v>
      </c>
      <c r="I31" t="s" s="0">
        <v>218</v>
      </c>
      <c r="J31" t="s" s="0">
        <v>936</v>
      </c>
      <c r="K31" t="s" s="0">
        <v>937</v>
      </c>
      <c r="L31" t="s" s="0">
        <v>81</v>
      </c>
      <c r="M31" t="s" s="0">
        <v>81</v>
      </c>
      <c r="N31" t="s" s="0">
        <v>81</v>
      </c>
      <c r="O31" t="s" s="0">
        <v>938</v>
      </c>
      <c r="P31" t="s" s="0">
        <v>939</v>
      </c>
      <c r="Q31" t="s" s="0">
        <v>90</v>
      </c>
      <c r="R31" t="s" s="0">
        <v>81</v>
      </c>
      <c r="S31" t="s" s="0">
        <v>81</v>
      </c>
      <c r="T31" t="s" s="0">
        <v>81</v>
      </c>
      <c r="U31" t="s" s="0">
        <v>81</v>
      </c>
      <c r="V31" t="s" s="0">
        <v>940</v>
      </c>
      <c r="W31" t="s" s="0">
        <v>921</v>
      </c>
      <c r="X31" t="s" s="0">
        <v>81</v>
      </c>
      <c r="Y31" t="s" s="0">
        <v>81</v>
      </c>
      <c r="Z31" t="s" s="0">
        <v>93</v>
      </c>
      <c r="AA31" t="s" s="0">
        <v>94</v>
      </c>
      <c r="AB31" t="s" s="0">
        <v>81</v>
      </c>
      <c r="AC31" t="s" s="0">
        <v>81</v>
      </c>
      <c r="AD31" t="s" s="0">
        <v>81</v>
      </c>
      <c r="AE31" t="s" s="0">
        <v>81</v>
      </c>
      <c r="AF31" t="s" s="0">
        <v>81</v>
      </c>
      <c r="AG31" t="s" s="0">
        <v>941</v>
      </c>
      <c r="AH31" t="s" s="0">
        <v>942</v>
      </c>
      <c r="AI31" t="s" s="0">
        <v>943</v>
      </c>
      <c r="AJ31" t="s" s="0">
        <v>81</v>
      </c>
      <c r="AK31" t="s" s="0">
        <v>81</v>
      </c>
      <c r="AL31" t="s" s="0">
        <v>944</v>
      </c>
      <c r="AM31" t="s" s="0">
        <v>77</v>
      </c>
      <c r="AN31" t="s" s="0">
        <v>77</v>
      </c>
      <c r="AO31" t="s" s="0">
        <v>169</v>
      </c>
      <c r="AP31" t="s" s="0">
        <v>169</v>
      </c>
      <c r="AQ31" t="s" s="0">
        <v>137</v>
      </c>
      <c r="AR31" t="s" s="0">
        <v>138</v>
      </c>
      <c r="AS31" t="s" s="0">
        <v>139</v>
      </c>
      <c r="AT31" t="s" s="0">
        <v>81</v>
      </c>
      <c r="AU31" t="s" s="0">
        <v>925</v>
      </c>
      <c r="AV31" t="s" s="0">
        <v>81</v>
      </c>
      <c r="AW31" t="s" s="0">
        <v>921</v>
      </c>
      <c r="AX31" t="s" s="0">
        <v>926</v>
      </c>
      <c r="AY31" t="s" s="0">
        <v>945</v>
      </c>
      <c r="AZ31" t="s" s="0">
        <v>144</v>
      </c>
      <c r="BA31" t="s" s="0">
        <v>946</v>
      </c>
      <c r="BB31" t="s" s="0">
        <v>101</v>
      </c>
      <c r="BC31" t="s" s="0">
        <v>81</v>
      </c>
      <c r="BD31" t="s" s="0">
        <v>81</v>
      </c>
      <c r="BE31" t="s" s="0">
        <v>81</v>
      </c>
      <c r="BF31" t="s" s="0">
        <v>81</v>
      </c>
      <c r="BG31" t="s" s="0">
        <v>81</v>
      </c>
      <c r="BH31" t="s" s="0">
        <v>81</v>
      </c>
      <c r="BI31" t="s" s="0">
        <v>947</v>
      </c>
      <c r="BJ31" t="s" s="0">
        <v>948</v>
      </c>
      <c r="BK31" t="s" s="59">
        <f>HYPERLINK("http://dx.doi.org/10.3390/info17030258","http://dx.doi.org/10.3390/info17030258")</f>
        <v>949</v>
      </c>
      <c r="BL31" t="s" s="0">
        <v>81</v>
      </c>
      <c r="BM31" t="s" s="0">
        <v>81</v>
      </c>
      <c r="BN31" t="s" s="0">
        <v>320</v>
      </c>
      <c r="BO31" t="s" s="0">
        <v>930</v>
      </c>
      <c r="BP31" t="s" s="0">
        <v>303</v>
      </c>
      <c r="BQ31" t="s" s="0">
        <v>950</v>
      </c>
      <c r="BR31" t="s" s="0">
        <v>81</v>
      </c>
      <c r="BS31" t="s" s="0">
        <v>951</v>
      </c>
      <c r="BT31" t="s" s="60">
        <f>HYPERLINK("https://www.webofscience.com/wos/woscc/full-record/WOS:001725649900001","View Record in Web of Science")</f>
        <v>120</v>
      </c>
      <c r="BU31" t="s" s="0">
        <v>121</v>
      </c>
      <c r="BV31" t="s" s="0">
        <v>81</v>
      </c>
      <c r="BW31" t="s" s="0">
        <v>81</v>
      </c>
      <c r="BX31" t="s" s="0">
        <v>122</v>
      </c>
    </row>
    <row r="32">
      <c r="A32" t="s" s="0">
        <v>77</v>
      </c>
      <c r="B32" t="s" s="0">
        <v>77</v>
      </c>
      <c r="C32" t="s" s="0">
        <v>77</v>
      </c>
      <c r="D32" t="s" s="0">
        <v>77</v>
      </c>
      <c r="E32" t="s" s="0">
        <v>952</v>
      </c>
      <c r="F32" t="s" s="0">
        <v>953</v>
      </c>
      <c r="G32" t="s" s="0">
        <v>954</v>
      </c>
      <c r="H32" t="s" s="0">
        <v>81</v>
      </c>
      <c r="I32" t="s" s="0">
        <v>82</v>
      </c>
      <c r="J32" t="s" s="0">
        <v>955</v>
      </c>
      <c r="K32" t="s" s="0">
        <v>956</v>
      </c>
      <c r="L32" t="s" s="0">
        <v>957</v>
      </c>
      <c r="M32" t="s" s="0">
        <v>958</v>
      </c>
      <c r="N32" t="s" s="0">
        <v>959</v>
      </c>
      <c r="O32" t="s" s="0">
        <v>960</v>
      </c>
      <c r="P32" t="s" s="0">
        <v>961</v>
      </c>
      <c r="Q32" t="s" s="0">
        <v>90</v>
      </c>
      <c r="R32" t="s" s="0">
        <v>81</v>
      </c>
      <c r="S32" t="s" s="0">
        <v>81</v>
      </c>
      <c r="T32" t="s" s="0">
        <v>81</v>
      </c>
      <c r="U32" t="s" s="0">
        <v>81</v>
      </c>
      <c r="V32" t="s" s="0">
        <v>962</v>
      </c>
      <c r="W32" t="s" s="0">
        <v>963</v>
      </c>
      <c r="X32" t="s" s="0">
        <v>81</v>
      </c>
      <c r="Y32" t="s" s="0">
        <v>81</v>
      </c>
      <c r="Z32" t="s" s="0">
        <v>93</v>
      </c>
      <c r="AA32" t="s" s="0">
        <v>94</v>
      </c>
      <c r="AB32" t="s" s="0">
        <v>81</v>
      </c>
      <c r="AC32" t="s" s="0">
        <v>81</v>
      </c>
      <c r="AD32" t="s" s="0">
        <v>81</v>
      </c>
      <c r="AE32" t="s" s="0">
        <v>81</v>
      </c>
      <c r="AF32" t="s" s="0">
        <v>81</v>
      </c>
      <c r="AG32" t="s" s="0">
        <v>964</v>
      </c>
      <c r="AH32" t="s" s="0">
        <v>81</v>
      </c>
      <c r="AI32" t="s" s="0">
        <v>965</v>
      </c>
      <c r="AJ32" t="s" s="0">
        <v>966</v>
      </c>
      <c r="AK32" t="s" s="0">
        <v>81</v>
      </c>
      <c r="AL32" t="s" s="0">
        <v>967</v>
      </c>
      <c r="AM32" t="s" s="0">
        <v>452</v>
      </c>
      <c r="AN32" t="s" s="0">
        <v>452</v>
      </c>
      <c r="AO32" t="s" s="0">
        <v>360</v>
      </c>
      <c r="AP32" t="s" s="0">
        <v>968</v>
      </c>
      <c r="AQ32" t="s" s="0">
        <v>499</v>
      </c>
      <c r="AR32" t="s" s="0">
        <v>969</v>
      </c>
      <c r="AS32" t="s" s="0">
        <v>970</v>
      </c>
      <c r="AT32" t="s" s="0">
        <v>971</v>
      </c>
      <c r="AU32" t="s" s="0">
        <v>972</v>
      </c>
      <c r="AV32" t="s" s="0">
        <v>81</v>
      </c>
      <c r="AW32" t="s" s="0">
        <v>973</v>
      </c>
      <c r="AX32" t="s" s="0">
        <v>974</v>
      </c>
      <c r="AY32" t="s" s="0">
        <v>927</v>
      </c>
      <c r="AZ32" t="s" s="0">
        <v>110</v>
      </c>
      <c r="BA32" t="s" s="0">
        <v>975</v>
      </c>
      <c r="BB32" t="s" s="0">
        <v>554</v>
      </c>
      <c r="BC32" t="s" s="0">
        <v>81</v>
      </c>
      <c r="BD32" t="s" s="0">
        <v>81</v>
      </c>
      <c r="BE32" t="s" s="0">
        <v>81</v>
      </c>
      <c r="BF32" t="s" s="0">
        <v>81</v>
      </c>
      <c r="BG32" t="s" s="0">
        <v>81</v>
      </c>
      <c r="BH32" t="s" s="0">
        <v>81</v>
      </c>
      <c r="BI32" t="s" s="0">
        <v>580</v>
      </c>
      <c r="BJ32" t="s" s="0">
        <v>976</v>
      </c>
      <c r="BK32" t="s" s="61">
        <f>HYPERLINK("http://dx.doi.org/10.1007/s10489-024-05934-9","http://dx.doi.org/10.1007/s10489-024-05934-9")</f>
        <v>977</v>
      </c>
      <c r="BL32" t="s" s="0">
        <v>81</v>
      </c>
      <c r="BM32" t="s" s="0">
        <v>81</v>
      </c>
      <c r="BN32" t="s" s="0">
        <v>438</v>
      </c>
      <c r="BO32" t="s" s="0">
        <v>978</v>
      </c>
      <c r="BP32" t="s" s="0">
        <v>303</v>
      </c>
      <c r="BQ32" t="s" s="0">
        <v>979</v>
      </c>
      <c r="BR32" t="s" s="0">
        <v>81</v>
      </c>
      <c r="BS32" t="s" s="0">
        <v>980</v>
      </c>
      <c r="BT32" t="s" s="62">
        <f>HYPERLINK("https://www.webofscience.com/wos/woscc/full-record/WOS:001372650800004","View Record in Web of Science")</f>
        <v>120</v>
      </c>
      <c r="BU32" t="s" s="0">
        <v>81</v>
      </c>
      <c r="BV32" t="s" s="0">
        <v>81</v>
      </c>
      <c r="BW32" t="s" s="0">
        <v>81</v>
      </c>
      <c r="BX32" t="s" s="0">
        <v>122</v>
      </c>
    </row>
    <row r="33">
      <c r="A33" t="s" s="0">
        <v>77</v>
      </c>
      <c r="B33" t="s" s="0">
        <v>77</v>
      </c>
      <c r="C33" t="s" s="0">
        <v>77</v>
      </c>
      <c r="D33" t="s" s="0">
        <v>77</v>
      </c>
      <c r="E33" t="s" s="0">
        <v>981</v>
      </c>
      <c r="F33" t="s" s="0">
        <v>982</v>
      </c>
      <c r="G33" t="s" s="0">
        <v>983</v>
      </c>
      <c r="H33" t="s" s="0">
        <v>81</v>
      </c>
      <c r="I33" t="s" s="0">
        <v>82</v>
      </c>
      <c r="J33" t="s" s="0">
        <v>984</v>
      </c>
      <c r="K33" t="s" s="0">
        <v>985</v>
      </c>
      <c r="L33" t="s" s="0">
        <v>986</v>
      </c>
      <c r="M33" t="s" s="0">
        <v>987</v>
      </c>
      <c r="N33" t="s" s="0">
        <v>988</v>
      </c>
      <c r="O33" t="s" s="0">
        <v>989</v>
      </c>
      <c r="P33" t="s" s="0">
        <v>990</v>
      </c>
      <c r="Q33" t="s" s="0">
        <v>90</v>
      </c>
      <c r="R33" t="s" s="0">
        <v>81</v>
      </c>
      <c r="S33" t="s" s="0">
        <v>81</v>
      </c>
      <c r="T33" t="s" s="0">
        <v>81</v>
      </c>
      <c r="U33" t="s" s="0">
        <v>81</v>
      </c>
      <c r="V33" t="s" s="0">
        <v>991</v>
      </c>
      <c r="W33" t="s" s="0">
        <v>992</v>
      </c>
      <c r="X33" t="s" s="0">
        <v>81</v>
      </c>
      <c r="Y33" t="s" s="0">
        <v>81</v>
      </c>
      <c r="Z33" t="s" s="0">
        <v>93</v>
      </c>
      <c r="AA33" t="s" s="0">
        <v>94</v>
      </c>
      <c r="AB33" t="s" s="0">
        <v>81</v>
      </c>
      <c r="AC33" t="s" s="0">
        <v>81</v>
      </c>
      <c r="AD33" t="s" s="0">
        <v>81</v>
      </c>
      <c r="AE33" t="s" s="0">
        <v>81</v>
      </c>
      <c r="AF33" t="s" s="0">
        <v>81</v>
      </c>
      <c r="AG33" t="s" s="0">
        <v>993</v>
      </c>
      <c r="AH33" t="s" s="0">
        <v>81</v>
      </c>
      <c r="AI33" t="s" s="0">
        <v>81</v>
      </c>
      <c r="AJ33" t="s" s="0">
        <v>81</v>
      </c>
      <c r="AK33" t="s" s="0">
        <v>81</v>
      </c>
      <c r="AL33" t="s" s="0">
        <v>351</v>
      </c>
      <c r="AM33" t="s" s="0">
        <v>169</v>
      </c>
      <c r="AN33" t="s" s="0">
        <v>169</v>
      </c>
      <c r="AO33" t="s" s="0">
        <v>554</v>
      </c>
      <c r="AP33" t="s" s="0">
        <v>554</v>
      </c>
      <c r="AQ33" t="s" s="0">
        <v>994</v>
      </c>
      <c r="AR33" t="s" s="0">
        <v>995</v>
      </c>
      <c r="AS33" t="s" s="0">
        <v>996</v>
      </c>
      <c r="AT33" t="s" s="0">
        <v>997</v>
      </c>
      <c r="AU33" t="s" s="0">
        <v>998</v>
      </c>
      <c r="AV33" t="s" s="0">
        <v>81</v>
      </c>
      <c r="AW33" t="s" s="0">
        <v>999</v>
      </c>
      <c r="AX33" t="s" s="0">
        <v>1000</v>
      </c>
      <c r="AY33" t="s" s="0">
        <v>1001</v>
      </c>
      <c r="AZ33" t="s" s="0">
        <v>144</v>
      </c>
      <c r="BA33" t="s" s="0">
        <v>1002</v>
      </c>
      <c r="BB33" t="s" s="0">
        <v>210</v>
      </c>
      <c r="BC33" t="s" s="0">
        <v>81</v>
      </c>
      <c r="BD33" t="s" s="0">
        <v>81</v>
      </c>
      <c r="BE33" t="s" s="0">
        <v>81</v>
      </c>
      <c r="BF33" t="s" s="0">
        <v>81</v>
      </c>
      <c r="BG33" t="s" s="0">
        <v>1003</v>
      </c>
      <c r="BH33" t="s" s="0">
        <v>1004</v>
      </c>
      <c r="BI33" t="s" s="0">
        <v>81</v>
      </c>
      <c r="BJ33" t="s" s="0">
        <v>1005</v>
      </c>
      <c r="BK33" t="s" s="63">
        <f>HYPERLINK("http://dx.doi.org/10.1080/09553002.2026.2654427","http://dx.doi.org/10.1080/09553002.2026.2654427")</f>
        <v>1006</v>
      </c>
      <c r="BL33" t="s" s="0">
        <v>81</v>
      </c>
      <c r="BM33" t="s" s="0">
        <v>209</v>
      </c>
      <c r="BN33" t="s" s="0">
        <v>946</v>
      </c>
      <c r="BO33" t="s" s="0">
        <v>1007</v>
      </c>
      <c r="BP33" t="s" s="0">
        <v>1008</v>
      </c>
      <c r="BQ33" t="s" s="0">
        <v>1009</v>
      </c>
      <c r="BR33" t="s" s="0">
        <v>1010</v>
      </c>
      <c r="BS33" t="s" s="0">
        <v>1011</v>
      </c>
      <c r="BT33" t="s" s="64">
        <f>HYPERLINK("https://www.webofscience.com/wos/woscc/full-record/WOS:001751567300001","View Record in Web of Science")</f>
        <v>120</v>
      </c>
      <c r="BU33" t="s" s="0">
        <v>81</v>
      </c>
      <c r="BV33" t="s" s="0">
        <v>81</v>
      </c>
      <c r="BW33" t="s" s="0">
        <v>81</v>
      </c>
      <c r="BX33" t="s" s="0">
        <v>122</v>
      </c>
    </row>
    <row r="34">
      <c r="A34" t="s" s="0">
        <v>77</v>
      </c>
      <c r="B34" t="s" s="0">
        <v>77</v>
      </c>
      <c r="C34" t="s" s="0">
        <v>169</v>
      </c>
      <c r="D34" t="s" s="0">
        <v>77</v>
      </c>
      <c r="E34" t="s" s="0">
        <v>1012</v>
      </c>
      <c r="F34" t="s" s="0">
        <v>1013</v>
      </c>
      <c r="G34" t="s" s="0">
        <v>1014</v>
      </c>
      <c r="H34" t="s" s="0">
        <v>81</v>
      </c>
      <c r="I34" t="s" s="0">
        <v>218</v>
      </c>
      <c r="J34" t="s" s="0">
        <v>1015</v>
      </c>
      <c r="K34" t="s" s="0">
        <v>1016</v>
      </c>
      <c r="L34" t="s" s="0">
        <v>81</v>
      </c>
      <c r="M34" t="s" s="0">
        <v>81</v>
      </c>
      <c r="N34" t="s" s="0">
        <v>81</v>
      </c>
      <c r="O34" t="s" s="0">
        <v>1017</v>
      </c>
      <c r="P34" t="s" s="0">
        <v>1018</v>
      </c>
      <c r="Q34" t="s" s="0">
        <v>90</v>
      </c>
      <c r="R34" t="s" s="0">
        <v>81</v>
      </c>
      <c r="S34" t="s" s="0">
        <v>81</v>
      </c>
      <c r="T34" t="s" s="0">
        <v>81</v>
      </c>
      <c r="U34" t="s" s="0">
        <v>81</v>
      </c>
      <c r="V34" t="s" s="0">
        <v>1019</v>
      </c>
      <c r="W34" t="s" s="0">
        <v>1020</v>
      </c>
      <c r="X34" t="s" s="0">
        <v>81</v>
      </c>
      <c r="Y34" t="s" s="0">
        <v>81</v>
      </c>
      <c r="Z34" t="s" s="0">
        <v>93</v>
      </c>
      <c r="AA34" t="s" s="0">
        <v>94</v>
      </c>
      <c r="AB34" t="s" s="0">
        <v>81</v>
      </c>
      <c r="AC34" t="s" s="0">
        <v>81</v>
      </c>
      <c r="AD34" t="s" s="0">
        <v>81</v>
      </c>
      <c r="AE34" t="s" s="0">
        <v>81</v>
      </c>
      <c r="AF34" t="s" s="0">
        <v>81</v>
      </c>
      <c r="AG34" t="s" s="0">
        <v>1021</v>
      </c>
      <c r="AH34" t="s" s="0">
        <v>1022</v>
      </c>
      <c r="AI34" t="s" s="0">
        <v>1023</v>
      </c>
      <c r="AJ34" t="s" s="0">
        <v>81</v>
      </c>
      <c r="AK34" t="s" s="0">
        <v>81</v>
      </c>
      <c r="AL34" t="s" s="0">
        <v>1024</v>
      </c>
      <c r="AM34" t="s" s="0">
        <v>169</v>
      </c>
      <c r="AN34" t="s" s="0">
        <v>554</v>
      </c>
      <c r="AO34" t="s" s="0">
        <v>77</v>
      </c>
      <c r="AP34" t="s" s="0">
        <v>77</v>
      </c>
      <c r="AQ34" t="s" s="0">
        <v>353</v>
      </c>
      <c r="AR34" t="s" s="0">
        <v>354</v>
      </c>
      <c r="AS34" t="s" s="0">
        <v>355</v>
      </c>
      <c r="AT34" t="s" s="0">
        <v>81</v>
      </c>
      <c r="AU34" t="s" s="0">
        <v>1025</v>
      </c>
      <c r="AV34" t="s" s="0">
        <v>81</v>
      </c>
      <c r="AW34" t="s" s="0">
        <v>1026</v>
      </c>
      <c r="AX34" t="s" s="0">
        <v>1027</v>
      </c>
      <c r="AY34" t="s" s="0">
        <v>1028</v>
      </c>
      <c r="AZ34" t="s" s="0">
        <v>144</v>
      </c>
      <c r="BA34" t="s" s="0">
        <v>210</v>
      </c>
      <c r="BB34" t="s" s="0">
        <v>81</v>
      </c>
      <c r="BC34" t="s" s="0">
        <v>81</v>
      </c>
      <c r="BD34" t="s" s="0">
        <v>81</v>
      </c>
      <c r="BE34" t="s" s="0">
        <v>81</v>
      </c>
      <c r="BF34" t="s" s="0">
        <v>81</v>
      </c>
      <c r="BG34" t="s" s="0">
        <v>81</v>
      </c>
      <c r="BH34" t="s" s="0">
        <v>81</v>
      </c>
      <c r="BI34" t="s" s="0">
        <v>1029</v>
      </c>
      <c r="BJ34" t="s" s="0">
        <v>1030</v>
      </c>
      <c r="BK34" t="s" s="65">
        <f>HYPERLINK("http://dx.doi.org/10.3389/fdgth.2026.1767648","http://dx.doi.org/10.3389/fdgth.2026.1767648")</f>
        <v>1031</v>
      </c>
      <c r="BL34" t="s" s="0">
        <v>81</v>
      </c>
      <c r="BM34" t="s" s="0">
        <v>81</v>
      </c>
      <c r="BN34" t="s" s="0">
        <v>386</v>
      </c>
      <c r="BO34" t="s" s="0">
        <v>116</v>
      </c>
      <c r="BP34" t="s" s="0">
        <v>116</v>
      </c>
      <c r="BQ34" t="s" s="0">
        <v>1032</v>
      </c>
      <c r="BR34" t="s" s="0">
        <v>1033</v>
      </c>
      <c r="BS34" t="s" s="0">
        <v>1034</v>
      </c>
      <c r="BT34" t="s" s="66">
        <f>HYPERLINK("https://www.webofscience.com/wos/woscc/full-record/WOS:001715628300001","View Record in Web of Science")</f>
        <v>120</v>
      </c>
      <c r="BU34" t="s" s="0">
        <v>121</v>
      </c>
      <c r="BV34" t="s" s="0">
        <v>81</v>
      </c>
      <c r="BW34" t="s" s="0">
        <v>81</v>
      </c>
      <c r="BX34" t="s" s="0">
        <v>122</v>
      </c>
    </row>
    <row r="35">
      <c r="A35" t="s" s="0">
        <v>77</v>
      </c>
      <c r="B35" t="s" s="0">
        <v>77</v>
      </c>
      <c r="C35" t="s" s="0">
        <v>100</v>
      </c>
      <c r="D35" t="s" s="0">
        <v>77</v>
      </c>
      <c r="E35" t="s" s="0">
        <v>1035</v>
      </c>
      <c r="F35" t="s" s="0">
        <v>1036</v>
      </c>
      <c r="G35" t="s" s="0">
        <v>1037</v>
      </c>
      <c r="H35" t="s" s="0">
        <v>81</v>
      </c>
      <c r="I35" t="s" s="0">
        <v>82</v>
      </c>
      <c r="J35" t="s" s="0">
        <v>1038</v>
      </c>
      <c r="K35" t="s" s="0">
        <v>1039</v>
      </c>
      <c r="L35" t="s" s="0">
        <v>81</v>
      </c>
      <c r="M35" t="s" s="0">
        <v>81</v>
      </c>
      <c r="N35" t="s" s="0">
        <v>81</v>
      </c>
      <c r="O35" t="s" s="0">
        <v>1040</v>
      </c>
      <c r="P35" t="s" s="0">
        <v>1041</v>
      </c>
      <c r="Q35" t="s" s="0">
        <v>90</v>
      </c>
      <c r="R35" t="s" s="0">
        <v>81</v>
      </c>
      <c r="S35" t="s" s="0">
        <v>81</v>
      </c>
      <c r="T35" t="s" s="0">
        <v>81</v>
      </c>
      <c r="U35" t="s" s="0">
        <v>81</v>
      </c>
      <c r="V35" t="s" s="0">
        <v>1042</v>
      </c>
      <c r="W35" t="s" s="0">
        <v>1043</v>
      </c>
      <c r="X35" t="s" s="0">
        <v>81</v>
      </c>
      <c r="Y35" t="s" s="0">
        <v>81</v>
      </c>
      <c r="Z35" t="s" s="0">
        <v>93</v>
      </c>
      <c r="AA35" t="s" s="0">
        <v>94</v>
      </c>
      <c r="AB35" t="s" s="0">
        <v>81</v>
      </c>
      <c r="AC35" t="s" s="0">
        <v>81</v>
      </c>
      <c r="AD35" t="s" s="0">
        <v>81</v>
      </c>
      <c r="AE35" t="s" s="0">
        <v>81</v>
      </c>
      <c r="AF35" t="s" s="0">
        <v>81</v>
      </c>
      <c r="AG35" t="s" s="0">
        <v>81</v>
      </c>
      <c r="AH35" t="s" s="0">
        <v>1044</v>
      </c>
      <c r="AI35" t="s" s="0">
        <v>1045</v>
      </c>
      <c r="AJ35" t="s" s="0">
        <v>1046</v>
      </c>
      <c r="AK35" t="s" s="0">
        <v>81</v>
      </c>
      <c r="AL35" t="s" s="0">
        <v>582</v>
      </c>
      <c r="AM35" t="s" s="0">
        <v>1047</v>
      </c>
      <c r="AN35" t="s" s="0">
        <v>1048</v>
      </c>
      <c r="AO35" t="s" s="0">
        <v>210</v>
      </c>
      <c r="AP35" t="s" s="0">
        <v>319</v>
      </c>
      <c r="AQ35" t="s" s="0">
        <v>1049</v>
      </c>
      <c r="AR35" t="s" s="0">
        <v>1050</v>
      </c>
      <c r="AS35" t="s" s="0">
        <v>1051</v>
      </c>
      <c r="AT35" t="s" s="0">
        <v>1052</v>
      </c>
      <c r="AU35" t="s" s="0">
        <v>1053</v>
      </c>
      <c r="AV35" t="s" s="0">
        <v>81</v>
      </c>
      <c r="AW35" t="s" s="0">
        <v>1054</v>
      </c>
      <c r="AX35" t="s" s="0">
        <v>1055</v>
      </c>
      <c r="AY35" t="s" s="0">
        <v>1056</v>
      </c>
      <c r="AZ35" t="s" s="0">
        <v>110</v>
      </c>
      <c r="BA35" t="s" s="0">
        <v>1057</v>
      </c>
      <c r="BB35" t="s" s="0">
        <v>386</v>
      </c>
      <c r="BC35" t="s" s="0">
        <v>81</v>
      </c>
      <c r="BD35" t="s" s="0">
        <v>81</v>
      </c>
      <c r="BE35" t="s" s="0">
        <v>81</v>
      </c>
      <c r="BF35" t="s" s="0">
        <v>81</v>
      </c>
      <c r="BG35" t="s" s="0">
        <v>1058</v>
      </c>
      <c r="BH35" t="s" s="0">
        <v>1059</v>
      </c>
      <c r="BI35" t="s" s="0">
        <v>81</v>
      </c>
      <c r="BJ35" t="s" s="0">
        <v>1060</v>
      </c>
      <c r="BK35" t="s" s="67">
        <f>HYPERLINK("http://dx.doi.org/10.1001/jamainternmed.2025.0821","http://dx.doi.org/10.1001/jamainternmed.2025.0821")</f>
        <v>1061</v>
      </c>
      <c r="BL35" t="s" s="0">
        <v>81</v>
      </c>
      <c r="BM35" t="s" s="0">
        <v>1062</v>
      </c>
      <c r="BN35" t="s" s="0">
        <v>210</v>
      </c>
      <c r="BO35" t="s" s="0">
        <v>149</v>
      </c>
      <c r="BP35" t="s" s="0">
        <v>150</v>
      </c>
      <c r="BQ35" t="s" s="0">
        <v>1063</v>
      </c>
      <c r="BR35" t="s" s="0">
        <v>1064</v>
      </c>
      <c r="BS35" t="s" s="0">
        <v>1065</v>
      </c>
      <c r="BT35" t="s" s="68">
        <f>HYPERLINK("https://www.webofscience.com/wos/woscc/full-record/WOS:001484653600001","View Record in Web of Science")</f>
        <v>120</v>
      </c>
      <c r="BU35" t="s" s="0">
        <v>805</v>
      </c>
      <c r="BV35" t="s" s="0">
        <v>602</v>
      </c>
      <c r="BW35" t="s" s="0">
        <v>603</v>
      </c>
      <c r="BX35" t="s" s="0">
        <v>122</v>
      </c>
    </row>
    <row r="36">
      <c r="A36" t="s" s="0">
        <v>77</v>
      </c>
      <c r="B36" t="s" s="0">
        <v>77</v>
      </c>
      <c r="C36" t="s" s="0">
        <v>169</v>
      </c>
      <c r="D36" t="s" s="0">
        <v>77</v>
      </c>
      <c r="E36" t="s" s="0">
        <v>1066</v>
      </c>
      <c r="F36" t="s" s="0">
        <v>1067</v>
      </c>
      <c r="G36" t="s" s="0">
        <v>1068</v>
      </c>
      <c r="H36" t="s" s="0">
        <v>81</v>
      </c>
      <c r="I36" t="s" s="0">
        <v>82</v>
      </c>
      <c r="J36" t="s" s="0">
        <v>1069</v>
      </c>
      <c r="K36" t="s" s="0">
        <v>1070</v>
      </c>
      <c r="L36" t="s" s="0">
        <v>1071</v>
      </c>
      <c r="M36" t="s" s="0">
        <v>1072</v>
      </c>
      <c r="N36" t="s" s="0">
        <v>1073</v>
      </c>
      <c r="O36" t="s" s="0">
        <v>1074</v>
      </c>
      <c r="P36" t="s" s="0">
        <v>1075</v>
      </c>
      <c r="Q36" t="s" s="0">
        <v>90</v>
      </c>
      <c r="R36" t="s" s="0">
        <v>81</v>
      </c>
      <c r="S36" t="s" s="0">
        <v>81</v>
      </c>
      <c r="T36" t="s" s="0">
        <v>81</v>
      </c>
      <c r="U36" t="s" s="0">
        <v>81</v>
      </c>
      <c r="V36" t="s" s="0">
        <v>1076</v>
      </c>
      <c r="W36" t="s" s="0">
        <v>1077</v>
      </c>
      <c r="X36" t="s" s="0">
        <v>81</v>
      </c>
      <c r="Y36" t="s" s="0">
        <v>81</v>
      </c>
      <c r="Z36" t="s" s="0">
        <v>93</v>
      </c>
      <c r="AA36" t="s" s="0">
        <v>94</v>
      </c>
      <c r="AB36" t="s" s="0">
        <v>81</v>
      </c>
      <c r="AC36" t="s" s="0">
        <v>81</v>
      </c>
      <c r="AD36" t="s" s="0">
        <v>81</v>
      </c>
      <c r="AE36" t="s" s="0">
        <v>81</v>
      </c>
      <c r="AF36" t="s" s="0">
        <v>81</v>
      </c>
      <c r="AG36" t="s" s="0">
        <v>81</v>
      </c>
      <c r="AH36" t="s" s="0">
        <v>1078</v>
      </c>
      <c r="AI36" t="s" s="0">
        <v>1079</v>
      </c>
      <c r="AJ36" t="s" s="0">
        <v>1080</v>
      </c>
      <c r="AK36" t="s" s="0">
        <v>81</v>
      </c>
      <c r="AL36" t="s" s="0">
        <v>412</v>
      </c>
      <c r="AM36" t="s" s="0">
        <v>102</v>
      </c>
      <c r="AN36" t="s" s="0">
        <v>360</v>
      </c>
      <c r="AO36" t="s" s="0">
        <v>115</v>
      </c>
      <c r="AP36" t="s" s="0">
        <v>199</v>
      </c>
      <c r="AQ36" t="s" s="0">
        <v>321</v>
      </c>
      <c r="AR36" t="s" s="0">
        <v>322</v>
      </c>
      <c r="AS36" t="s" s="0">
        <v>323</v>
      </c>
      <c r="AT36" t="s" s="0">
        <v>1081</v>
      </c>
      <c r="AU36" t="s" s="0">
        <v>81</v>
      </c>
      <c r="AV36" t="s" s="0">
        <v>81</v>
      </c>
      <c r="AW36" t="s" s="0">
        <v>1082</v>
      </c>
      <c r="AX36" t="s" s="0">
        <v>1083</v>
      </c>
      <c r="AY36" t="s" s="0">
        <v>295</v>
      </c>
      <c r="AZ36" t="s" s="0">
        <v>144</v>
      </c>
      <c r="BA36" t="s" s="0">
        <v>102</v>
      </c>
      <c r="BB36" t="s" s="0">
        <v>100</v>
      </c>
      <c r="BC36" t="s" s="0">
        <v>81</v>
      </c>
      <c r="BD36" t="s" s="0">
        <v>81</v>
      </c>
      <c r="BE36" t="s" s="0">
        <v>81</v>
      </c>
      <c r="BF36" t="s" s="0">
        <v>81</v>
      </c>
      <c r="BG36" t="s" s="0">
        <v>81</v>
      </c>
      <c r="BH36" t="s" s="0">
        <v>81</v>
      </c>
      <c r="BI36" t="s" s="0">
        <v>81</v>
      </c>
      <c r="BJ36" t="s" s="0">
        <v>1084</v>
      </c>
      <c r="BK36" t="s" s="69">
        <f>HYPERLINK("http://dx.doi.org/10.1038/s41551-025-01471-z","http://dx.doi.org/10.1038/s41551-025-01471-z")</f>
        <v>1085</v>
      </c>
      <c r="BL36" t="s" s="0">
        <v>81</v>
      </c>
      <c r="BM36" t="s" s="0">
        <v>666</v>
      </c>
      <c r="BN36" t="s" s="0">
        <v>445</v>
      </c>
      <c r="BO36" t="s" s="0">
        <v>1086</v>
      </c>
      <c r="BP36" t="s" s="0">
        <v>1087</v>
      </c>
      <c r="BQ36" t="s" s="0">
        <v>1088</v>
      </c>
      <c r="BR36" t="s" s="0">
        <v>1089</v>
      </c>
      <c r="BS36" t="s" s="0">
        <v>1090</v>
      </c>
      <c r="BT36" t="s" s="70">
        <f>HYPERLINK("https://www.webofscience.com/wos/woscc/full-record/WOS:001576814500001","View Record in Web of Science")</f>
        <v>120</v>
      </c>
      <c r="BU36" t="s" s="0">
        <v>186</v>
      </c>
      <c r="BV36" t="s" s="0">
        <v>81</v>
      </c>
      <c r="BW36" t="s" s="0">
        <v>81</v>
      </c>
      <c r="BX36" t="s" s="0">
        <v>122</v>
      </c>
    </row>
    <row r="37">
      <c r="A37" t="s" s="0">
        <v>99</v>
      </c>
      <c r="B37" t="s" s="0">
        <v>77</v>
      </c>
      <c r="C37" t="s" s="0">
        <v>169</v>
      </c>
      <c r="D37" t="s" s="0">
        <v>77</v>
      </c>
      <c r="E37" t="s" s="0">
        <v>1091</v>
      </c>
      <c r="F37" t="s" s="0">
        <v>1092</v>
      </c>
      <c r="G37" t="s" s="0">
        <v>1093</v>
      </c>
      <c r="H37" t="s" s="0">
        <v>81</v>
      </c>
      <c r="I37" t="s" s="0">
        <v>82</v>
      </c>
      <c r="J37" t="s" s="0">
        <v>1094</v>
      </c>
      <c r="K37" t="s" s="0">
        <v>1095</v>
      </c>
      <c r="L37" t="s" s="0">
        <v>1096</v>
      </c>
      <c r="M37" t="s" s="0">
        <v>1097</v>
      </c>
      <c r="N37" t="s" s="0">
        <v>1098</v>
      </c>
      <c r="O37" t="s" s="0">
        <v>1099</v>
      </c>
      <c r="P37" t="s" s="0">
        <v>1100</v>
      </c>
      <c r="Q37" t="s" s="0">
        <v>90</v>
      </c>
      <c r="R37" t="s" s="0">
        <v>81</v>
      </c>
      <c r="S37" t="s" s="0">
        <v>81</v>
      </c>
      <c r="T37" t="s" s="0">
        <v>81</v>
      </c>
      <c r="U37" t="s" s="0">
        <v>81</v>
      </c>
      <c r="V37" t="s" s="0">
        <v>1101</v>
      </c>
      <c r="W37" t="s" s="0">
        <v>1102</v>
      </c>
      <c r="X37" t="s" s="0">
        <v>81</v>
      </c>
      <c r="Y37" t="s" s="0">
        <v>81</v>
      </c>
      <c r="Z37" t="s" s="0">
        <v>93</v>
      </c>
      <c r="AA37" t="s" s="0">
        <v>94</v>
      </c>
      <c r="AB37" t="s" s="0">
        <v>81</v>
      </c>
      <c r="AC37" t="s" s="0">
        <v>81</v>
      </c>
      <c r="AD37" t="s" s="0">
        <v>81</v>
      </c>
      <c r="AE37" t="s" s="0">
        <v>81</v>
      </c>
      <c r="AF37" t="s" s="0">
        <v>81</v>
      </c>
      <c r="AG37" t="s" s="0">
        <v>1103</v>
      </c>
      <c r="AH37" t="s" s="0">
        <v>81</v>
      </c>
      <c r="AI37" t="s" s="0">
        <v>1104</v>
      </c>
      <c r="AJ37" t="s" s="0">
        <v>1105</v>
      </c>
      <c r="AK37" t="s" s="0">
        <v>81</v>
      </c>
      <c r="AL37" t="s" s="0">
        <v>1106</v>
      </c>
      <c r="AM37" t="s" s="0">
        <v>199</v>
      </c>
      <c r="AN37" t="s" s="0">
        <v>583</v>
      </c>
      <c r="AO37" t="s" s="0">
        <v>509</v>
      </c>
      <c r="AP37" t="s" s="0">
        <v>1107</v>
      </c>
      <c r="AQ37" t="s" s="0">
        <v>288</v>
      </c>
      <c r="AR37" t="s" s="0">
        <v>289</v>
      </c>
      <c r="AS37" t="s" s="0">
        <v>290</v>
      </c>
      <c r="AT37" t="s" s="0">
        <v>1108</v>
      </c>
      <c r="AU37" t="s" s="0">
        <v>1109</v>
      </c>
      <c r="AV37" t="s" s="0">
        <v>81</v>
      </c>
      <c r="AW37" t="s" s="0">
        <v>1110</v>
      </c>
      <c r="AX37" t="s" s="0">
        <v>1111</v>
      </c>
      <c r="AY37" t="s" s="0">
        <v>1112</v>
      </c>
      <c r="AZ37" t="s" s="0">
        <v>110</v>
      </c>
      <c r="BA37" t="s" s="0">
        <v>1113</v>
      </c>
      <c r="BB37" t="s" s="0">
        <v>81</v>
      </c>
      <c r="BC37" t="s" s="0">
        <v>81</v>
      </c>
      <c r="BD37" t="s" s="0">
        <v>81</v>
      </c>
      <c r="BE37" t="s" s="0">
        <v>81</v>
      </c>
      <c r="BF37" t="s" s="0">
        <v>81</v>
      </c>
      <c r="BG37" t="s" s="0">
        <v>81</v>
      </c>
      <c r="BH37" t="s" s="0">
        <v>81</v>
      </c>
      <c r="BI37" t="s" s="0">
        <v>1114</v>
      </c>
      <c r="BJ37" t="s" s="0">
        <v>1115</v>
      </c>
      <c r="BK37" t="s" s="71">
        <f>HYPERLINK("http://dx.doi.org/10.1016/j.knosys.2024.112837","http://dx.doi.org/10.1016/j.knosys.2024.112837")</f>
        <v>1116</v>
      </c>
      <c r="BL37" t="s" s="0">
        <v>81</v>
      </c>
      <c r="BM37" t="s" s="0">
        <v>1117</v>
      </c>
      <c r="BN37" t="s" s="0">
        <v>1118</v>
      </c>
      <c r="BO37" t="s" s="0">
        <v>978</v>
      </c>
      <c r="BP37" t="s" s="0">
        <v>303</v>
      </c>
      <c r="BQ37" t="s" s="0">
        <v>1119</v>
      </c>
      <c r="BR37" t="s" s="0">
        <v>81</v>
      </c>
      <c r="BS37" t="s" s="0">
        <v>1120</v>
      </c>
      <c r="BT37" t="s" s="72">
        <f>HYPERLINK("https://www.webofscience.com/wos/woscc/full-record/WOS:001385563700001","View Record in Web of Science")</f>
        <v>120</v>
      </c>
      <c r="BU37" t="s" s="0">
        <v>81</v>
      </c>
      <c r="BV37" t="s" s="0">
        <v>81</v>
      </c>
      <c r="BW37" t="s" s="0">
        <v>81</v>
      </c>
      <c r="BX37" t="s" s="0">
        <v>122</v>
      </c>
    </row>
    <row r="38">
      <c r="A38" t="s" s="0">
        <v>77</v>
      </c>
      <c r="B38" t="s" s="0">
        <v>77</v>
      </c>
      <c r="C38" t="s" s="0">
        <v>169</v>
      </c>
      <c r="D38" t="s" s="0">
        <v>77</v>
      </c>
      <c r="E38" t="s" s="0">
        <v>1121</v>
      </c>
      <c r="F38" t="s" s="0">
        <v>1122</v>
      </c>
      <c r="G38" t="s" s="0">
        <v>1123</v>
      </c>
      <c r="H38" t="s" s="0">
        <v>81</v>
      </c>
      <c r="I38" t="s" s="0">
        <v>218</v>
      </c>
      <c r="J38" t="s" s="0">
        <v>1124</v>
      </c>
      <c r="K38" t="s" s="0">
        <v>1125</v>
      </c>
      <c r="L38" t="s" s="0">
        <v>1126</v>
      </c>
      <c r="M38" t="s" s="0">
        <v>1127</v>
      </c>
      <c r="N38" t="s" s="0">
        <v>1128</v>
      </c>
      <c r="O38" t="s" s="0">
        <v>1129</v>
      </c>
      <c r="P38" t="s" s="0">
        <v>1130</v>
      </c>
      <c r="Q38" t="s" s="0">
        <v>90</v>
      </c>
      <c r="R38" t="s" s="0">
        <v>81</v>
      </c>
      <c r="S38" t="s" s="0">
        <v>81</v>
      </c>
      <c r="T38" t="s" s="0">
        <v>81</v>
      </c>
      <c r="U38" t="s" s="0">
        <v>81</v>
      </c>
      <c r="V38" t="s" s="0">
        <v>1131</v>
      </c>
      <c r="W38" t="s" s="0">
        <v>817</v>
      </c>
      <c r="X38" t="s" s="0">
        <v>81</v>
      </c>
      <c r="Y38" t="s" s="0">
        <v>81</v>
      </c>
      <c r="Z38" t="s" s="0">
        <v>93</v>
      </c>
      <c r="AA38" t="s" s="0">
        <v>94</v>
      </c>
      <c r="AB38" t="s" s="0">
        <v>81</v>
      </c>
      <c r="AC38" t="s" s="0">
        <v>81</v>
      </c>
      <c r="AD38" t="s" s="0">
        <v>81</v>
      </c>
      <c r="AE38" t="s" s="0">
        <v>81</v>
      </c>
      <c r="AF38" t="s" s="0">
        <v>81</v>
      </c>
      <c r="AG38" t="s" s="0">
        <v>81</v>
      </c>
      <c r="AH38" t="s" s="0">
        <v>1132</v>
      </c>
      <c r="AI38" t="s" s="0">
        <v>1133</v>
      </c>
      <c r="AJ38" t="s" s="0">
        <v>1134</v>
      </c>
      <c r="AK38" t="s" s="0">
        <v>81</v>
      </c>
      <c r="AL38" t="s" s="0">
        <v>1135</v>
      </c>
      <c r="AM38" t="s" s="0">
        <v>210</v>
      </c>
      <c r="AN38" t="s" s="0">
        <v>102</v>
      </c>
      <c r="AO38" t="s" s="0">
        <v>554</v>
      </c>
      <c r="AP38" t="s" s="0">
        <v>554</v>
      </c>
      <c r="AQ38" t="s" s="0">
        <v>821</v>
      </c>
      <c r="AR38" t="s" s="0">
        <v>822</v>
      </c>
      <c r="AS38" t="s" s="0">
        <v>823</v>
      </c>
      <c r="AT38" t="s" s="0">
        <v>81</v>
      </c>
      <c r="AU38" t="s" s="0">
        <v>824</v>
      </c>
      <c r="AV38" t="s" s="0">
        <v>81</v>
      </c>
      <c r="AW38" t="s" s="0">
        <v>825</v>
      </c>
      <c r="AX38" t="s" s="0">
        <v>826</v>
      </c>
      <c r="AY38" t="s" s="0">
        <v>1117</v>
      </c>
      <c r="AZ38" t="s" s="0">
        <v>592</v>
      </c>
      <c r="BA38" t="s" s="0">
        <v>101</v>
      </c>
      <c r="BB38" t="s" s="0">
        <v>360</v>
      </c>
      <c r="BC38" t="s" s="0">
        <v>81</v>
      </c>
      <c r="BD38" t="s" s="0">
        <v>81</v>
      </c>
      <c r="BE38" t="s" s="0">
        <v>81</v>
      </c>
      <c r="BF38" t="s" s="0">
        <v>81</v>
      </c>
      <c r="BG38" t="s" s="0">
        <v>81</v>
      </c>
      <c r="BH38" t="s" s="0">
        <v>81</v>
      </c>
      <c r="BI38" t="s" s="0">
        <v>1136</v>
      </c>
      <c r="BJ38" t="s" s="0">
        <v>1137</v>
      </c>
      <c r="BK38" t="s" s="73">
        <f>HYPERLINK("http://dx.doi.org/10.1371/journal.pdig.0000685","http://dx.doi.org/10.1371/journal.pdig.0000685")</f>
        <v>1138</v>
      </c>
      <c r="BL38" t="s" s="0">
        <v>81</v>
      </c>
      <c r="BM38" t="s" s="0">
        <v>81</v>
      </c>
      <c r="BN38" t="s" s="0">
        <v>265</v>
      </c>
      <c r="BO38" t="s" s="0">
        <v>116</v>
      </c>
      <c r="BP38" t="s" s="0">
        <v>116</v>
      </c>
      <c r="BQ38" t="s" s="0">
        <v>1139</v>
      </c>
      <c r="BR38" t="s" s="0">
        <v>1140</v>
      </c>
      <c r="BS38" t="s" s="0">
        <v>1141</v>
      </c>
      <c r="BT38" t="s" s="74">
        <f>HYPERLINK("https://www.webofscience.com/wos/woscc/full-record/WOS:001416927800001","View Record in Web of Science")</f>
        <v>120</v>
      </c>
      <c r="BU38" t="s" s="0">
        <v>121</v>
      </c>
      <c r="BV38" t="s" s="0">
        <v>81</v>
      </c>
      <c r="BW38" t="s" s="0">
        <v>81</v>
      </c>
      <c r="BX38" t="s" s="0">
        <v>122</v>
      </c>
    </row>
    <row r="39">
      <c r="A39" t="s" s="0">
        <v>77</v>
      </c>
      <c r="B39" t="s" s="0">
        <v>77</v>
      </c>
      <c r="C39" t="s" s="0">
        <v>554</v>
      </c>
      <c r="D39" t="s" s="0">
        <v>77</v>
      </c>
      <c r="E39" t="s" s="0">
        <v>1142</v>
      </c>
      <c r="F39" t="s" s="0">
        <v>1143</v>
      </c>
      <c r="G39" t="s" s="0">
        <v>1144</v>
      </c>
      <c r="H39" t="s" s="0">
        <v>81</v>
      </c>
      <c r="I39" t="s" s="0">
        <v>82</v>
      </c>
      <c r="J39" t="s" s="0">
        <v>1145</v>
      </c>
      <c r="K39" t="s" s="0">
        <v>1146</v>
      </c>
      <c r="L39" t="s" s="0">
        <v>81</v>
      </c>
      <c r="M39" t="s" s="0">
        <v>81</v>
      </c>
      <c r="N39" t="s" s="0">
        <v>81</v>
      </c>
      <c r="O39" t="s" s="0">
        <v>1147</v>
      </c>
      <c r="P39" t="s" s="0">
        <v>1148</v>
      </c>
      <c r="Q39" t="s" s="0">
        <v>90</v>
      </c>
      <c r="R39" t="s" s="0">
        <v>81</v>
      </c>
      <c r="S39" t="s" s="0">
        <v>81</v>
      </c>
      <c r="T39" t="s" s="0">
        <v>81</v>
      </c>
      <c r="U39" t="s" s="0">
        <v>81</v>
      </c>
      <c r="V39" t="s" s="0">
        <v>1149</v>
      </c>
      <c r="W39" t="s" s="0">
        <v>1150</v>
      </c>
      <c r="X39" t="s" s="0">
        <v>81</v>
      </c>
      <c r="Y39" t="s" s="0">
        <v>81</v>
      </c>
      <c r="Z39" t="s" s="0">
        <v>93</v>
      </c>
      <c r="AA39" t="s" s="0">
        <v>94</v>
      </c>
      <c r="AB39" t="s" s="0">
        <v>81</v>
      </c>
      <c r="AC39" t="s" s="0">
        <v>81</v>
      </c>
      <c r="AD39" t="s" s="0">
        <v>81</v>
      </c>
      <c r="AE39" t="s" s="0">
        <v>81</v>
      </c>
      <c r="AF39" t="s" s="0">
        <v>81</v>
      </c>
      <c r="AG39" t="s" s="0">
        <v>1151</v>
      </c>
      <c r="AH39" t="s" s="0">
        <v>81</v>
      </c>
      <c r="AI39" t="s" s="0">
        <v>1152</v>
      </c>
      <c r="AJ39" t="s" s="0">
        <v>1153</v>
      </c>
      <c r="AK39" t="s" s="0">
        <v>81</v>
      </c>
      <c r="AL39" t="s" s="0">
        <v>360</v>
      </c>
      <c r="AM39" t="s" s="0">
        <v>328</v>
      </c>
      <c r="AN39" t="s" s="0">
        <v>102</v>
      </c>
      <c r="AO39" t="s" s="0">
        <v>554</v>
      </c>
      <c r="AP39" t="s" s="0">
        <v>1002</v>
      </c>
      <c r="AQ39" t="s" s="0">
        <v>994</v>
      </c>
      <c r="AR39" t="s" s="0">
        <v>995</v>
      </c>
      <c r="AS39" t="s" s="0">
        <v>996</v>
      </c>
      <c r="AT39" t="s" s="0">
        <v>1154</v>
      </c>
      <c r="AU39" t="s" s="0">
        <v>1155</v>
      </c>
      <c r="AV39" t="s" s="0">
        <v>81</v>
      </c>
      <c r="AW39" t="s" s="0">
        <v>1156</v>
      </c>
      <c r="AX39" t="s" s="0">
        <v>1157</v>
      </c>
      <c r="AY39" t="s" s="0">
        <v>1158</v>
      </c>
      <c r="AZ39" t="s" s="0">
        <v>592</v>
      </c>
      <c r="BA39" t="s" s="0">
        <v>553</v>
      </c>
      <c r="BB39" t="s" s="0">
        <v>554</v>
      </c>
      <c r="BC39" t="s" s="0">
        <v>81</v>
      </c>
      <c r="BD39" t="s" s="0">
        <v>81</v>
      </c>
      <c r="BE39" t="s" s="0">
        <v>81</v>
      </c>
      <c r="BF39" t="s" s="0">
        <v>81</v>
      </c>
      <c r="BG39" t="s" s="0">
        <v>902</v>
      </c>
      <c r="BH39" t="s" s="0">
        <v>1159</v>
      </c>
      <c r="BI39" t="s" s="0">
        <v>81</v>
      </c>
      <c r="BJ39" t="s" s="0">
        <v>1160</v>
      </c>
      <c r="BK39" t="s" s="75">
        <f>HYPERLINK("http://dx.doi.org/10.1080/03007995.2023.2295411","http://dx.doi.org/10.1080/03007995.2023.2295411")</f>
        <v>1161</v>
      </c>
      <c r="BL39" t="s" s="0">
        <v>81</v>
      </c>
      <c r="BM39" t="s" s="0">
        <v>906</v>
      </c>
      <c r="BN39" t="s" s="0">
        <v>101</v>
      </c>
      <c r="BO39" t="s" s="0">
        <v>1162</v>
      </c>
      <c r="BP39" t="s" s="0">
        <v>1163</v>
      </c>
      <c r="BQ39" t="s" s="0">
        <v>1164</v>
      </c>
      <c r="BR39" t="s" s="0">
        <v>1165</v>
      </c>
      <c r="BS39" t="s" s="0">
        <v>1166</v>
      </c>
      <c r="BT39" t="s" s="76">
        <f>HYPERLINK("https://www.webofscience.com/wos/woscc/full-record/WOS:001128890400001","View Record in Web of Science")</f>
        <v>120</v>
      </c>
      <c r="BU39" t="s" s="0">
        <v>81</v>
      </c>
      <c r="BV39" t="s" s="0">
        <v>81</v>
      </c>
      <c r="BW39" t="s" s="0">
        <v>81</v>
      </c>
      <c r="BX39" t="s" s="0">
        <v>122</v>
      </c>
    </row>
    <row r="40">
      <c r="A40" t="s" s="0">
        <v>77</v>
      </c>
      <c r="B40" t="s" s="0">
        <v>77</v>
      </c>
      <c r="C40" t="s" s="0">
        <v>77</v>
      </c>
      <c r="D40" t="s" s="0">
        <v>77</v>
      </c>
      <c r="E40" t="s" s="0">
        <v>1167</v>
      </c>
      <c r="F40" t="s" s="0">
        <v>1168</v>
      </c>
      <c r="G40" t="s" s="0">
        <v>1169</v>
      </c>
      <c r="H40" t="s" s="0">
        <v>81</v>
      </c>
      <c r="I40" t="s" s="0">
        <v>82</v>
      </c>
      <c r="J40" t="s" s="0">
        <v>1170</v>
      </c>
      <c r="K40" t="s" s="0">
        <v>1171</v>
      </c>
      <c r="L40" t="s" s="0">
        <v>81</v>
      </c>
      <c r="M40" t="s" s="0">
        <v>81</v>
      </c>
      <c r="N40" t="s" s="0">
        <v>81</v>
      </c>
      <c r="O40" t="s" s="0">
        <v>1172</v>
      </c>
      <c r="P40" t="s" s="0">
        <v>1173</v>
      </c>
      <c r="Q40" t="s" s="0">
        <v>90</v>
      </c>
      <c r="R40" t="s" s="0">
        <v>81</v>
      </c>
      <c r="S40" t="s" s="0">
        <v>81</v>
      </c>
      <c r="T40" t="s" s="0">
        <v>81</v>
      </c>
      <c r="U40" t="s" s="0">
        <v>81</v>
      </c>
      <c r="V40" t="s" s="0">
        <v>1174</v>
      </c>
      <c r="W40" t="s" s="0">
        <v>1175</v>
      </c>
      <c r="X40" t="s" s="0">
        <v>81</v>
      </c>
      <c r="Y40" t="s" s="0">
        <v>81</v>
      </c>
      <c r="Z40" t="s" s="0">
        <v>93</v>
      </c>
      <c r="AA40" t="s" s="0">
        <v>94</v>
      </c>
      <c r="AB40" t="s" s="0">
        <v>81</v>
      </c>
      <c r="AC40" t="s" s="0">
        <v>81</v>
      </c>
      <c r="AD40" t="s" s="0">
        <v>81</v>
      </c>
      <c r="AE40" t="s" s="0">
        <v>81</v>
      </c>
      <c r="AF40" t="s" s="0">
        <v>81</v>
      </c>
      <c r="AG40" t="s" s="0">
        <v>1176</v>
      </c>
      <c r="AH40" t="s" s="0">
        <v>81</v>
      </c>
      <c r="AI40" t="s" s="0">
        <v>1177</v>
      </c>
      <c r="AJ40" t="s" s="0">
        <v>81</v>
      </c>
      <c r="AK40" t="s" s="0">
        <v>81</v>
      </c>
      <c r="AL40" t="s" s="0">
        <v>199</v>
      </c>
      <c r="AM40" t="s" s="0">
        <v>99</v>
      </c>
      <c r="AN40" t="s" s="0">
        <v>99</v>
      </c>
      <c r="AO40" t="s" s="0">
        <v>101</v>
      </c>
      <c r="AP40" t="s" s="0">
        <v>101</v>
      </c>
      <c r="AQ40" t="s" s="0">
        <v>1178</v>
      </c>
      <c r="AR40" t="s" s="0">
        <v>1179</v>
      </c>
      <c r="AS40" t="s" s="0">
        <v>1180</v>
      </c>
      <c r="AT40" t="s" s="0">
        <v>1181</v>
      </c>
      <c r="AU40" t="s" s="0">
        <v>1182</v>
      </c>
      <c r="AV40" t="s" s="0">
        <v>81</v>
      </c>
      <c r="AW40" t="s" s="0">
        <v>1183</v>
      </c>
      <c r="AX40" t="s" s="0">
        <v>1184</v>
      </c>
      <c r="AY40" t="s" s="0">
        <v>209</v>
      </c>
      <c r="AZ40" t="s" s="0">
        <v>144</v>
      </c>
      <c r="BA40" t="s" s="0">
        <v>1185</v>
      </c>
      <c r="BB40" t="s" s="0">
        <v>99</v>
      </c>
      <c r="BC40" t="s" s="0">
        <v>81</v>
      </c>
      <c r="BD40" t="s" s="0">
        <v>81</v>
      </c>
      <c r="BE40" t="s" s="0">
        <v>81</v>
      </c>
      <c r="BF40" t="s" s="0">
        <v>81</v>
      </c>
      <c r="BG40" t="s" s="0">
        <v>1186</v>
      </c>
      <c r="BH40" t="s" s="0">
        <v>1187</v>
      </c>
      <c r="BI40" t="s" s="0">
        <v>81</v>
      </c>
      <c r="BJ40" t="s" s="0">
        <v>1188</v>
      </c>
      <c r="BK40" t="s" s="77">
        <f>HYPERLINK("http://dx.doi.org/10.14309/ajg.0000000000003905","http://dx.doi.org/10.14309/ajg.0000000000003905")</f>
        <v>1189</v>
      </c>
      <c r="BL40" t="s" s="0">
        <v>81</v>
      </c>
      <c r="BM40" t="s" s="0">
        <v>81</v>
      </c>
      <c r="BN40" t="s" s="0">
        <v>386</v>
      </c>
      <c r="BO40" t="s" s="0">
        <v>1190</v>
      </c>
      <c r="BP40" t="s" s="0">
        <v>1190</v>
      </c>
      <c r="BQ40" t="s" s="0">
        <v>1191</v>
      </c>
      <c r="BR40" t="s" s="0">
        <v>1192</v>
      </c>
      <c r="BS40" t="s" s="0">
        <v>1193</v>
      </c>
      <c r="BT40" t="s" s="78">
        <f>HYPERLINK("https://www.webofscience.com/wos/woscc/full-record/WOS:001735069500024","View Record in Web of Science")</f>
        <v>120</v>
      </c>
      <c r="BU40" t="s" s="0">
        <v>81</v>
      </c>
      <c r="BV40" t="s" s="0">
        <v>81</v>
      </c>
      <c r="BW40" t="s" s="0">
        <v>81</v>
      </c>
      <c r="BX40" t="s" s="0">
        <v>122</v>
      </c>
    </row>
    <row r="41">
      <c r="A41" t="s" s="0">
        <v>77</v>
      </c>
      <c r="B41" t="s" s="0">
        <v>77</v>
      </c>
      <c r="C41" t="s" s="0">
        <v>77</v>
      </c>
      <c r="D41" t="s" s="0">
        <v>77</v>
      </c>
      <c r="E41" t="s" s="0">
        <v>1194</v>
      </c>
      <c r="F41" t="s" s="0">
        <v>1195</v>
      </c>
      <c r="G41" t="s" s="0">
        <v>1196</v>
      </c>
      <c r="H41" t="s" s="0">
        <v>81</v>
      </c>
      <c r="I41" t="s" s="0">
        <v>218</v>
      </c>
      <c r="J41" t="s" s="0">
        <v>1197</v>
      </c>
      <c r="K41" t="s" s="0">
        <v>1198</v>
      </c>
      <c r="L41" t="s" s="0">
        <v>81</v>
      </c>
      <c r="M41" t="s" s="0">
        <v>81</v>
      </c>
      <c r="N41" t="s" s="0">
        <v>81</v>
      </c>
      <c r="O41" t="s" s="0">
        <v>1199</v>
      </c>
      <c r="P41" t="s" s="0">
        <v>1200</v>
      </c>
      <c r="Q41" t="s" s="0">
        <v>90</v>
      </c>
      <c r="R41" t="s" s="0">
        <v>81</v>
      </c>
      <c r="S41" t="s" s="0">
        <v>81</v>
      </c>
      <c r="T41" t="s" s="0">
        <v>81</v>
      </c>
      <c r="U41" t="s" s="0">
        <v>81</v>
      </c>
      <c r="V41" t="s" s="0">
        <v>1201</v>
      </c>
      <c r="W41" t="s" s="0">
        <v>1202</v>
      </c>
      <c r="X41" t="s" s="0">
        <v>81</v>
      </c>
      <c r="Y41" t="s" s="0">
        <v>81</v>
      </c>
      <c r="Z41" t="s" s="0">
        <v>93</v>
      </c>
      <c r="AA41" t="s" s="0">
        <v>94</v>
      </c>
      <c r="AB41" t="s" s="0">
        <v>81</v>
      </c>
      <c r="AC41" t="s" s="0">
        <v>81</v>
      </c>
      <c r="AD41" t="s" s="0">
        <v>81</v>
      </c>
      <c r="AE41" t="s" s="0">
        <v>81</v>
      </c>
      <c r="AF41" t="s" s="0">
        <v>81</v>
      </c>
      <c r="AG41" t="s" s="0">
        <v>1203</v>
      </c>
      <c r="AH41" t="s" s="0">
        <v>81</v>
      </c>
      <c r="AI41" t="s" s="0">
        <v>81</v>
      </c>
      <c r="AJ41" t="s" s="0">
        <v>81</v>
      </c>
      <c r="AK41" t="s" s="0">
        <v>81</v>
      </c>
      <c r="AL41" t="s" s="0">
        <v>393</v>
      </c>
      <c r="AM41" t="s" s="0">
        <v>554</v>
      </c>
      <c r="AN41" t="s" s="0">
        <v>554</v>
      </c>
      <c r="AO41" t="s" s="0">
        <v>386</v>
      </c>
      <c r="AP41" t="s" s="0">
        <v>386</v>
      </c>
      <c r="AQ41" t="s" s="0">
        <v>1204</v>
      </c>
      <c r="AR41" t="s" s="0">
        <v>1205</v>
      </c>
      <c r="AS41" t="s" s="0">
        <v>1206</v>
      </c>
      <c r="AT41" t="s" s="0">
        <v>81</v>
      </c>
      <c r="AU41" t="s" s="0">
        <v>1207</v>
      </c>
      <c r="AV41" t="s" s="0">
        <v>81</v>
      </c>
      <c r="AW41" t="s" s="0">
        <v>1208</v>
      </c>
      <c r="AX41" t="s" s="0">
        <v>1209</v>
      </c>
      <c r="AY41" t="s" s="0">
        <v>1210</v>
      </c>
      <c r="AZ41" t="s" s="0">
        <v>110</v>
      </c>
      <c r="BA41" t="s" s="0">
        <v>210</v>
      </c>
      <c r="BB41" t="s" s="0">
        <v>81</v>
      </c>
      <c r="BC41" t="s" s="0">
        <v>81</v>
      </c>
      <c r="BD41" t="s" s="0">
        <v>81</v>
      </c>
      <c r="BE41" t="s" s="0">
        <v>81</v>
      </c>
      <c r="BF41" t="s" s="0">
        <v>81</v>
      </c>
      <c r="BG41" t="s" s="0">
        <v>81</v>
      </c>
      <c r="BH41" t="s" s="0">
        <v>81</v>
      </c>
      <c r="BI41" t="s" s="0">
        <v>582</v>
      </c>
      <c r="BJ41" t="s" s="0">
        <v>1211</v>
      </c>
      <c r="BK41" t="s" s="79">
        <f>HYPERLINK("http://dx.doi.org/10.21037/jmai-24-287","http://dx.doi.org/10.21037/jmai-24-287")</f>
        <v>1212</v>
      </c>
      <c r="BL41" t="s" s="0">
        <v>81</v>
      </c>
      <c r="BM41" t="s" s="0">
        <v>81</v>
      </c>
      <c r="BN41" t="s" s="0">
        <v>452</v>
      </c>
      <c r="BO41" t="s" s="0">
        <v>1213</v>
      </c>
      <c r="BP41" t="s" s="0">
        <v>673</v>
      </c>
      <c r="BQ41" t="s" s="0">
        <v>1214</v>
      </c>
      <c r="BR41" t="s" s="0">
        <v>81</v>
      </c>
      <c r="BS41" t="s" s="0">
        <v>1215</v>
      </c>
      <c r="BT41" t="s" s="80">
        <f>HYPERLINK("https://www.webofscience.com/wos/woscc/full-record/WOS:001532550700028","View Record in Web of Science")</f>
        <v>120</v>
      </c>
      <c r="BU41" t="s" s="0">
        <v>1216</v>
      </c>
      <c r="BV41" t="s" s="0">
        <v>81</v>
      </c>
      <c r="BW41" t="s" s="0">
        <v>81</v>
      </c>
      <c r="BX41" t="s" s="0">
        <v>122</v>
      </c>
    </row>
    <row r="42">
      <c r="A42" t="s" s="0">
        <v>77</v>
      </c>
      <c r="B42" t="s" s="0">
        <v>77</v>
      </c>
      <c r="C42" t="s" s="0">
        <v>77</v>
      </c>
      <c r="D42" t="s" s="0">
        <v>77</v>
      </c>
      <c r="E42" t="s" s="0">
        <v>1217</v>
      </c>
      <c r="F42" t="s" s="0">
        <v>1218</v>
      </c>
      <c r="G42" t="s" s="0">
        <v>1219</v>
      </c>
      <c r="H42" t="s" s="0">
        <v>81</v>
      </c>
      <c r="I42" t="s" s="0">
        <v>82</v>
      </c>
      <c r="J42" t="s" s="0">
        <v>1220</v>
      </c>
      <c r="K42" t="s" s="0">
        <v>1221</v>
      </c>
      <c r="L42" t="s" s="0">
        <v>1222</v>
      </c>
      <c r="M42" t="s" s="0">
        <v>1223</v>
      </c>
      <c r="N42" t="s" s="0">
        <v>1224</v>
      </c>
      <c r="O42" t="s" s="0">
        <v>1225</v>
      </c>
      <c r="P42" t="s" s="0">
        <v>1226</v>
      </c>
      <c r="Q42" t="s" s="0">
        <v>90</v>
      </c>
      <c r="R42" t="s" s="0">
        <v>81</v>
      </c>
      <c r="S42" t="s" s="0">
        <v>81</v>
      </c>
      <c r="T42" t="s" s="0">
        <v>81</v>
      </c>
      <c r="U42" t="s" s="0">
        <v>81</v>
      </c>
      <c r="V42" t="s" s="0">
        <v>1227</v>
      </c>
      <c r="W42" t="s" s="0">
        <v>1228</v>
      </c>
      <c r="X42" t="s" s="0">
        <v>81</v>
      </c>
      <c r="Y42" t="s" s="0">
        <v>81</v>
      </c>
      <c r="Z42" t="s" s="0">
        <v>93</v>
      </c>
      <c r="AA42" t="s" s="0">
        <v>196</v>
      </c>
      <c r="AB42" t="s" s="0">
        <v>81</v>
      </c>
      <c r="AC42" t="s" s="0">
        <v>81</v>
      </c>
      <c r="AD42" t="s" s="0">
        <v>81</v>
      </c>
      <c r="AE42" t="s" s="0">
        <v>81</v>
      </c>
      <c r="AF42" t="s" s="0">
        <v>81</v>
      </c>
      <c r="AG42" t="s" s="0">
        <v>1229</v>
      </c>
      <c r="AH42" t="s" s="0">
        <v>81</v>
      </c>
      <c r="AI42" t="s" s="0">
        <v>1230</v>
      </c>
      <c r="AJ42" t="s" s="0">
        <v>1231</v>
      </c>
      <c r="AK42" t="s" s="0">
        <v>81</v>
      </c>
      <c r="AL42" t="s" s="0">
        <v>1232</v>
      </c>
      <c r="AM42" t="s" s="0">
        <v>77</v>
      </c>
      <c r="AN42" t="s" s="0">
        <v>77</v>
      </c>
      <c r="AO42" t="s" s="0">
        <v>452</v>
      </c>
      <c r="AP42" t="s" s="0">
        <v>452</v>
      </c>
      <c r="AQ42" t="s" s="0">
        <v>499</v>
      </c>
      <c r="AR42" t="s" s="0">
        <v>500</v>
      </c>
      <c r="AS42" t="s" s="0">
        <v>501</v>
      </c>
      <c r="AT42" t="s" s="0">
        <v>1233</v>
      </c>
      <c r="AU42" t="s" s="0">
        <v>1234</v>
      </c>
      <c r="AV42" t="s" s="0">
        <v>81</v>
      </c>
      <c r="AW42" t="s" s="0">
        <v>1235</v>
      </c>
      <c r="AX42" t="s" s="0">
        <v>1236</v>
      </c>
      <c r="AY42" t="s" s="0">
        <v>81</v>
      </c>
      <c r="AZ42" t="s" s="0">
        <v>144</v>
      </c>
      <c r="BA42" t="s" s="0">
        <v>81</v>
      </c>
      <c r="BB42" t="s" s="0">
        <v>81</v>
      </c>
      <c r="BC42" t="s" s="0">
        <v>81</v>
      </c>
      <c r="BD42" t="s" s="0">
        <v>81</v>
      </c>
      <c r="BE42" t="s" s="0">
        <v>81</v>
      </c>
      <c r="BF42" t="s" s="0">
        <v>81</v>
      </c>
      <c r="BG42" t="s" s="0">
        <v>81</v>
      </c>
      <c r="BH42" t="s" s="0">
        <v>81</v>
      </c>
      <c r="BI42" t="s" s="0">
        <v>81</v>
      </c>
      <c r="BJ42" t="s" s="0">
        <v>1237</v>
      </c>
      <c r="BK42" t="s" s="81">
        <f>HYPERLINK("http://dx.doi.org/10.1007/s00330-026-12384-z","http://dx.doi.org/10.1007/s00330-026-12384-z")</f>
        <v>1238</v>
      </c>
      <c r="BL42" t="s" s="0">
        <v>81</v>
      </c>
      <c r="BM42" t="s" s="0">
        <v>508</v>
      </c>
      <c r="BN42" t="s" s="0">
        <v>360</v>
      </c>
      <c r="BO42" t="s" s="0">
        <v>182</v>
      </c>
      <c r="BP42" t="s" s="0">
        <v>182</v>
      </c>
      <c r="BQ42" t="s" s="0">
        <v>1239</v>
      </c>
      <c r="BR42" t="s" s="0">
        <v>1240</v>
      </c>
      <c r="BS42" t="s" s="0">
        <v>1241</v>
      </c>
      <c r="BT42" t="s" s="82">
        <f>HYPERLINK("https://www.webofscience.com/wos/woscc/full-record/WOS:001696738200001","View Record in Web of Science")</f>
        <v>120</v>
      </c>
      <c r="BU42" t="s" s="0">
        <v>186</v>
      </c>
      <c r="BV42" t="s" s="0">
        <v>81</v>
      </c>
      <c r="BW42" t="s" s="0">
        <v>81</v>
      </c>
      <c r="BX42" t="s" s="0">
        <v>122</v>
      </c>
    </row>
    <row r="43">
      <c r="A43" t="s" s="0">
        <v>169</v>
      </c>
      <c r="B43" t="s" s="0">
        <v>77</v>
      </c>
      <c r="C43" t="s" s="0">
        <v>101</v>
      </c>
      <c r="D43" t="s" s="0">
        <v>77</v>
      </c>
      <c r="E43" t="s" s="0">
        <v>1242</v>
      </c>
      <c r="F43" t="s" s="0">
        <v>1243</v>
      </c>
      <c r="G43" t="s" s="0">
        <v>1244</v>
      </c>
      <c r="H43" t="s" s="0">
        <v>81</v>
      </c>
      <c r="I43" t="s" s="0">
        <v>82</v>
      </c>
      <c r="J43" t="s" s="0">
        <v>1245</v>
      </c>
      <c r="K43" t="s" s="0">
        <v>1246</v>
      </c>
      <c r="L43" t="s" s="0">
        <v>1247</v>
      </c>
      <c r="M43" t="s" s="0">
        <v>1248</v>
      </c>
      <c r="N43" t="s" s="0">
        <v>1249</v>
      </c>
      <c r="O43" t="s" s="0">
        <v>1250</v>
      </c>
      <c r="P43" t="s" s="0">
        <v>1251</v>
      </c>
      <c r="Q43" t="s" s="0">
        <v>90</v>
      </c>
      <c r="R43" t="s" s="0">
        <v>81</v>
      </c>
      <c r="S43" t="s" s="0">
        <v>81</v>
      </c>
      <c r="T43" t="s" s="0">
        <v>81</v>
      </c>
      <c r="U43" t="s" s="0">
        <v>81</v>
      </c>
      <c r="V43" t="s" s="0">
        <v>1252</v>
      </c>
      <c r="W43" t="s" s="0">
        <v>317</v>
      </c>
      <c r="X43" t="s" s="0">
        <v>81</v>
      </c>
      <c r="Y43" t="s" s="0">
        <v>81</v>
      </c>
      <c r="Z43" t="s" s="0">
        <v>93</v>
      </c>
      <c r="AA43" t="s" s="0">
        <v>94</v>
      </c>
      <c r="AB43" t="s" s="0">
        <v>81</v>
      </c>
      <c r="AC43" t="s" s="0">
        <v>81</v>
      </c>
      <c r="AD43" t="s" s="0">
        <v>81</v>
      </c>
      <c r="AE43" t="s" s="0">
        <v>81</v>
      </c>
      <c r="AF43" t="s" s="0">
        <v>81</v>
      </c>
      <c r="AG43" t="s" s="0">
        <v>81</v>
      </c>
      <c r="AH43" t="s" s="0">
        <v>1253</v>
      </c>
      <c r="AI43" t="s" s="0">
        <v>1254</v>
      </c>
      <c r="AJ43" t="s" s="0">
        <v>1255</v>
      </c>
      <c r="AK43" t="s" s="0">
        <v>81</v>
      </c>
      <c r="AL43" t="s" s="0">
        <v>319</v>
      </c>
      <c r="AM43" t="s" s="0">
        <v>328</v>
      </c>
      <c r="AN43" t="s" s="0">
        <v>102</v>
      </c>
      <c r="AO43" t="s" s="0">
        <v>169</v>
      </c>
      <c r="AP43" t="s" s="0">
        <v>386</v>
      </c>
      <c r="AQ43" t="s" s="0">
        <v>321</v>
      </c>
      <c r="AR43" t="s" s="0">
        <v>322</v>
      </c>
      <c r="AS43" t="s" s="0">
        <v>323</v>
      </c>
      <c r="AT43" t="s" s="0">
        <v>324</v>
      </c>
      <c r="AU43" t="s" s="0">
        <v>81</v>
      </c>
      <c r="AV43" t="s" s="0">
        <v>81</v>
      </c>
      <c r="AW43" t="s" s="0">
        <v>325</v>
      </c>
      <c r="AX43" t="s" s="0">
        <v>326</v>
      </c>
      <c r="AY43" t="s" s="0">
        <v>1256</v>
      </c>
      <c r="AZ43" t="s" s="0">
        <v>110</v>
      </c>
      <c r="BA43" t="s" s="0">
        <v>210</v>
      </c>
      <c r="BB43" t="s" s="0">
        <v>169</v>
      </c>
      <c r="BC43" t="s" s="0">
        <v>81</v>
      </c>
      <c r="BD43" t="s" s="0">
        <v>81</v>
      </c>
      <c r="BE43" t="s" s="0">
        <v>81</v>
      </c>
      <c r="BF43" t="s" s="0">
        <v>81</v>
      </c>
      <c r="BG43" t="s" s="0">
        <v>81</v>
      </c>
      <c r="BH43" t="s" s="0">
        <v>81</v>
      </c>
      <c r="BI43" t="s" s="0">
        <v>1257</v>
      </c>
      <c r="BJ43" t="s" s="0">
        <v>1258</v>
      </c>
      <c r="BK43" t="s" s="83">
        <f>HYPERLINK("http://dx.doi.org/10.1038/s41746-025-01830-9","http://dx.doi.org/10.1038/s41746-025-01830-9")</f>
        <v>1259</v>
      </c>
      <c r="BL43" t="s" s="0">
        <v>81</v>
      </c>
      <c r="BM43" t="s" s="0">
        <v>81</v>
      </c>
      <c r="BN43" t="s" s="0">
        <v>210</v>
      </c>
      <c r="BO43" t="s" s="0">
        <v>116</v>
      </c>
      <c r="BP43" t="s" s="0">
        <v>116</v>
      </c>
      <c r="BQ43" t="s" s="0">
        <v>1260</v>
      </c>
      <c r="BR43" t="s" s="0">
        <v>1261</v>
      </c>
      <c r="BS43" t="s" s="0">
        <v>1262</v>
      </c>
      <c r="BT43" t="s" s="84">
        <f>HYPERLINK("https://www.webofscience.com/wos/woscc/full-record/WOS:001538753100003","View Record in Web of Science")</f>
        <v>120</v>
      </c>
      <c r="BU43" t="s" s="0">
        <v>121</v>
      </c>
      <c r="BV43" t="s" s="0">
        <v>81</v>
      </c>
      <c r="BW43" t="s" s="0">
        <v>81</v>
      </c>
      <c r="BX43" t="s" s="0">
        <v>122</v>
      </c>
    </row>
    <row r="44">
      <c r="A44" t="s" s="0">
        <v>169</v>
      </c>
      <c r="B44" t="s" s="0">
        <v>77</v>
      </c>
      <c r="C44" t="s" s="0">
        <v>169</v>
      </c>
      <c r="D44" t="s" s="0">
        <v>77</v>
      </c>
      <c r="E44" t="s" s="0">
        <v>1263</v>
      </c>
      <c r="F44" t="s" s="0">
        <v>1264</v>
      </c>
      <c r="G44" t="s" s="0">
        <v>1265</v>
      </c>
      <c r="H44" t="s" s="0">
        <v>81</v>
      </c>
      <c r="I44" t="s" s="0">
        <v>82</v>
      </c>
      <c r="J44" t="s" s="0">
        <v>1266</v>
      </c>
      <c r="K44" t="s" s="0">
        <v>1267</v>
      </c>
      <c r="L44" t="s" s="0">
        <v>81</v>
      </c>
      <c r="M44" t="s" s="0">
        <v>81</v>
      </c>
      <c r="N44" t="s" s="0">
        <v>81</v>
      </c>
      <c r="O44" t="s" s="0">
        <v>1268</v>
      </c>
      <c r="P44" t="s" s="0">
        <v>1269</v>
      </c>
      <c r="Q44" t="s" s="0">
        <v>90</v>
      </c>
      <c r="R44" t="s" s="0">
        <v>81</v>
      </c>
      <c r="S44" t="s" s="0">
        <v>81</v>
      </c>
      <c r="T44" t="s" s="0">
        <v>81</v>
      </c>
      <c r="U44" t="s" s="0">
        <v>81</v>
      </c>
      <c r="V44" t="s" s="0">
        <v>1270</v>
      </c>
      <c r="W44" t="s" s="0">
        <v>1271</v>
      </c>
      <c r="X44" t="s" s="0">
        <v>81</v>
      </c>
      <c r="Y44" t="s" s="0">
        <v>81</v>
      </c>
      <c r="Z44" t="s" s="0">
        <v>93</v>
      </c>
      <c r="AA44" t="s" s="0">
        <v>94</v>
      </c>
      <c r="AB44" t="s" s="0">
        <v>81</v>
      </c>
      <c r="AC44" t="s" s="0">
        <v>81</v>
      </c>
      <c r="AD44" t="s" s="0">
        <v>81</v>
      </c>
      <c r="AE44" t="s" s="0">
        <v>81</v>
      </c>
      <c r="AF44" t="s" s="0">
        <v>81</v>
      </c>
      <c r="AG44" t="s" s="0">
        <v>1272</v>
      </c>
      <c r="AH44" t="s" s="0">
        <v>1273</v>
      </c>
      <c r="AI44" t="s" s="0">
        <v>1274</v>
      </c>
      <c r="AJ44" t="s" s="0">
        <v>81</v>
      </c>
      <c r="AK44" t="s" s="0">
        <v>81</v>
      </c>
      <c r="AL44" t="s" s="0">
        <v>1275</v>
      </c>
      <c r="AM44" t="s" s="0">
        <v>199</v>
      </c>
      <c r="AN44" t="s" s="0">
        <v>671</v>
      </c>
      <c r="AO44" t="s" s="0">
        <v>526</v>
      </c>
      <c r="AP44" t="s" s="0">
        <v>1002</v>
      </c>
      <c r="AQ44" t="s" s="0">
        <v>1276</v>
      </c>
      <c r="AR44" t="s" s="0">
        <v>1277</v>
      </c>
      <c r="AS44" t="s" s="0">
        <v>1278</v>
      </c>
      <c r="AT44" t="s" s="0">
        <v>1279</v>
      </c>
      <c r="AU44" t="s" s="0">
        <v>1280</v>
      </c>
      <c r="AV44" t="s" s="0">
        <v>81</v>
      </c>
      <c r="AW44" t="s" s="0">
        <v>1281</v>
      </c>
      <c r="AX44" t="s" s="0">
        <v>1282</v>
      </c>
      <c r="AY44" t="s" s="0">
        <v>591</v>
      </c>
      <c r="AZ44" t="s" s="0">
        <v>592</v>
      </c>
      <c r="BA44" t="s" s="0">
        <v>797</v>
      </c>
      <c r="BB44" t="s" s="0">
        <v>328</v>
      </c>
      <c r="BC44" t="s" s="0">
        <v>81</v>
      </c>
      <c r="BD44" t="s" s="0">
        <v>81</v>
      </c>
      <c r="BE44" t="s" s="0">
        <v>81</v>
      </c>
      <c r="BF44" t="s" s="0">
        <v>81</v>
      </c>
      <c r="BG44" t="s" s="0">
        <v>1283</v>
      </c>
      <c r="BH44" t="s" s="0">
        <v>1284</v>
      </c>
      <c r="BI44" t="s" s="0">
        <v>81</v>
      </c>
      <c r="BJ44" t="s" s="0">
        <v>1285</v>
      </c>
      <c r="BK44" t="s" s="85">
        <f>HYPERLINK("http://dx.doi.org/10.22454/FamMed.2024.775525","http://dx.doi.org/10.22454/FamMed.2024.775525")</f>
        <v>1286</v>
      </c>
      <c r="BL44" t="s" s="0">
        <v>81</v>
      </c>
      <c r="BM44" t="s" s="0">
        <v>81</v>
      </c>
      <c r="BN44" t="s" s="0">
        <v>386</v>
      </c>
      <c r="BO44" t="s" s="0">
        <v>1287</v>
      </c>
      <c r="BP44" t="s" s="0">
        <v>150</v>
      </c>
      <c r="BQ44" t="s" s="0">
        <v>1288</v>
      </c>
      <c r="BR44" t="s" s="0">
        <v>1289</v>
      </c>
      <c r="BS44" t="s" s="0">
        <v>1290</v>
      </c>
      <c r="BT44" t="s" s="86">
        <f>HYPERLINK("https://www.webofscience.com/wos/woscc/full-record/WOS:001341020900002","View Record in Web of Science")</f>
        <v>120</v>
      </c>
      <c r="BU44" t="s" s="0">
        <v>121</v>
      </c>
      <c r="BV44" t="s" s="0">
        <v>81</v>
      </c>
      <c r="BW44" t="s" s="0">
        <v>81</v>
      </c>
      <c r="BX44" t="s" s="0">
        <v>122</v>
      </c>
    </row>
    <row r="45">
      <c r="A45" t="s" s="0">
        <v>77</v>
      </c>
      <c r="B45" t="s" s="0">
        <v>77</v>
      </c>
      <c r="C45" t="s" s="0">
        <v>77</v>
      </c>
      <c r="D45" t="s" s="0">
        <v>77</v>
      </c>
      <c r="E45" t="s" s="0">
        <v>1291</v>
      </c>
      <c r="F45" t="s" s="0">
        <v>1292</v>
      </c>
      <c r="G45" t="s" s="0">
        <v>1293</v>
      </c>
      <c r="H45" t="s" s="0">
        <v>81</v>
      </c>
      <c r="I45" t="s" s="0">
        <v>218</v>
      </c>
      <c r="J45" t="s" s="0">
        <v>1294</v>
      </c>
      <c r="K45" t="s" s="0">
        <v>1295</v>
      </c>
      <c r="L45" t="s" s="0">
        <v>81</v>
      </c>
      <c r="M45" t="s" s="0">
        <v>81</v>
      </c>
      <c r="N45" t="s" s="0">
        <v>81</v>
      </c>
      <c r="O45" t="s" s="0">
        <v>1296</v>
      </c>
      <c r="P45" t="s" s="0">
        <v>1297</v>
      </c>
      <c r="Q45" t="s" s="0">
        <v>90</v>
      </c>
      <c r="R45" t="s" s="0">
        <v>81</v>
      </c>
      <c r="S45" t="s" s="0">
        <v>81</v>
      </c>
      <c r="T45" t="s" s="0">
        <v>81</v>
      </c>
      <c r="U45" t="s" s="0">
        <v>81</v>
      </c>
      <c r="V45" t="s" s="0">
        <v>1298</v>
      </c>
      <c r="W45" t="s" s="0">
        <v>1299</v>
      </c>
      <c r="X45" t="s" s="0">
        <v>81</v>
      </c>
      <c r="Y45" t="s" s="0">
        <v>81</v>
      </c>
      <c r="Z45" t="s" s="0">
        <v>93</v>
      </c>
      <c r="AA45" t="s" s="0">
        <v>94</v>
      </c>
      <c r="AB45" t="s" s="0">
        <v>81</v>
      </c>
      <c r="AC45" t="s" s="0">
        <v>81</v>
      </c>
      <c r="AD45" t="s" s="0">
        <v>81</v>
      </c>
      <c r="AE45" t="s" s="0">
        <v>81</v>
      </c>
      <c r="AF45" t="s" s="0">
        <v>81</v>
      </c>
      <c r="AG45" t="s" s="0">
        <v>1300</v>
      </c>
      <c r="AH45" t="s" s="0">
        <v>81</v>
      </c>
      <c r="AI45" t="s" s="0">
        <v>81</v>
      </c>
      <c r="AJ45" t="s" s="0">
        <v>81</v>
      </c>
      <c r="AK45" t="s" s="0">
        <v>81</v>
      </c>
      <c r="AL45" t="s" s="0">
        <v>445</v>
      </c>
      <c r="AM45" t="s" s="0">
        <v>77</v>
      </c>
      <c r="AN45" t="s" s="0">
        <v>77</v>
      </c>
      <c r="AO45" t="s" s="0">
        <v>169</v>
      </c>
      <c r="AP45" t="s" s="0">
        <v>169</v>
      </c>
      <c r="AQ45" t="s" s="0">
        <v>103</v>
      </c>
      <c r="AR45" t="s" s="0">
        <v>104</v>
      </c>
      <c r="AS45" t="s" s="0">
        <v>105</v>
      </c>
      <c r="AT45" t="s" s="0">
        <v>81</v>
      </c>
      <c r="AU45" t="s" s="0">
        <v>1301</v>
      </c>
      <c r="AV45" t="s" s="0">
        <v>81</v>
      </c>
      <c r="AW45" t="s" s="0">
        <v>1299</v>
      </c>
      <c r="AX45" t="s" s="0">
        <v>1299</v>
      </c>
      <c r="AY45" t="s" s="0">
        <v>144</v>
      </c>
      <c r="AZ45" t="s" s="0">
        <v>144</v>
      </c>
      <c r="BA45" t="s" s="0">
        <v>100</v>
      </c>
      <c r="BB45" t="s" s="0">
        <v>81</v>
      </c>
      <c r="BC45" t="s" s="0">
        <v>81</v>
      </c>
      <c r="BD45" t="s" s="0">
        <v>81</v>
      </c>
      <c r="BE45" t="s" s="0">
        <v>81</v>
      </c>
      <c r="BF45" t="s" s="0">
        <v>81</v>
      </c>
      <c r="BG45" t="s" s="0">
        <v>81</v>
      </c>
      <c r="BH45" t="s" s="0">
        <v>81</v>
      </c>
      <c r="BI45" t="s" s="0">
        <v>1302</v>
      </c>
      <c r="BJ45" t="s" s="0">
        <v>1303</v>
      </c>
      <c r="BK45" t="s" s="87">
        <f>HYPERLINK("http://dx.doi.org/10.2196/95899","http://dx.doi.org/10.2196/95899")</f>
        <v>1304</v>
      </c>
      <c r="BL45" t="s" s="0">
        <v>81</v>
      </c>
      <c r="BM45" t="s" s="0">
        <v>81</v>
      </c>
      <c r="BN45" t="s" s="0">
        <v>360</v>
      </c>
      <c r="BO45" t="s" s="0">
        <v>116</v>
      </c>
      <c r="BP45" t="s" s="0">
        <v>116</v>
      </c>
      <c r="BQ45" t="s" s="0">
        <v>1305</v>
      </c>
      <c r="BR45" t="s" s="0">
        <v>1306</v>
      </c>
      <c r="BS45" t="s" s="0">
        <v>1307</v>
      </c>
      <c r="BT45" t="s" s="88">
        <f>HYPERLINK("https://www.webofscience.com/wos/woscc/full-record/WOS:001791462500001","View Record in Web of Science")</f>
        <v>120</v>
      </c>
      <c r="BU45" t="s" s="0">
        <v>121</v>
      </c>
      <c r="BV45" t="s" s="0">
        <v>81</v>
      </c>
      <c r="BW45" t="s" s="0">
        <v>81</v>
      </c>
      <c r="BX45" t="s" s="0">
        <v>122</v>
      </c>
    </row>
    <row r="46">
      <c r="A46" t="s" s="0">
        <v>77</v>
      </c>
      <c r="B46" t="s" s="0">
        <v>77</v>
      </c>
      <c r="C46" t="s" s="0">
        <v>77</v>
      </c>
      <c r="D46" t="s" s="0">
        <v>77</v>
      </c>
      <c r="E46" t="s" s="0">
        <v>1308</v>
      </c>
      <c r="F46" t="s" s="0">
        <v>1309</v>
      </c>
      <c r="G46" t="s" s="0">
        <v>1310</v>
      </c>
      <c r="H46" t="s" s="0">
        <v>81</v>
      </c>
      <c r="I46" t="s" s="0">
        <v>568</v>
      </c>
      <c r="J46" t="s" s="0">
        <v>1311</v>
      </c>
      <c r="K46" t="s" s="0">
        <v>1312</v>
      </c>
      <c r="L46" t="s" s="0">
        <v>1313</v>
      </c>
      <c r="M46" t="s" s="0">
        <v>1314</v>
      </c>
      <c r="N46" t="s" s="0">
        <v>1315</v>
      </c>
      <c r="O46" t="s" s="0">
        <v>1316</v>
      </c>
      <c r="P46" t="s" s="0">
        <v>1317</v>
      </c>
      <c r="Q46" t="s" s="0">
        <v>90</v>
      </c>
      <c r="R46" t="s" s="0">
        <v>81</v>
      </c>
      <c r="S46" t="s" s="0">
        <v>81</v>
      </c>
      <c r="T46" t="s" s="0">
        <v>81</v>
      </c>
      <c r="U46" t="s" s="0">
        <v>81</v>
      </c>
      <c r="V46" t="s" s="0">
        <v>1318</v>
      </c>
      <c r="W46" t="s" s="0">
        <v>1319</v>
      </c>
      <c r="X46" t="s" s="0">
        <v>81</v>
      </c>
      <c r="Y46" t="s" s="0">
        <v>81</v>
      </c>
      <c r="Z46" t="s" s="0">
        <v>93</v>
      </c>
      <c r="AA46" t="s" s="0">
        <v>94</v>
      </c>
      <c r="AB46" t="s" s="0">
        <v>81</v>
      </c>
      <c r="AC46" t="s" s="0">
        <v>81</v>
      </c>
      <c r="AD46" t="s" s="0">
        <v>81</v>
      </c>
      <c r="AE46" t="s" s="0">
        <v>81</v>
      </c>
      <c r="AF46" t="s" s="0">
        <v>81</v>
      </c>
      <c r="AG46" t="s" s="0">
        <v>1320</v>
      </c>
      <c r="AH46" t="s" s="0">
        <v>81</v>
      </c>
      <c r="AI46" t="s" s="0">
        <v>1321</v>
      </c>
      <c r="AJ46" t="s" s="0">
        <v>1322</v>
      </c>
      <c r="AK46" t="s" s="0">
        <v>81</v>
      </c>
      <c r="AL46" t="s" s="0">
        <v>671</v>
      </c>
      <c r="AM46" t="s" s="0">
        <v>101</v>
      </c>
      <c r="AN46" t="s" s="0">
        <v>101</v>
      </c>
      <c r="AO46" t="s" s="0">
        <v>100</v>
      </c>
      <c r="AP46" t="s" s="0">
        <v>100</v>
      </c>
      <c r="AQ46" t="s" s="0">
        <v>527</v>
      </c>
      <c r="AR46" t="s" s="0">
        <v>528</v>
      </c>
      <c r="AS46" t="s" s="0">
        <v>529</v>
      </c>
      <c r="AT46" t="s" s="0">
        <v>1323</v>
      </c>
      <c r="AU46" t="s" s="0">
        <v>1324</v>
      </c>
      <c r="AV46" t="s" s="0">
        <v>81</v>
      </c>
      <c r="AW46" t="s" s="0">
        <v>1325</v>
      </c>
      <c r="AX46" t="s" s="0">
        <v>1326</v>
      </c>
      <c r="AY46" t="s" s="0">
        <v>177</v>
      </c>
      <c r="AZ46" t="s" s="0">
        <v>144</v>
      </c>
      <c r="BA46" t="s" s="0">
        <v>583</v>
      </c>
      <c r="BB46" t="s" s="0">
        <v>101</v>
      </c>
      <c r="BC46" t="s" s="0">
        <v>81</v>
      </c>
      <c r="BD46" t="s" s="0">
        <v>81</v>
      </c>
      <c r="BE46" t="s" s="0">
        <v>81</v>
      </c>
      <c r="BF46" t="s" s="0">
        <v>81</v>
      </c>
      <c r="BG46" t="s" s="0">
        <v>1327</v>
      </c>
      <c r="BH46" t="s" s="0">
        <v>1328</v>
      </c>
      <c r="BI46" t="s" s="0">
        <v>81</v>
      </c>
      <c r="BJ46" t="s" s="0">
        <v>1329</v>
      </c>
      <c r="BK46" t="s" s="89">
        <f>HYPERLINK("http://dx.doi.org/10.1093/jamia/ocaf174","http://dx.doi.org/10.1093/jamia/ocaf174")</f>
        <v>1330</v>
      </c>
      <c r="BL46" t="s" s="0">
        <v>81</v>
      </c>
      <c r="BM46" t="s" s="0">
        <v>238</v>
      </c>
      <c r="BN46" t="s" s="0">
        <v>102</v>
      </c>
      <c r="BO46" t="s" s="0">
        <v>1331</v>
      </c>
      <c r="BP46" t="s" s="0">
        <v>1332</v>
      </c>
      <c r="BQ46" t="s" s="0">
        <v>1333</v>
      </c>
      <c r="BR46" t="s" s="0">
        <v>1334</v>
      </c>
      <c r="BS46" t="s" s="0">
        <v>1335</v>
      </c>
      <c r="BT46" t="s" s="90">
        <f>HYPERLINK("https://www.webofscience.com/wos/woscc/full-record/WOS:001600523400001","View Record in Web of Science")</f>
        <v>120</v>
      </c>
      <c r="BU46" t="s" s="0">
        <v>81</v>
      </c>
      <c r="BV46" t="s" s="0">
        <v>81</v>
      </c>
      <c r="BW46" t="s" s="0">
        <v>81</v>
      </c>
      <c r="BX46" t="s" s="0">
        <v>122</v>
      </c>
    </row>
    <row r="47">
      <c r="A47" t="s" s="0">
        <v>100</v>
      </c>
      <c r="B47" t="s" s="0">
        <v>77</v>
      </c>
      <c r="C47" t="s" s="0">
        <v>115</v>
      </c>
      <c r="D47" t="s" s="0">
        <v>77</v>
      </c>
      <c r="E47" t="s" s="0">
        <v>1336</v>
      </c>
      <c r="F47" t="s" s="0">
        <v>1337</v>
      </c>
      <c r="G47" t="s" s="0">
        <v>1338</v>
      </c>
      <c r="H47" t="s" s="0">
        <v>81</v>
      </c>
      <c r="I47" t="s" s="0">
        <v>82</v>
      </c>
      <c r="J47" t="s" s="0">
        <v>1339</v>
      </c>
      <c r="K47" t="s" s="0">
        <v>1340</v>
      </c>
      <c r="L47" t="s" s="0">
        <v>1341</v>
      </c>
      <c r="M47" t="s" s="0">
        <v>1342</v>
      </c>
      <c r="N47" t="s" s="0">
        <v>1343</v>
      </c>
      <c r="O47" t="s" s="0">
        <v>1344</v>
      </c>
      <c r="P47" t="s" s="0">
        <v>1345</v>
      </c>
      <c r="Q47" t="s" s="0">
        <v>90</v>
      </c>
      <c r="R47" t="s" s="0">
        <v>81</v>
      </c>
      <c r="S47" t="s" s="0">
        <v>81</v>
      </c>
      <c r="T47" t="s" s="0">
        <v>81</v>
      </c>
      <c r="U47" t="s" s="0">
        <v>81</v>
      </c>
      <c r="V47" t="s" s="0">
        <v>1346</v>
      </c>
      <c r="W47" t="s" s="0">
        <v>1347</v>
      </c>
      <c r="X47" t="s" s="0">
        <v>81</v>
      </c>
      <c r="Y47" t="s" s="0">
        <v>81</v>
      </c>
      <c r="Z47" t="s" s="0">
        <v>93</v>
      </c>
      <c r="AA47" t="s" s="0">
        <v>94</v>
      </c>
      <c r="AB47" t="s" s="0">
        <v>81</v>
      </c>
      <c r="AC47" t="s" s="0">
        <v>81</v>
      </c>
      <c r="AD47" t="s" s="0">
        <v>81</v>
      </c>
      <c r="AE47" t="s" s="0">
        <v>81</v>
      </c>
      <c r="AF47" t="s" s="0">
        <v>81</v>
      </c>
      <c r="AG47" t="s" s="0">
        <v>81</v>
      </c>
      <c r="AH47" t="s" s="0">
        <v>81</v>
      </c>
      <c r="AI47" t="s" s="0">
        <v>1348</v>
      </c>
      <c r="AJ47" t="s" s="0">
        <v>1349</v>
      </c>
      <c r="AK47" t="s" s="0">
        <v>81</v>
      </c>
      <c r="AL47" t="s" s="0">
        <v>850</v>
      </c>
      <c r="AM47" t="s" s="0">
        <v>1350</v>
      </c>
      <c r="AN47" t="s" s="0">
        <v>1351</v>
      </c>
      <c r="AO47" t="s" s="0">
        <v>239</v>
      </c>
      <c r="AP47" t="s" s="0">
        <v>1352</v>
      </c>
      <c r="AQ47" t="s" s="0">
        <v>321</v>
      </c>
      <c r="AR47" t="s" s="0">
        <v>322</v>
      </c>
      <c r="AS47" t="s" s="0">
        <v>323</v>
      </c>
      <c r="AT47" t="s" s="0">
        <v>1353</v>
      </c>
      <c r="AU47" t="s" s="0">
        <v>1354</v>
      </c>
      <c r="AV47" t="s" s="0">
        <v>81</v>
      </c>
      <c r="AW47" t="s" s="0">
        <v>1355</v>
      </c>
      <c r="AX47" t="s" s="0">
        <v>1356</v>
      </c>
      <c r="AY47" t="s" s="0">
        <v>1357</v>
      </c>
      <c r="AZ47" t="s" s="0">
        <v>110</v>
      </c>
      <c r="BA47" t="s" s="0">
        <v>239</v>
      </c>
      <c r="BB47" t="s" s="0">
        <v>554</v>
      </c>
      <c r="BC47" t="s" s="0">
        <v>81</v>
      </c>
      <c r="BD47" t="s" s="0">
        <v>81</v>
      </c>
      <c r="BE47" t="s" s="0">
        <v>81</v>
      </c>
      <c r="BF47" t="s" s="0">
        <v>81</v>
      </c>
      <c r="BG47" t="s" s="0">
        <v>1358</v>
      </c>
      <c r="BH47" t="s" s="0">
        <v>1359</v>
      </c>
      <c r="BI47" t="s" s="0">
        <v>81</v>
      </c>
      <c r="BJ47" t="s" s="0">
        <v>1360</v>
      </c>
      <c r="BK47" t="s" s="91">
        <f>HYPERLINK("http://dx.doi.org/10.1038/s41591-024-03445-1","http://dx.doi.org/10.1038/s41591-024-03445-1")</f>
        <v>1361</v>
      </c>
      <c r="BL47" t="s" s="0">
        <v>81</v>
      </c>
      <c r="BM47" t="s" s="0">
        <v>927</v>
      </c>
      <c r="BN47" t="s" s="0">
        <v>328</v>
      </c>
      <c r="BO47" t="s" s="0">
        <v>1362</v>
      </c>
      <c r="BP47" t="s" s="0">
        <v>1363</v>
      </c>
      <c r="BQ47" t="s" s="0">
        <v>1364</v>
      </c>
      <c r="BR47" t="s" s="0">
        <v>1365</v>
      </c>
      <c r="BS47" t="s" s="0">
        <v>1366</v>
      </c>
      <c r="BT47" t="s" s="92">
        <f>HYPERLINK("https://www.webofscience.com/wos/woscc/full-record/WOS:001391708900001","View Record in Web of Science")</f>
        <v>120</v>
      </c>
      <c r="BU47" t="s" s="0">
        <v>186</v>
      </c>
      <c r="BV47" t="s" s="0">
        <v>602</v>
      </c>
      <c r="BW47" t="s" s="0">
        <v>603</v>
      </c>
      <c r="BX47" t="s" s="0">
        <v>122</v>
      </c>
    </row>
    <row r="48">
      <c r="A48" t="s" s="0">
        <v>77</v>
      </c>
      <c r="B48" t="s" s="0">
        <v>77</v>
      </c>
      <c r="C48" t="s" s="0">
        <v>77</v>
      </c>
      <c r="D48" t="s" s="0">
        <v>77</v>
      </c>
      <c r="E48" t="s" s="0">
        <v>1367</v>
      </c>
      <c r="F48" t="s" s="0">
        <v>1368</v>
      </c>
      <c r="G48" t="s" s="0">
        <v>1369</v>
      </c>
      <c r="H48" t="s" s="0">
        <v>81</v>
      </c>
      <c r="I48" t="s" s="0">
        <v>82</v>
      </c>
      <c r="J48" t="s" s="0">
        <v>1370</v>
      </c>
      <c r="K48" t="s" s="0">
        <v>1371</v>
      </c>
      <c r="L48" t="s" s="0">
        <v>1372</v>
      </c>
      <c r="M48" t="s" s="0">
        <v>1372</v>
      </c>
      <c r="N48" t="s" s="0">
        <v>1373</v>
      </c>
      <c r="O48" t="s" s="0">
        <v>1374</v>
      </c>
      <c r="P48" t="s" s="0">
        <v>1375</v>
      </c>
      <c r="Q48" t="s" s="0">
        <v>90</v>
      </c>
      <c r="R48" t="s" s="0">
        <v>81</v>
      </c>
      <c r="S48" t="s" s="0">
        <v>81</v>
      </c>
      <c r="T48" t="s" s="0">
        <v>81</v>
      </c>
      <c r="U48" t="s" s="0">
        <v>81</v>
      </c>
      <c r="V48" t="s" s="0">
        <v>1376</v>
      </c>
      <c r="W48" t="s" s="0">
        <v>1377</v>
      </c>
      <c r="X48" t="s" s="0">
        <v>81</v>
      </c>
      <c r="Y48" t="s" s="0">
        <v>81</v>
      </c>
      <c r="Z48" t="s" s="0">
        <v>93</v>
      </c>
      <c r="AA48" t="s" s="0">
        <v>94</v>
      </c>
      <c r="AB48" t="s" s="0">
        <v>81</v>
      </c>
      <c r="AC48" t="s" s="0">
        <v>81</v>
      </c>
      <c r="AD48" t="s" s="0">
        <v>81</v>
      </c>
      <c r="AE48" t="s" s="0">
        <v>81</v>
      </c>
      <c r="AF48" t="s" s="0">
        <v>81</v>
      </c>
      <c r="AG48" t="s" s="0">
        <v>1378</v>
      </c>
      <c r="AH48" t="s" s="0">
        <v>81</v>
      </c>
      <c r="AI48" t="s" s="0">
        <v>1379</v>
      </c>
      <c r="AJ48" t="s" s="0">
        <v>81</v>
      </c>
      <c r="AK48" t="s" s="0">
        <v>81</v>
      </c>
      <c r="AL48" t="s" s="0">
        <v>351</v>
      </c>
      <c r="AM48" t="s" s="0">
        <v>77</v>
      </c>
      <c r="AN48" t="s" s="0">
        <v>77</v>
      </c>
      <c r="AO48" t="s" s="0">
        <v>77</v>
      </c>
      <c r="AP48" t="s" s="0">
        <v>77</v>
      </c>
      <c r="AQ48" t="s" s="0">
        <v>1380</v>
      </c>
      <c r="AR48" t="s" s="0">
        <v>201</v>
      </c>
      <c r="AS48" t="s" s="0">
        <v>1381</v>
      </c>
      <c r="AT48" t="s" s="0">
        <v>1382</v>
      </c>
      <c r="AU48" t="s" s="0">
        <v>1383</v>
      </c>
      <c r="AV48" t="s" s="0">
        <v>81</v>
      </c>
      <c r="AW48" t="s" s="0">
        <v>1384</v>
      </c>
      <c r="AX48" t="s" s="0">
        <v>1385</v>
      </c>
      <c r="AY48" t="s" s="0">
        <v>1386</v>
      </c>
      <c r="AZ48" t="s" s="0">
        <v>144</v>
      </c>
      <c r="BA48" t="s" s="0">
        <v>526</v>
      </c>
      <c r="BB48" t="s" s="0">
        <v>169</v>
      </c>
      <c r="BC48" t="s" s="0">
        <v>81</v>
      </c>
      <c r="BD48" t="s" s="0">
        <v>81</v>
      </c>
      <c r="BE48" t="s" s="0">
        <v>81</v>
      </c>
      <c r="BF48" t="s" s="0">
        <v>81</v>
      </c>
      <c r="BG48" t="s" s="0">
        <v>81</v>
      </c>
      <c r="BH48" t="s" s="0">
        <v>81</v>
      </c>
      <c r="BI48" t="s" s="0">
        <v>1387</v>
      </c>
      <c r="BJ48" t="s" s="0">
        <v>1388</v>
      </c>
      <c r="BK48" t="s" s="93">
        <f>HYPERLINK("http://dx.doi.org/10.1007/s44196-026-01402-z","http://dx.doi.org/10.1007/s44196-026-01402-z")</f>
        <v>1389</v>
      </c>
      <c r="BL48" t="s" s="0">
        <v>81</v>
      </c>
      <c r="BM48" t="s" s="0">
        <v>532</v>
      </c>
      <c r="BN48" t="s" s="0">
        <v>582</v>
      </c>
      <c r="BO48" t="s" s="0">
        <v>907</v>
      </c>
      <c r="BP48" t="s" s="0">
        <v>303</v>
      </c>
      <c r="BQ48" t="s" s="0">
        <v>1390</v>
      </c>
      <c r="BR48" t="s" s="0">
        <v>81</v>
      </c>
      <c r="BS48" t="s" s="0">
        <v>1391</v>
      </c>
      <c r="BT48" t="s" s="94">
        <f>HYPERLINK("https://www.webofscience.com/wos/woscc/full-record/WOS:001813670900001","View Record in Web of Science")</f>
        <v>120</v>
      </c>
      <c r="BU48" t="s" s="0">
        <v>1216</v>
      </c>
      <c r="BV48" t="s" s="0">
        <v>81</v>
      </c>
      <c r="BW48" t="s" s="0">
        <v>81</v>
      </c>
      <c r="BX48" t="s" s="0">
        <v>122</v>
      </c>
    </row>
    <row r="49">
      <c r="A49" t="s" s="0">
        <v>554</v>
      </c>
      <c r="B49" t="s" s="0">
        <v>77</v>
      </c>
      <c r="C49" t="s" s="0">
        <v>452</v>
      </c>
      <c r="D49" t="s" s="0">
        <v>77</v>
      </c>
      <c r="E49" t="s" s="0">
        <v>1392</v>
      </c>
      <c r="F49" t="s" s="0">
        <v>1393</v>
      </c>
      <c r="G49" t="s" s="0">
        <v>1394</v>
      </c>
      <c r="H49" t="s" s="0">
        <v>81</v>
      </c>
      <c r="I49" t="s" s="0">
        <v>82</v>
      </c>
      <c r="J49" t="s" s="0">
        <v>1395</v>
      </c>
      <c r="K49" t="s" s="0">
        <v>1396</v>
      </c>
      <c r="L49" t="s" s="0">
        <v>81</v>
      </c>
      <c r="M49" t="s" s="0">
        <v>81</v>
      </c>
      <c r="N49" t="s" s="0">
        <v>1397</v>
      </c>
      <c r="O49" t="s" s="0">
        <v>1398</v>
      </c>
      <c r="P49" t="s" s="0">
        <v>1399</v>
      </c>
      <c r="Q49" t="s" s="0">
        <v>90</v>
      </c>
      <c r="R49" t="s" s="0">
        <v>81</v>
      </c>
      <c r="S49" t="s" s="0">
        <v>81</v>
      </c>
      <c r="T49" t="s" s="0">
        <v>81</v>
      </c>
      <c r="U49" t="s" s="0">
        <v>81</v>
      </c>
      <c r="V49" t="s" s="0">
        <v>1400</v>
      </c>
      <c r="W49" t="s" s="0">
        <v>92</v>
      </c>
      <c r="X49" t="s" s="0">
        <v>81</v>
      </c>
      <c r="Y49" t="s" s="0">
        <v>81</v>
      </c>
      <c r="Z49" t="s" s="0">
        <v>93</v>
      </c>
      <c r="AA49" t="s" s="0">
        <v>94</v>
      </c>
      <c r="AB49" t="s" s="0">
        <v>81</v>
      </c>
      <c r="AC49" t="s" s="0">
        <v>81</v>
      </c>
      <c r="AD49" t="s" s="0">
        <v>81</v>
      </c>
      <c r="AE49" t="s" s="0">
        <v>81</v>
      </c>
      <c r="AF49" t="s" s="0">
        <v>81</v>
      </c>
      <c r="AG49" t="s" s="0">
        <v>1401</v>
      </c>
      <c r="AH49" t="s" s="0">
        <v>1402</v>
      </c>
      <c r="AI49" t="s" s="0">
        <v>1403</v>
      </c>
      <c r="AJ49" t="s" s="0">
        <v>1404</v>
      </c>
      <c r="AK49" t="s" s="0">
        <v>81</v>
      </c>
      <c r="AL49" t="s" s="0">
        <v>658</v>
      </c>
      <c r="AM49" t="s" s="0">
        <v>469</v>
      </c>
      <c r="AN49" t="s" s="0">
        <v>1135</v>
      </c>
      <c r="AO49" t="s" s="0">
        <v>509</v>
      </c>
      <c r="AP49" t="s" s="0">
        <v>1047</v>
      </c>
      <c r="AQ49" t="s" s="0">
        <v>103</v>
      </c>
      <c r="AR49" t="s" s="0">
        <v>104</v>
      </c>
      <c r="AS49" t="s" s="0">
        <v>105</v>
      </c>
      <c r="AT49" t="s" s="0">
        <v>1405</v>
      </c>
      <c r="AU49" t="s" s="0">
        <v>106</v>
      </c>
      <c r="AV49" t="s" s="0">
        <v>81</v>
      </c>
      <c r="AW49" t="s" s="0">
        <v>107</v>
      </c>
      <c r="AX49" t="s" s="0">
        <v>108</v>
      </c>
      <c r="AY49" t="s" s="0">
        <v>1406</v>
      </c>
      <c r="AZ49" t="s" s="0">
        <v>592</v>
      </c>
      <c r="BA49" t="s" s="0">
        <v>319</v>
      </c>
      <c r="BB49" t="s" s="0">
        <v>81</v>
      </c>
      <c r="BC49" t="s" s="0">
        <v>81</v>
      </c>
      <c r="BD49" t="s" s="0">
        <v>81</v>
      </c>
      <c r="BE49" t="s" s="0">
        <v>81</v>
      </c>
      <c r="BF49" t="s" s="0">
        <v>81</v>
      </c>
      <c r="BG49" t="s" s="0">
        <v>81</v>
      </c>
      <c r="BH49" t="s" s="0">
        <v>81</v>
      </c>
      <c r="BI49" t="s" s="0">
        <v>1407</v>
      </c>
      <c r="BJ49" t="s" s="0">
        <v>1408</v>
      </c>
      <c r="BK49" t="s" s="95">
        <f>HYPERLINK("http://dx.doi.org/10.2196/60083","http://dx.doi.org/10.2196/60083")</f>
        <v>1409</v>
      </c>
      <c r="BL49" t="s" s="0">
        <v>81</v>
      </c>
      <c r="BM49" t="s" s="0">
        <v>81</v>
      </c>
      <c r="BN49" t="s" s="0">
        <v>115</v>
      </c>
      <c r="BO49" t="s" s="0">
        <v>116</v>
      </c>
      <c r="BP49" t="s" s="0">
        <v>116</v>
      </c>
      <c r="BQ49" t="s" s="0">
        <v>1410</v>
      </c>
      <c r="BR49" t="s" s="0">
        <v>1411</v>
      </c>
      <c r="BS49" t="s" s="0">
        <v>1412</v>
      </c>
      <c r="BT49" t="s" s="96">
        <f>HYPERLINK("https://www.webofscience.com/wos/woscc/full-record/WOS:001297047500006","View Record in Web of Science")</f>
        <v>120</v>
      </c>
      <c r="BU49" t="s" s="0">
        <v>121</v>
      </c>
      <c r="BV49" t="s" s="0">
        <v>81</v>
      </c>
      <c r="BW49" t="s" s="0">
        <v>81</v>
      </c>
      <c r="BX49" t="s" s="0">
        <v>122</v>
      </c>
    </row>
    <row r="50">
      <c r="A50" t="s" s="0">
        <v>77</v>
      </c>
      <c r="B50" t="s" s="0">
        <v>77</v>
      </c>
      <c r="C50" t="s" s="0">
        <v>77</v>
      </c>
      <c r="D50" t="s" s="0">
        <v>77</v>
      </c>
      <c r="E50" t="s" s="0">
        <v>1413</v>
      </c>
      <c r="F50" t="s" s="0">
        <v>1414</v>
      </c>
      <c r="G50" t="s" s="0">
        <v>1415</v>
      </c>
      <c r="H50" t="s" s="0">
        <v>81</v>
      </c>
      <c r="I50" t="s" s="0">
        <v>218</v>
      </c>
      <c r="J50" t="s" s="0">
        <v>1416</v>
      </c>
      <c r="K50" t="s" s="0">
        <v>1417</v>
      </c>
      <c r="L50" t="s" s="0">
        <v>1418</v>
      </c>
      <c r="M50" t="s" s="0">
        <v>1419</v>
      </c>
      <c r="N50" t="s" s="0">
        <v>1420</v>
      </c>
      <c r="O50" t="s" s="0">
        <v>1421</v>
      </c>
      <c r="P50" t="s" s="0">
        <v>1422</v>
      </c>
      <c r="Q50" t="s" s="0">
        <v>90</v>
      </c>
      <c r="R50" t="s" s="0">
        <v>81</v>
      </c>
      <c r="S50" t="s" s="0">
        <v>81</v>
      </c>
      <c r="T50" t="s" s="0">
        <v>81</v>
      </c>
      <c r="U50" t="s" s="0">
        <v>81</v>
      </c>
      <c r="V50" t="s" s="0">
        <v>1423</v>
      </c>
      <c r="W50" t="s" s="0">
        <v>1424</v>
      </c>
      <c r="X50" t="s" s="0">
        <v>81</v>
      </c>
      <c r="Y50" t="s" s="0">
        <v>81</v>
      </c>
      <c r="Z50" t="s" s="0">
        <v>93</v>
      </c>
      <c r="AA50" t="s" s="0">
        <v>94</v>
      </c>
      <c r="AB50" t="s" s="0">
        <v>81</v>
      </c>
      <c r="AC50" t="s" s="0">
        <v>81</v>
      </c>
      <c r="AD50" t="s" s="0">
        <v>81</v>
      </c>
      <c r="AE50" t="s" s="0">
        <v>81</v>
      </c>
      <c r="AF50" t="s" s="0">
        <v>81</v>
      </c>
      <c r="AG50" t="s" s="0">
        <v>1425</v>
      </c>
      <c r="AH50" t="s" s="0">
        <v>1426</v>
      </c>
      <c r="AI50" t="s" s="0">
        <v>81</v>
      </c>
      <c r="AJ50" t="s" s="0">
        <v>81</v>
      </c>
      <c r="AK50" t="s" s="0">
        <v>81</v>
      </c>
      <c r="AL50" t="s" s="0">
        <v>111</v>
      </c>
      <c r="AM50" t="s" s="0">
        <v>77</v>
      </c>
      <c r="AN50" t="s" s="0">
        <v>77</v>
      </c>
      <c r="AO50" t="s" s="0">
        <v>169</v>
      </c>
      <c r="AP50" t="s" s="0">
        <v>169</v>
      </c>
      <c r="AQ50" t="s" s="0">
        <v>288</v>
      </c>
      <c r="AR50" t="s" s="0">
        <v>289</v>
      </c>
      <c r="AS50" t="s" s="0">
        <v>290</v>
      </c>
      <c r="AT50" t="s" s="0">
        <v>81</v>
      </c>
      <c r="AU50" t="s" s="0">
        <v>1427</v>
      </c>
      <c r="AV50" t="s" s="0">
        <v>81</v>
      </c>
      <c r="AW50" t="s" s="0">
        <v>1428</v>
      </c>
      <c r="AX50" t="s" s="0">
        <v>1429</v>
      </c>
      <c r="AY50" t="s" s="0">
        <v>532</v>
      </c>
      <c r="AZ50" t="s" s="0">
        <v>144</v>
      </c>
      <c r="BA50" t="s" s="0">
        <v>360</v>
      </c>
      <c r="BB50" t="s" s="0">
        <v>81</v>
      </c>
      <c r="BC50" t="s" s="0">
        <v>81</v>
      </c>
      <c r="BD50" t="s" s="0">
        <v>81</v>
      </c>
      <c r="BE50" t="s" s="0">
        <v>81</v>
      </c>
      <c r="BF50" t="s" s="0">
        <v>81</v>
      </c>
      <c r="BG50" t="s" s="0">
        <v>81</v>
      </c>
      <c r="BH50" t="s" s="0">
        <v>81</v>
      </c>
      <c r="BI50" t="s" s="0">
        <v>1430</v>
      </c>
      <c r="BJ50" t="s" s="0">
        <v>1431</v>
      </c>
      <c r="BK50" t="s" s="97">
        <f>HYPERLINK("http://dx.doi.org/10.1016/j.esmorw.2026.100718","http://dx.doi.org/10.1016/j.esmorw.2026.100718")</f>
        <v>1432</v>
      </c>
      <c r="BL50" t="s" s="0">
        <v>81</v>
      </c>
      <c r="BM50" t="s" s="0">
        <v>295</v>
      </c>
      <c r="BN50" t="s" s="0">
        <v>328</v>
      </c>
      <c r="BO50" t="s" s="0">
        <v>1433</v>
      </c>
      <c r="BP50" t="s" s="0">
        <v>1433</v>
      </c>
      <c r="BQ50" t="s" s="0">
        <v>1434</v>
      </c>
      <c r="BR50" t="s" s="0">
        <v>1435</v>
      </c>
      <c r="BS50" t="s" s="0">
        <v>1436</v>
      </c>
      <c r="BT50" t="s" s="98">
        <f>HYPERLINK("https://www.webofscience.com/wos/woscc/full-record/WOS:001769437400001","View Record in Web of Science")</f>
        <v>120</v>
      </c>
      <c r="BU50" t="s" s="0">
        <v>121</v>
      </c>
      <c r="BV50" t="s" s="0">
        <v>81</v>
      </c>
      <c r="BW50" t="s" s="0">
        <v>81</v>
      </c>
      <c r="BX50" t="s" s="0">
        <v>122</v>
      </c>
    </row>
    <row r="51">
      <c r="A51" t="s" s="0">
        <v>77</v>
      </c>
      <c r="B51" t="s" s="0">
        <v>77</v>
      </c>
      <c r="C51" t="s" s="0">
        <v>99</v>
      </c>
      <c r="D51" t="s" s="0">
        <v>77</v>
      </c>
      <c r="E51" t="s" s="0">
        <v>1437</v>
      </c>
      <c r="F51" t="s" s="0">
        <v>1438</v>
      </c>
      <c r="G51" t="s" s="0">
        <v>1439</v>
      </c>
      <c r="H51" t="s" s="0">
        <v>81</v>
      </c>
      <c r="I51" t="s" s="0">
        <v>568</v>
      </c>
      <c r="J51" t="s" s="0">
        <v>1440</v>
      </c>
      <c r="K51" t="s" s="0">
        <v>1441</v>
      </c>
      <c r="L51" t="s" s="0">
        <v>1442</v>
      </c>
      <c r="M51" t="s" s="0">
        <v>1443</v>
      </c>
      <c r="N51" t="s" s="0">
        <v>1444</v>
      </c>
      <c r="O51" t="s" s="0">
        <v>1445</v>
      </c>
      <c r="P51" t="s" s="0">
        <v>1446</v>
      </c>
      <c r="Q51" t="s" s="0">
        <v>90</v>
      </c>
      <c r="R51" t="s" s="0">
        <v>81</v>
      </c>
      <c r="S51" t="s" s="0">
        <v>81</v>
      </c>
      <c r="T51" t="s" s="0">
        <v>81</v>
      </c>
      <c r="U51" t="s" s="0">
        <v>81</v>
      </c>
      <c r="V51" t="s" s="0">
        <v>1447</v>
      </c>
      <c r="W51" t="s" s="0">
        <v>1319</v>
      </c>
      <c r="X51" t="s" s="0">
        <v>81</v>
      </c>
      <c r="Y51" t="s" s="0">
        <v>81</v>
      </c>
      <c r="Z51" t="s" s="0">
        <v>93</v>
      </c>
      <c r="AA51" t="s" s="0">
        <v>196</v>
      </c>
      <c r="AB51" t="s" s="0">
        <v>81</v>
      </c>
      <c r="AC51" t="s" s="0">
        <v>81</v>
      </c>
      <c r="AD51" t="s" s="0">
        <v>81</v>
      </c>
      <c r="AE51" t="s" s="0">
        <v>81</v>
      </c>
      <c r="AF51" t="s" s="0">
        <v>81</v>
      </c>
      <c r="AG51" t="s" s="0">
        <v>1448</v>
      </c>
      <c r="AH51" t="s" s="0">
        <v>81</v>
      </c>
      <c r="AI51" t="s" s="0">
        <v>1449</v>
      </c>
      <c r="AJ51" t="s" s="0">
        <v>1450</v>
      </c>
      <c r="AK51" t="s" s="0">
        <v>81</v>
      </c>
      <c r="AL51" t="s" s="0">
        <v>111</v>
      </c>
      <c r="AM51" t="s" s="0">
        <v>438</v>
      </c>
      <c r="AN51" t="s" s="0">
        <v>301</v>
      </c>
      <c r="AO51" t="s" s="0">
        <v>99</v>
      </c>
      <c r="AP51" t="s" s="0">
        <v>1451</v>
      </c>
      <c r="AQ51" t="s" s="0">
        <v>527</v>
      </c>
      <c r="AR51" t="s" s="0">
        <v>528</v>
      </c>
      <c r="AS51" t="s" s="0">
        <v>529</v>
      </c>
      <c r="AT51" t="s" s="0">
        <v>1323</v>
      </c>
      <c r="AU51" t="s" s="0">
        <v>1324</v>
      </c>
      <c r="AV51" t="s" s="0">
        <v>81</v>
      </c>
      <c r="AW51" t="s" s="0">
        <v>1325</v>
      </c>
      <c r="AX51" t="s" s="0">
        <v>1326</v>
      </c>
      <c r="AY51" t="s" s="0">
        <v>81</v>
      </c>
      <c r="AZ51" t="s" s="0">
        <v>592</v>
      </c>
      <c r="BA51" t="s" s="0">
        <v>81</v>
      </c>
      <c r="BB51" t="s" s="0">
        <v>81</v>
      </c>
      <c r="BC51" t="s" s="0">
        <v>81</v>
      </c>
      <c r="BD51" t="s" s="0">
        <v>81</v>
      </c>
      <c r="BE51" t="s" s="0">
        <v>81</v>
      </c>
      <c r="BF51" t="s" s="0">
        <v>81</v>
      </c>
      <c r="BG51" t="s" s="0">
        <v>81</v>
      </c>
      <c r="BH51" t="s" s="0">
        <v>81</v>
      </c>
      <c r="BI51" t="s" s="0">
        <v>81</v>
      </c>
      <c r="BJ51" t="s" s="0">
        <v>1452</v>
      </c>
      <c r="BK51" t="s" s="99">
        <f>HYPERLINK("http://dx.doi.org/10.1093/jamia/ocae085","http://dx.doi.org/10.1093/jamia/ocae085")</f>
        <v>1453</v>
      </c>
      <c r="BL51" t="s" s="0">
        <v>81</v>
      </c>
      <c r="BM51" t="s" s="0">
        <v>1454</v>
      </c>
      <c r="BN51" t="s" s="0">
        <v>452</v>
      </c>
      <c r="BO51" t="s" s="0">
        <v>1331</v>
      </c>
      <c r="BP51" t="s" s="0">
        <v>1332</v>
      </c>
      <c r="BQ51" t="s" s="0">
        <v>1455</v>
      </c>
      <c r="BR51" t="s" s="0">
        <v>1456</v>
      </c>
      <c r="BS51" t="s" s="0">
        <v>1457</v>
      </c>
      <c r="BT51" t="s" s="100">
        <f>HYPERLINK("https://www.webofscience.com/wos/woscc/full-record/WOS:001209699500001","View Record in Web of Science")</f>
        <v>120</v>
      </c>
      <c r="BU51" t="s" s="0">
        <v>1216</v>
      </c>
      <c r="BV51" t="s" s="0">
        <v>81</v>
      </c>
      <c r="BW51" t="s" s="0">
        <v>81</v>
      </c>
      <c r="BX51" t="s" s="0">
        <v>122</v>
      </c>
    </row>
    <row r="52">
      <c r="A52" t="s" s="0">
        <v>77</v>
      </c>
      <c r="B52" t="s" s="0">
        <v>77</v>
      </c>
      <c r="C52" t="s" s="0">
        <v>77</v>
      </c>
      <c r="D52" t="s" s="0">
        <v>77</v>
      </c>
      <c r="E52" t="s" s="0">
        <v>1458</v>
      </c>
      <c r="F52" t="s" s="0">
        <v>1459</v>
      </c>
      <c r="G52" t="s" s="0">
        <v>1460</v>
      </c>
      <c r="H52" t="s" s="0">
        <v>81</v>
      </c>
      <c r="I52" t="s" s="0">
        <v>82</v>
      </c>
      <c r="J52" t="s" s="0">
        <v>1461</v>
      </c>
      <c r="K52" t="s" s="0">
        <v>1462</v>
      </c>
      <c r="L52" t="s" s="0">
        <v>81</v>
      </c>
      <c r="M52" t="s" s="0">
        <v>81</v>
      </c>
      <c r="N52" t="s" s="0">
        <v>81</v>
      </c>
      <c r="O52" t="s" s="0">
        <v>1463</v>
      </c>
      <c r="P52" t="s" s="0">
        <v>1464</v>
      </c>
      <c r="Q52" t="s" s="0">
        <v>90</v>
      </c>
      <c r="R52" t="s" s="0">
        <v>81</v>
      </c>
      <c r="S52" t="s" s="0">
        <v>81</v>
      </c>
      <c r="T52" t="s" s="0">
        <v>81</v>
      </c>
      <c r="U52" t="s" s="0">
        <v>81</v>
      </c>
      <c r="V52" t="s" s="0">
        <v>1465</v>
      </c>
      <c r="W52" t="s" s="0">
        <v>1466</v>
      </c>
      <c r="X52" t="s" s="0">
        <v>81</v>
      </c>
      <c r="Y52" t="s" s="0">
        <v>81</v>
      </c>
      <c r="Z52" t="s" s="0">
        <v>93</v>
      </c>
      <c r="AA52" t="s" s="0">
        <v>94</v>
      </c>
      <c r="AB52" t="s" s="0">
        <v>81</v>
      </c>
      <c r="AC52" t="s" s="0">
        <v>81</v>
      </c>
      <c r="AD52" t="s" s="0">
        <v>81</v>
      </c>
      <c r="AE52" t="s" s="0">
        <v>81</v>
      </c>
      <c r="AF52" t="s" s="0">
        <v>81</v>
      </c>
      <c r="AG52" t="s" s="0">
        <v>1467</v>
      </c>
      <c r="AH52" t="s" s="0">
        <v>81</v>
      </c>
      <c r="AI52" t="s" s="0">
        <v>1468</v>
      </c>
      <c r="AJ52" t="s" s="0">
        <v>81</v>
      </c>
      <c r="AK52" t="s" s="0">
        <v>81</v>
      </c>
      <c r="AL52" t="s" s="0">
        <v>553</v>
      </c>
      <c r="AM52" t="s" s="0">
        <v>77</v>
      </c>
      <c r="AN52" t="s" s="0">
        <v>77</v>
      </c>
      <c r="AO52" t="s" s="0">
        <v>554</v>
      </c>
      <c r="AP52" t="s" s="0">
        <v>554</v>
      </c>
      <c r="AQ52" t="s" s="0">
        <v>499</v>
      </c>
      <c r="AR52" t="s" s="0">
        <v>500</v>
      </c>
      <c r="AS52" t="s" s="0">
        <v>501</v>
      </c>
      <c r="AT52" t="s" s="0">
        <v>1469</v>
      </c>
      <c r="AU52" t="s" s="0">
        <v>1470</v>
      </c>
      <c r="AV52" t="s" s="0">
        <v>81</v>
      </c>
      <c r="AW52" t="s" s="0">
        <v>1471</v>
      </c>
      <c r="AX52" t="s" s="0">
        <v>1472</v>
      </c>
      <c r="AY52" t="s" s="0">
        <v>143</v>
      </c>
      <c r="AZ52" t="s" s="0">
        <v>144</v>
      </c>
      <c r="BA52" t="s" s="0">
        <v>1473</v>
      </c>
      <c r="BB52" t="s" s="0">
        <v>386</v>
      </c>
      <c r="BC52" t="s" s="0">
        <v>81</v>
      </c>
      <c r="BD52" t="s" s="0">
        <v>81</v>
      </c>
      <c r="BE52" t="s" s="0">
        <v>81</v>
      </c>
      <c r="BF52" t="s" s="0">
        <v>81</v>
      </c>
      <c r="BG52" t="s" s="0">
        <v>1474</v>
      </c>
      <c r="BH52" t="s" s="0">
        <v>1475</v>
      </c>
      <c r="BI52" t="s" s="0">
        <v>81</v>
      </c>
      <c r="BJ52" t="s" s="0">
        <v>1476</v>
      </c>
      <c r="BK52" t="s" s="101">
        <f>HYPERLINK("http://dx.doi.org/10.1007/s00405-026-10253-5","http://dx.doi.org/10.1007/s00405-026-10253-5")</f>
        <v>1477</v>
      </c>
      <c r="BL52" t="s" s="0">
        <v>81</v>
      </c>
      <c r="BM52" t="s" s="0">
        <v>295</v>
      </c>
      <c r="BN52" t="s" s="0">
        <v>210</v>
      </c>
      <c r="BO52" t="s" s="0">
        <v>1478</v>
      </c>
      <c r="BP52" t="s" s="0">
        <v>1478</v>
      </c>
      <c r="BQ52" t="s" s="0">
        <v>1479</v>
      </c>
      <c r="BR52" t="s" s="0">
        <v>1480</v>
      </c>
      <c r="BS52" t="s" s="0">
        <v>1481</v>
      </c>
      <c r="BT52" t="s" s="102">
        <f>HYPERLINK("https://www.webofscience.com/wos/woscc/full-record/WOS:001764200100001","View Record in Web of Science")</f>
        <v>120</v>
      </c>
      <c r="BU52" t="s" s="0">
        <v>81</v>
      </c>
      <c r="BV52" t="s" s="0">
        <v>81</v>
      </c>
      <c r="BW52" t="s" s="0">
        <v>81</v>
      </c>
      <c r="BX52" t="s" s="0">
        <v>122</v>
      </c>
    </row>
    <row r="53">
      <c r="A53" t="s" s="0">
        <v>77</v>
      </c>
      <c r="B53" t="s" s="0">
        <v>77</v>
      </c>
      <c r="C53" t="s" s="0">
        <v>77</v>
      </c>
      <c r="D53" t="s" s="0">
        <v>77</v>
      </c>
      <c r="E53" t="s" s="0">
        <v>1482</v>
      </c>
      <c r="F53" t="s" s="0">
        <v>1483</v>
      </c>
      <c r="G53" t="s" s="0">
        <v>1484</v>
      </c>
      <c r="H53" t="s" s="0">
        <v>81</v>
      </c>
      <c r="I53" t="s" s="0">
        <v>82</v>
      </c>
      <c r="J53" t="s" s="0">
        <v>1485</v>
      </c>
      <c r="K53" t="s" s="0">
        <v>1486</v>
      </c>
      <c r="L53" t="s" s="0">
        <v>1487</v>
      </c>
      <c r="M53" t="s" s="0">
        <v>1488</v>
      </c>
      <c r="N53" t="s" s="0">
        <v>1489</v>
      </c>
      <c r="O53" t="s" s="0">
        <v>1490</v>
      </c>
      <c r="P53" t="s" s="0">
        <v>1491</v>
      </c>
      <c r="Q53" t="s" s="0">
        <v>90</v>
      </c>
      <c r="R53" t="s" s="0">
        <v>81</v>
      </c>
      <c r="S53" t="s" s="0">
        <v>81</v>
      </c>
      <c r="T53" t="s" s="0">
        <v>81</v>
      </c>
      <c r="U53" t="s" s="0">
        <v>81</v>
      </c>
      <c r="V53" t="s" s="0">
        <v>1492</v>
      </c>
      <c r="W53" t="s" s="0">
        <v>1493</v>
      </c>
      <c r="X53" t="s" s="0">
        <v>81</v>
      </c>
      <c r="Y53" t="s" s="0">
        <v>81</v>
      </c>
      <c r="Z53" t="s" s="0">
        <v>93</v>
      </c>
      <c r="AA53" t="s" s="0">
        <v>94</v>
      </c>
      <c r="AB53" t="s" s="0">
        <v>81</v>
      </c>
      <c r="AC53" t="s" s="0">
        <v>81</v>
      </c>
      <c r="AD53" t="s" s="0">
        <v>81</v>
      </c>
      <c r="AE53" t="s" s="0">
        <v>81</v>
      </c>
      <c r="AF53" t="s" s="0">
        <v>81</v>
      </c>
      <c r="AG53" t="s" s="0">
        <v>1494</v>
      </c>
      <c r="AH53" t="s" s="0">
        <v>81</v>
      </c>
      <c r="AI53" t="s" s="0">
        <v>1495</v>
      </c>
      <c r="AJ53" t="s" s="0">
        <v>81</v>
      </c>
      <c r="AK53" t="s" s="0">
        <v>81</v>
      </c>
      <c r="AL53" t="s" s="0">
        <v>1496</v>
      </c>
      <c r="AM53" t="s" s="0">
        <v>77</v>
      </c>
      <c r="AN53" t="s" s="0">
        <v>77</v>
      </c>
      <c r="AO53" t="s" s="0">
        <v>169</v>
      </c>
      <c r="AP53" t="s" s="0">
        <v>169</v>
      </c>
      <c r="AQ53" t="s" s="0">
        <v>499</v>
      </c>
      <c r="AR53" t="s" s="0">
        <v>500</v>
      </c>
      <c r="AS53" t="s" s="0">
        <v>501</v>
      </c>
      <c r="AT53" t="s" s="0">
        <v>1497</v>
      </c>
      <c r="AU53" t="s" s="0">
        <v>1498</v>
      </c>
      <c r="AV53" t="s" s="0">
        <v>81</v>
      </c>
      <c r="AW53" t="s" s="0">
        <v>1499</v>
      </c>
      <c r="AX53" t="s" s="0">
        <v>1500</v>
      </c>
      <c r="AY53" t="s" s="0">
        <v>1501</v>
      </c>
      <c r="AZ53" t="s" s="0">
        <v>144</v>
      </c>
      <c r="BA53" t="s" s="0">
        <v>671</v>
      </c>
      <c r="BB53" t="s" s="0">
        <v>99</v>
      </c>
      <c r="BC53" t="s" s="0">
        <v>81</v>
      </c>
      <c r="BD53" t="s" s="0">
        <v>81</v>
      </c>
      <c r="BE53" t="s" s="0">
        <v>81</v>
      </c>
      <c r="BF53" t="s" s="0">
        <v>81</v>
      </c>
      <c r="BG53" t="s" s="0">
        <v>81</v>
      </c>
      <c r="BH53" t="s" s="0">
        <v>81</v>
      </c>
      <c r="BI53" t="s" s="0">
        <v>1502</v>
      </c>
      <c r="BJ53" t="s" s="0">
        <v>1503</v>
      </c>
      <c r="BK53" t="s" s="103">
        <f>HYPERLINK("http://dx.doi.org/10.1007/s00530-026-02288-9","http://dx.doi.org/10.1007/s00530-026-02288-9")</f>
        <v>1504</v>
      </c>
      <c r="BL53" t="s" s="0">
        <v>81</v>
      </c>
      <c r="BM53" t="s" s="0">
        <v>295</v>
      </c>
      <c r="BN53" t="s" s="0">
        <v>239</v>
      </c>
      <c r="BO53" t="s" s="0">
        <v>1505</v>
      </c>
      <c r="BP53" t="s" s="0">
        <v>303</v>
      </c>
      <c r="BQ53" t="s" s="0">
        <v>1506</v>
      </c>
      <c r="BR53" t="s" s="0">
        <v>81</v>
      </c>
      <c r="BS53" t="s" s="0">
        <v>1507</v>
      </c>
      <c r="BT53" t="s" s="104">
        <f>HYPERLINK("https://www.webofscience.com/wos/woscc/full-record/WOS:001758540000048","View Record in Web of Science")</f>
        <v>120</v>
      </c>
      <c r="BU53" t="s" s="0">
        <v>81</v>
      </c>
      <c r="BV53" t="s" s="0">
        <v>81</v>
      </c>
      <c r="BW53" t="s" s="0">
        <v>81</v>
      </c>
      <c r="BX53" t="s" s="0">
        <v>122</v>
      </c>
    </row>
    <row r="54">
      <c r="A54" t="s" s="0">
        <v>77</v>
      </c>
      <c r="B54" t="s" s="0">
        <v>77</v>
      </c>
      <c r="C54" t="s" s="0">
        <v>77</v>
      </c>
      <c r="D54" t="s" s="0">
        <v>77</v>
      </c>
      <c r="E54" t="s" s="0">
        <v>1508</v>
      </c>
      <c r="F54" t="s" s="0">
        <v>1509</v>
      </c>
      <c r="G54" t="s" s="0">
        <v>1510</v>
      </c>
      <c r="H54" t="s" s="0">
        <v>81</v>
      </c>
      <c r="I54" t="s" s="0">
        <v>82</v>
      </c>
      <c r="J54" t="s" s="0">
        <v>1511</v>
      </c>
      <c r="K54" t="s" s="0">
        <v>1512</v>
      </c>
      <c r="L54" t="s" s="0">
        <v>81</v>
      </c>
      <c r="M54" t="s" s="0">
        <v>81</v>
      </c>
      <c r="N54" t="s" s="0">
        <v>81</v>
      </c>
      <c r="O54" t="s" s="0">
        <v>1513</v>
      </c>
      <c r="P54" t="s" s="0">
        <v>1514</v>
      </c>
      <c r="Q54" t="s" s="0">
        <v>90</v>
      </c>
      <c r="R54" t="s" s="0">
        <v>81</v>
      </c>
      <c r="S54" t="s" s="0">
        <v>81</v>
      </c>
      <c r="T54" t="s" s="0">
        <v>81</v>
      </c>
      <c r="U54" t="s" s="0">
        <v>81</v>
      </c>
      <c r="V54" t="s" s="0">
        <v>1515</v>
      </c>
      <c r="W54" t="s" s="0">
        <v>1516</v>
      </c>
      <c r="X54" t="s" s="0">
        <v>81</v>
      </c>
      <c r="Y54" t="s" s="0">
        <v>81</v>
      </c>
      <c r="Z54" t="s" s="0">
        <v>93</v>
      </c>
      <c r="AA54" t="s" s="0">
        <v>94</v>
      </c>
      <c r="AB54" t="s" s="0">
        <v>81</v>
      </c>
      <c r="AC54" t="s" s="0">
        <v>81</v>
      </c>
      <c r="AD54" t="s" s="0">
        <v>81</v>
      </c>
      <c r="AE54" t="s" s="0">
        <v>81</v>
      </c>
      <c r="AF54" t="s" s="0">
        <v>81</v>
      </c>
      <c r="AG54" t="s" s="0">
        <v>1517</v>
      </c>
      <c r="AH54" t="s" s="0">
        <v>81</v>
      </c>
      <c r="AI54" t="s" s="0">
        <v>1518</v>
      </c>
      <c r="AJ54" t="s" s="0">
        <v>1519</v>
      </c>
      <c r="AK54" t="s" s="0">
        <v>81</v>
      </c>
      <c r="AL54" t="s" s="0">
        <v>526</v>
      </c>
      <c r="AM54" t="s" s="0">
        <v>99</v>
      </c>
      <c r="AN54" t="s" s="0">
        <v>99</v>
      </c>
      <c r="AO54" t="s" s="0">
        <v>554</v>
      </c>
      <c r="AP54" t="s" s="0">
        <v>386</v>
      </c>
      <c r="AQ54" t="s" s="0">
        <v>527</v>
      </c>
      <c r="AR54" t="s" s="0">
        <v>528</v>
      </c>
      <c r="AS54" t="s" s="0">
        <v>529</v>
      </c>
      <c r="AT54" t="s" s="0">
        <v>1520</v>
      </c>
      <c r="AU54" t="s" s="0">
        <v>1521</v>
      </c>
      <c r="AV54" t="s" s="0">
        <v>81</v>
      </c>
      <c r="AW54" t="s" s="0">
        <v>1522</v>
      </c>
      <c r="AX54" t="s" s="0">
        <v>1523</v>
      </c>
      <c r="AY54" t="s" s="0">
        <v>1524</v>
      </c>
      <c r="AZ54" t="s" s="0">
        <v>110</v>
      </c>
      <c r="BA54" t="s" s="0">
        <v>690</v>
      </c>
      <c r="BB54" t="s" s="0">
        <v>99</v>
      </c>
      <c r="BC54" t="s" s="0">
        <v>81</v>
      </c>
      <c r="BD54" t="s" s="0">
        <v>81</v>
      </c>
      <c r="BE54" t="s" s="0">
        <v>81</v>
      </c>
      <c r="BF54" t="s" s="0">
        <v>81</v>
      </c>
      <c r="BG54" t="s" s="0">
        <v>81</v>
      </c>
      <c r="BH54" t="s" s="0">
        <v>81</v>
      </c>
      <c r="BI54" t="s" s="0">
        <v>1525</v>
      </c>
      <c r="BJ54" t="s" s="0">
        <v>1526</v>
      </c>
      <c r="BK54" t="s" s="105">
        <f>HYPERLINK("http://dx.doi.org/10.1093/fampra/cmaf035","http://dx.doi.org/10.1093/fampra/cmaf035")</f>
        <v>1527</v>
      </c>
      <c r="BL54" t="s" s="0">
        <v>81</v>
      </c>
      <c r="BM54" t="s" s="0">
        <v>81</v>
      </c>
      <c r="BN54" t="s" s="0">
        <v>452</v>
      </c>
      <c r="BO54" t="s" s="0">
        <v>1287</v>
      </c>
      <c r="BP54" t="s" s="0">
        <v>150</v>
      </c>
      <c r="BQ54" t="s" s="0">
        <v>1528</v>
      </c>
      <c r="BR54" t="s" s="0">
        <v>1529</v>
      </c>
      <c r="BS54" t="s" s="0">
        <v>1530</v>
      </c>
      <c r="BT54" t="s" s="106">
        <f>HYPERLINK("https://www.webofscience.com/wos/woscc/full-record/WOS:001504045000001","View Record in Web of Science")</f>
        <v>120</v>
      </c>
      <c r="BU54" t="s" s="0">
        <v>81</v>
      </c>
      <c r="BV54" t="s" s="0">
        <v>81</v>
      </c>
      <c r="BW54" t="s" s="0">
        <v>81</v>
      </c>
      <c r="BX54" t="s" s="0">
        <v>122</v>
      </c>
    </row>
    <row r="55">
      <c r="A55" t="s" s="0">
        <v>77</v>
      </c>
      <c r="B55" t="s" s="0">
        <v>77</v>
      </c>
      <c r="C55" t="s" s="0">
        <v>99</v>
      </c>
      <c r="D55" t="s" s="0">
        <v>77</v>
      </c>
      <c r="E55" t="s" s="0">
        <v>1531</v>
      </c>
      <c r="F55" t="s" s="0">
        <v>1532</v>
      </c>
      <c r="G55" t="s" s="0">
        <v>1533</v>
      </c>
      <c r="H55" t="s" s="0">
        <v>81</v>
      </c>
      <c r="I55" t="s" s="0">
        <v>82</v>
      </c>
      <c r="J55" t="s" s="0">
        <v>1534</v>
      </c>
      <c r="K55" t="s" s="0">
        <v>1535</v>
      </c>
      <c r="L55" t="s" s="0">
        <v>81</v>
      </c>
      <c r="M55" t="s" s="0">
        <v>81</v>
      </c>
      <c r="N55" t="s" s="0">
        <v>81</v>
      </c>
      <c r="O55" t="s" s="0">
        <v>1536</v>
      </c>
      <c r="P55" t="s" s="0">
        <v>1537</v>
      </c>
      <c r="Q55" t="s" s="0">
        <v>90</v>
      </c>
      <c r="R55" t="s" s="0">
        <v>81</v>
      </c>
      <c r="S55" t="s" s="0">
        <v>81</v>
      </c>
      <c r="T55" t="s" s="0">
        <v>81</v>
      </c>
      <c r="U55" t="s" s="0">
        <v>81</v>
      </c>
      <c r="V55" t="s" s="0">
        <v>1538</v>
      </c>
      <c r="W55" t="s" s="0">
        <v>1539</v>
      </c>
      <c r="X55" t="s" s="0">
        <v>81</v>
      </c>
      <c r="Y55" t="s" s="0">
        <v>81</v>
      </c>
      <c r="Z55" t="s" s="0">
        <v>93</v>
      </c>
      <c r="AA55" t="s" s="0">
        <v>94</v>
      </c>
      <c r="AB55" t="s" s="0">
        <v>81</v>
      </c>
      <c r="AC55" t="s" s="0">
        <v>81</v>
      </c>
      <c r="AD55" t="s" s="0">
        <v>81</v>
      </c>
      <c r="AE55" t="s" s="0">
        <v>81</v>
      </c>
      <c r="AF55" t="s" s="0">
        <v>81</v>
      </c>
      <c r="AG55" t="s" s="0">
        <v>1540</v>
      </c>
      <c r="AH55" t="s" s="0">
        <v>81</v>
      </c>
      <c r="AI55" t="s" s="0">
        <v>1541</v>
      </c>
      <c r="AJ55" t="s" s="0">
        <v>1542</v>
      </c>
      <c r="AK55" t="s" s="0">
        <v>81</v>
      </c>
      <c r="AL55" t="s" s="0">
        <v>1543</v>
      </c>
      <c r="AM55" t="s" s="0">
        <v>445</v>
      </c>
      <c r="AN55" t="s" s="0">
        <v>1232</v>
      </c>
      <c r="AO55" t="s" s="0">
        <v>77</v>
      </c>
      <c r="AP55" t="s" s="0">
        <v>102</v>
      </c>
      <c r="AQ55" t="s" s="0">
        <v>1544</v>
      </c>
      <c r="AR55" t="s" s="0">
        <v>1545</v>
      </c>
      <c r="AS55" t="s" s="0">
        <v>1546</v>
      </c>
      <c r="AT55" t="s" s="0">
        <v>1547</v>
      </c>
      <c r="AU55" t="s" s="0">
        <v>1548</v>
      </c>
      <c r="AV55" t="s" s="0">
        <v>81</v>
      </c>
      <c r="AW55" t="s" s="0">
        <v>1539</v>
      </c>
      <c r="AX55" t="s" s="0">
        <v>1549</v>
      </c>
      <c r="AY55" t="s" s="0">
        <v>591</v>
      </c>
      <c r="AZ55" t="s" s="0">
        <v>592</v>
      </c>
      <c r="BA55" t="s" s="0">
        <v>1550</v>
      </c>
      <c r="BB55" t="s" s="0">
        <v>328</v>
      </c>
      <c r="BC55" t="s" s="0">
        <v>81</v>
      </c>
      <c r="BD55" t="s" s="0">
        <v>81</v>
      </c>
      <c r="BE55" t="s" s="0">
        <v>81</v>
      </c>
      <c r="BF55" t="s" s="0">
        <v>81</v>
      </c>
      <c r="BG55" t="s" s="0">
        <v>1551</v>
      </c>
      <c r="BH55" t="s" s="0">
        <v>1552</v>
      </c>
      <c r="BI55" t="s" s="0">
        <v>81</v>
      </c>
      <c r="BJ55" t="s" s="0">
        <v>1553</v>
      </c>
      <c r="BK55" t="s" s="107">
        <f>HYPERLINK("http://dx.doi.org/10.1002/lary.31434","http://dx.doi.org/10.1002/lary.31434")</f>
        <v>1554</v>
      </c>
      <c r="BL55" t="s" s="0">
        <v>81</v>
      </c>
      <c r="BM55" t="s" s="0">
        <v>1454</v>
      </c>
      <c r="BN55" t="s" s="0">
        <v>452</v>
      </c>
      <c r="BO55" t="s" s="0">
        <v>1555</v>
      </c>
      <c r="BP55" t="s" s="0">
        <v>1556</v>
      </c>
      <c r="BQ55" t="s" s="0">
        <v>1557</v>
      </c>
      <c r="BR55" t="s" s="0">
        <v>1558</v>
      </c>
      <c r="BS55" t="s" s="0">
        <v>1559</v>
      </c>
      <c r="BT55" t="s" s="108">
        <f>HYPERLINK("https://www.webofscience.com/wos/woscc/full-record/WOS:001195133600001","View Record in Web of Science")</f>
        <v>120</v>
      </c>
      <c r="BU55" t="s" s="0">
        <v>306</v>
      </c>
      <c r="BV55" t="s" s="0">
        <v>81</v>
      </c>
      <c r="BW55" t="s" s="0">
        <v>81</v>
      </c>
      <c r="BX55" t="s" s="0">
        <v>122</v>
      </c>
    </row>
    <row r="56">
      <c r="A56" t="s" s="0">
        <v>77</v>
      </c>
      <c r="B56" t="s" s="0">
        <v>77</v>
      </c>
      <c r="C56" t="s" s="0">
        <v>77</v>
      </c>
      <c r="D56" t="s" s="0">
        <v>77</v>
      </c>
      <c r="E56" t="s" s="0">
        <v>1560</v>
      </c>
      <c r="F56" t="s" s="0">
        <v>1561</v>
      </c>
      <c r="G56" t="s" s="0">
        <v>1562</v>
      </c>
      <c r="H56" t="s" s="0">
        <v>81</v>
      </c>
      <c r="I56" t="s" s="0">
        <v>82</v>
      </c>
      <c r="J56" t="s" s="0">
        <v>1563</v>
      </c>
      <c r="K56" t="s" s="0">
        <v>1564</v>
      </c>
      <c r="L56" t="s" s="0">
        <v>1565</v>
      </c>
      <c r="M56" t="s" s="0">
        <v>1566</v>
      </c>
      <c r="N56" t="s" s="0">
        <v>1567</v>
      </c>
      <c r="O56" t="s" s="0">
        <v>1568</v>
      </c>
      <c r="P56" t="s" s="0">
        <v>1569</v>
      </c>
      <c r="Q56" t="s" s="0">
        <v>90</v>
      </c>
      <c r="R56" t="s" s="0">
        <v>81</v>
      </c>
      <c r="S56" t="s" s="0">
        <v>81</v>
      </c>
      <c r="T56" t="s" s="0">
        <v>81</v>
      </c>
      <c r="U56" t="s" s="0">
        <v>81</v>
      </c>
      <c r="V56" t="s" s="0">
        <v>1570</v>
      </c>
      <c r="W56" t="s" s="0">
        <v>1571</v>
      </c>
      <c r="X56" t="s" s="0">
        <v>81</v>
      </c>
      <c r="Y56" t="s" s="0">
        <v>81</v>
      </c>
      <c r="Z56" t="s" s="0">
        <v>93</v>
      </c>
      <c r="AA56" t="s" s="0">
        <v>94</v>
      </c>
      <c r="AB56" t="s" s="0">
        <v>81</v>
      </c>
      <c r="AC56" t="s" s="0">
        <v>81</v>
      </c>
      <c r="AD56" t="s" s="0">
        <v>81</v>
      </c>
      <c r="AE56" t="s" s="0">
        <v>81</v>
      </c>
      <c r="AF56" t="s" s="0">
        <v>81</v>
      </c>
      <c r="AG56" t="s" s="0">
        <v>1572</v>
      </c>
      <c r="AH56" t="s" s="0">
        <v>81</v>
      </c>
      <c r="AI56" t="s" s="0">
        <v>1573</v>
      </c>
      <c r="AJ56" t="s" s="0">
        <v>1574</v>
      </c>
      <c r="AK56" t="s" s="0">
        <v>81</v>
      </c>
      <c r="AL56" t="s" s="0">
        <v>1232</v>
      </c>
      <c r="AM56" t="s" s="0">
        <v>101</v>
      </c>
      <c r="AN56" t="s" s="0">
        <v>101</v>
      </c>
      <c r="AO56" t="s" s="0">
        <v>320</v>
      </c>
      <c r="AP56" t="s" s="0">
        <v>115</v>
      </c>
      <c r="AQ56" t="s" s="0">
        <v>994</v>
      </c>
      <c r="AR56" t="s" s="0">
        <v>995</v>
      </c>
      <c r="AS56" t="s" s="0">
        <v>996</v>
      </c>
      <c r="AT56" t="s" s="0">
        <v>1575</v>
      </c>
      <c r="AU56" t="s" s="0">
        <v>1576</v>
      </c>
      <c r="AV56" t="s" s="0">
        <v>81</v>
      </c>
      <c r="AW56" t="s" s="0">
        <v>1577</v>
      </c>
      <c r="AX56" t="s" s="0">
        <v>1578</v>
      </c>
      <c r="AY56" t="s" s="0">
        <v>1579</v>
      </c>
      <c r="AZ56" t="s" s="0">
        <v>144</v>
      </c>
      <c r="BA56" t="s" s="0">
        <v>1580</v>
      </c>
      <c r="BB56" t="s" s="0">
        <v>452</v>
      </c>
      <c r="BC56" t="s" s="0">
        <v>81</v>
      </c>
      <c r="BD56" t="s" s="0">
        <v>81</v>
      </c>
      <c r="BE56" t="s" s="0">
        <v>81</v>
      </c>
      <c r="BF56" t="s" s="0">
        <v>81</v>
      </c>
      <c r="BG56" t="s" s="0">
        <v>1581</v>
      </c>
      <c r="BH56" t="s" s="0">
        <v>1582</v>
      </c>
      <c r="BI56" t="s" s="0">
        <v>81</v>
      </c>
      <c r="BJ56" t="s" s="0">
        <v>1583</v>
      </c>
      <c r="BK56" t="s" s="109">
        <f>HYPERLINK("http://dx.doi.org/10.1080/0142159X.2025.2603353","http://dx.doi.org/10.1080/0142159X.2025.2603353")</f>
        <v>1584</v>
      </c>
      <c r="BL56" t="s" s="0">
        <v>81</v>
      </c>
      <c r="BM56" t="s" s="0">
        <v>300</v>
      </c>
      <c r="BN56" t="s" s="0">
        <v>102</v>
      </c>
      <c r="BO56" t="s" s="0">
        <v>1585</v>
      </c>
      <c r="BP56" t="s" s="0">
        <v>1586</v>
      </c>
      <c r="BQ56" t="s" s="0">
        <v>1587</v>
      </c>
      <c r="BR56" t="s" s="0">
        <v>1588</v>
      </c>
      <c r="BS56" t="s" s="0">
        <v>1589</v>
      </c>
      <c r="BT56" t="s" s="110">
        <f>HYPERLINK("https://www.webofscience.com/wos/woscc/full-record/WOS:001649811300001","View Record in Web of Science")</f>
        <v>120</v>
      </c>
      <c r="BU56" t="s" s="0">
        <v>81</v>
      </c>
      <c r="BV56" t="s" s="0">
        <v>81</v>
      </c>
      <c r="BW56" t="s" s="0">
        <v>81</v>
      </c>
      <c r="BX56" t="s" s="0">
        <v>122</v>
      </c>
    </row>
    <row r="57">
      <c r="A57" t="s" s="0">
        <v>393</v>
      </c>
      <c r="B57" t="s" s="0">
        <v>77</v>
      </c>
      <c r="C57" t="s" s="0">
        <v>1590</v>
      </c>
      <c r="D57" t="s" s="0">
        <v>169</v>
      </c>
      <c r="E57" t="s" s="0">
        <v>1591</v>
      </c>
      <c r="F57" t="s" s="0">
        <v>1592</v>
      </c>
      <c r="G57" t="s" s="0">
        <v>1593</v>
      </c>
      <c r="H57" t="s" s="0">
        <v>81</v>
      </c>
      <c r="I57" t="s" s="0">
        <v>82</v>
      </c>
      <c r="J57" t="s" s="0">
        <v>1594</v>
      </c>
      <c r="K57" t="s" s="0">
        <v>1595</v>
      </c>
      <c r="L57" t="s" s="0">
        <v>1596</v>
      </c>
      <c r="M57" t="s" s="0">
        <v>1597</v>
      </c>
      <c r="N57" t="s" s="0">
        <v>1598</v>
      </c>
      <c r="O57" t="s" s="0">
        <v>1599</v>
      </c>
      <c r="P57" t="s" s="0">
        <v>1600</v>
      </c>
      <c r="Q57" t="s" s="0">
        <v>90</v>
      </c>
      <c r="R57" t="s" s="0">
        <v>81</v>
      </c>
      <c r="S57" t="s" s="0">
        <v>81</v>
      </c>
      <c r="T57" t="s" s="0">
        <v>81</v>
      </c>
      <c r="U57" t="s" s="0">
        <v>81</v>
      </c>
      <c r="V57" t="s" s="0">
        <v>1601</v>
      </c>
      <c r="W57" t="s" s="0">
        <v>616</v>
      </c>
      <c r="X57" t="s" s="0">
        <v>81</v>
      </c>
      <c r="Y57" t="s" s="0">
        <v>81</v>
      </c>
      <c r="Z57" t="s" s="0">
        <v>93</v>
      </c>
      <c r="AA57" t="s" s="0">
        <v>94</v>
      </c>
      <c r="AB57" t="s" s="0">
        <v>81</v>
      </c>
      <c r="AC57" t="s" s="0">
        <v>81</v>
      </c>
      <c r="AD57" t="s" s="0">
        <v>81</v>
      </c>
      <c r="AE57" t="s" s="0">
        <v>81</v>
      </c>
      <c r="AF57" t="s" s="0">
        <v>81</v>
      </c>
      <c r="AG57" t="s" s="0">
        <v>81</v>
      </c>
      <c r="AH57" t="s" s="0">
        <v>81</v>
      </c>
      <c r="AI57" t="s" s="0">
        <v>81</v>
      </c>
      <c r="AJ57" t="s" s="0">
        <v>81</v>
      </c>
      <c r="AK57" t="s" s="0">
        <v>81</v>
      </c>
      <c r="AL57" t="s" s="0">
        <v>1602</v>
      </c>
      <c r="AM57" t="s" s="0">
        <v>1603</v>
      </c>
      <c r="AN57" t="s" s="0">
        <v>1604</v>
      </c>
      <c r="AO57" t="s" s="0">
        <v>1605</v>
      </c>
      <c r="AP57" t="s" s="0">
        <v>1606</v>
      </c>
      <c r="AQ57" t="s" s="0">
        <v>321</v>
      </c>
      <c r="AR57" t="s" s="0">
        <v>322</v>
      </c>
      <c r="AS57" t="s" s="0">
        <v>323</v>
      </c>
      <c r="AT57" t="s" s="0">
        <v>625</v>
      </c>
      <c r="AU57" t="s" s="0">
        <v>626</v>
      </c>
      <c r="AV57" t="s" s="0">
        <v>81</v>
      </c>
      <c r="AW57" t="s" s="0">
        <v>616</v>
      </c>
      <c r="AX57" t="s" s="0">
        <v>627</v>
      </c>
      <c r="AY57" t="s" s="0">
        <v>1607</v>
      </c>
      <c r="AZ57" t="s" s="0">
        <v>592</v>
      </c>
      <c r="BA57" t="s" s="0">
        <v>1608</v>
      </c>
      <c r="BB57" t="s" s="0">
        <v>1609</v>
      </c>
      <c r="BC57" t="s" s="0">
        <v>81</v>
      </c>
      <c r="BD57" t="s" s="0">
        <v>81</v>
      </c>
      <c r="BE57" t="s" s="0">
        <v>81</v>
      </c>
      <c r="BF57" t="s" s="0">
        <v>81</v>
      </c>
      <c r="BG57" t="s" s="0">
        <v>81</v>
      </c>
      <c r="BH57" t="s" s="0">
        <v>81</v>
      </c>
      <c r="BI57" t="s" s="0">
        <v>81</v>
      </c>
      <c r="BJ57" t="s" s="0">
        <v>1610</v>
      </c>
      <c r="BK57" t="s" s="111">
        <f>HYPERLINK("http://dx.doi.org/10.1038/s41586-024-07421-0","http://dx.doi.org/10.1038/s41586-024-07421-0")</f>
        <v>1611</v>
      </c>
      <c r="BL57" t="s" s="0">
        <v>81</v>
      </c>
      <c r="BM57" t="s" s="0">
        <v>81</v>
      </c>
      <c r="BN57" t="s" s="0">
        <v>360</v>
      </c>
      <c r="BO57" t="s" s="0">
        <v>638</v>
      </c>
      <c r="BP57" t="s" s="0">
        <v>639</v>
      </c>
      <c r="BQ57" t="s" s="0">
        <v>1612</v>
      </c>
      <c r="BR57" t="s" s="0">
        <v>1613</v>
      </c>
      <c r="BS57" t="s" s="0">
        <v>1614</v>
      </c>
      <c r="BT57" t="s" s="112">
        <f>HYPERLINK("https://www.webofscience.com/wos/woscc/full-record/WOS:001262429400005","View Record in Web of Science")</f>
        <v>120</v>
      </c>
      <c r="BU57" t="s" s="0">
        <v>186</v>
      </c>
      <c r="BV57" t="s" s="0">
        <v>603</v>
      </c>
      <c r="BW57" t="s" s="0">
        <v>603</v>
      </c>
      <c r="BX57" t="s" s="0">
        <v>122</v>
      </c>
    </row>
    <row r="58">
      <c r="A58" t="s" s="0">
        <v>77</v>
      </c>
      <c r="B58" t="s" s="0">
        <v>77</v>
      </c>
      <c r="C58" t="s" s="0">
        <v>101</v>
      </c>
      <c r="D58" t="s" s="0">
        <v>77</v>
      </c>
      <c r="E58" t="s" s="0">
        <v>1615</v>
      </c>
      <c r="F58" t="s" s="0">
        <v>1616</v>
      </c>
      <c r="G58" t="s" s="0">
        <v>1617</v>
      </c>
      <c r="H58" t="s" s="0">
        <v>81</v>
      </c>
      <c r="I58" t="s" s="0">
        <v>82</v>
      </c>
      <c r="J58" t="s" s="0">
        <v>1618</v>
      </c>
      <c r="K58" t="s" s="0">
        <v>1619</v>
      </c>
      <c r="L58" t="s" s="0">
        <v>1620</v>
      </c>
      <c r="M58" t="s" s="0">
        <v>1621</v>
      </c>
      <c r="N58" t="s" s="0">
        <v>1622</v>
      </c>
      <c r="O58" t="s" s="0">
        <v>1623</v>
      </c>
      <c r="P58" t="s" s="0">
        <v>1624</v>
      </c>
      <c r="Q58" t="s" s="0">
        <v>90</v>
      </c>
      <c r="R58" t="s" s="0">
        <v>81</v>
      </c>
      <c r="S58" t="s" s="0">
        <v>81</v>
      </c>
      <c r="T58" t="s" s="0">
        <v>81</v>
      </c>
      <c r="U58" t="s" s="0">
        <v>81</v>
      </c>
      <c r="V58" t="s" s="0">
        <v>1625</v>
      </c>
      <c r="W58" t="s" s="0">
        <v>317</v>
      </c>
      <c r="X58" t="s" s="0">
        <v>81</v>
      </c>
      <c r="Y58" t="s" s="0">
        <v>81</v>
      </c>
      <c r="Z58" t="s" s="0">
        <v>93</v>
      </c>
      <c r="AA58" t="s" s="0">
        <v>94</v>
      </c>
      <c r="AB58" t="s" s="0">
        <v>81</v>
      </c>
      <c r="AC58" t="s" s="0">
        <v>81</v>
      </c>
      <c r="AD58" t="s" s="0">
        <v>81</v>
      </c>
      <c r="AE58" t="s" s="0">
        <v>81</v>
      </c>
      <c r="AF58" t="s" s="0">
        <v>81</v>
      </c>
      <c r="AG58" t="s" s="0">
        <v>81</v>
      </c>
      <c r="AH58" t="s" s="0">
        <v>81</v>
      </c>
      <c r="AI58" t="s" s="0">
        <v>1626</v>
      </c>
      <c r="AJ58" t="s" s="0">
        <v>1627</v>
      </c>
      <c r="AK58" t="s" s="0">
        <v>81</v>
      </c>
      <c r="AL58" t="s" s="0">
        <v>1106</v>
      </c>
      <c r="AM58" t="s" s="0">
        <v>328</v>
      </c>
      <c r="AN58" t="s" s="0">
        <v>102</v>
      </c>
      <c r="AO58" t="s" s="0">
        <v>100</v>
      </c>
      <c r="AP58" t="s" s="0">
        <v>210</v>
      </c>
      <c r="AQ58" t="s" s="0">
        <v>321</v>
      </c>
      <c r="AR58" t="s" s="0">
        <v>322</v>
      </c>
      <c r="AS58" t="s" s="0">
        <v>323</v>
      </c>
      <c r="AT58" t="s" s="0">
        <v>324</v>
      </c>
      <c r="AU58" t="s" s="0">
        <v>81</v>
      </c>
      <c r="AV58" t="s" s="0">
        <v>81</v>
      </c>
      <c r="AW58" t="s" s="0">
        <v>325</v>
      </c>
      <c r="AX58" t="s" s="0">
        <v>326</v>
      </c>
      <c r="AY58" t="s" s="0">
        <v>1628</v>
      </c>
      <c r="AZ58" t="s" s="0">
        <v>110</v>
      </c>
      <c r="BA58" t="s" s="0">
        <v>210</v>
      </c>
      <c r="BB58" t="s" s="0">
        <v>169</v>
      </c>
      <c r="BC58" t="s" s="0">
        <v>81</v>
      </c>
      <c r="BD58" t="s" s="0">
        <v>81</v>
      </c>
      <c r="BE58" t="s" s="0">
        <v>81</v>
      </c>
      <c r="BF58" t="s" s="0">
        <v>81</v>
      </c>
      <c r="BG58" t="s" s="0">
        <v>81</v>
      </c>
      <c r="BH58" t="s" s="0">
        <v>81</v>
      </c>
      <c r="BI58" t="s" s="0">
        <v>1629</v>
      </c>
      <c r="BJ58" t="s" s="0">
        <v>1630</v>
      </c>
      <c r="BK58" t="s" s="113">
        <f>HYPERLINK("http://dx.doi.org/10.1038/s41746-025-02250-5","http://dx.doi.org/10.1038/s41746-025-02250-5")</f>
        <v>1631</v>
      </c>
      <c r="BL58" t="s" s="0">
        <v>81</v>
      </c>
      <c r="BM58" t="s" s="0">
        <v>81</v>
      </c>
      <c r="BN58" t="s" s="0">
        <v>526</v>
      </c>
      <c r="BO58" t="s" s="0">
        <v>116</v>
      </c>
      <c r="BP58" t="s" s="0">
        <v>116</v>
      </c>
      <c r="BQ58" t="s" s="0">
        <v>1632</v>
      </c>
      <c r="BR58" t="s" s="0">
        <v>1633</v>
      </c>
      <c r="BS58" t="s" s="0">
        <v>1634</v>
      </c>
      <c r="BT58" t="s" s="114">
        <f>HYPERLINK("https://www.webofscience.com/wos/woscc/full-record/WOS:001651144300004","View Record in Web of Science")</f>
        <v>120</v>
      </c>
      <c r="BU58" t="s" s="0">
        <v>121</v>
      </c>
      <c r="BV58" t="s" s="0">
        <v>81</v>
      </c>
      <c r="BW58" t="s" s="0">
        <v>81</v>
      </c>
      <c r="BX58" t="s" s="0">
        <v>122</v>
      </c>
    </row>
    <row r="59">
      <c r="A59" t="s" s="0">
        <v>77</v>
      </c>
      <c r="B59" t="s" s="0">
        <v>77</v>
      </c>
      <c r="C59" t="s" s="0">
        <v>77</v>
      </c>
      <c r="D59" t="s" s="0">
        <v>77</v>
      </c>
      <c r="E59" t="s" s="0">
        <v>1635</v>
      </c>
      <c r="F59" t="s" s="0">
        <v>1636</v>
      </c>
      <c r="G59" t="s" s="0">
        <v>1637</v>
      </c>
      <c r="H59" t="s" s="0">
        <v>81</v>
      </c>
      <c r="I59" t="s" s="0">
        <v>82</v>
      </c>
      <c r="J59" t="s" s="0">
        <v>1638</v>
      </c>
      <c r="K59" t="s" s="0">
        <v>1639</v>
      </c>
      <c r="L59" t="s" s="0">
        <v>1640</v>
      </c>
      <c r="M59" t="s" s="0">
        <v>1641</v>
      </c>
      <c r="N59" t="s" s="0">
        <v>1642</v>
      </c>
      <c r="O59" t="s" s="0">
        <v>1643</v>
      </c>
      <c r="P59" t="s" s="0">
        <v>1644</v>
      </c>
      <c r="Q59" t="s" s="0">
        <v>90</v>
      </c>
      <c r="R59" t="s" s="0">
        <v>81</v>
      </c>
      <c r="S59" t="s" s="0">
        <v>81</v>
      </c>
      <c r="T59" t="s" s="0">
        <v>81</v>
      </c>
      <c r="U59" t="s" s="0">
        <v>81</v>
      </c>
      <c r="V59" t="s" s="0">
        <v>1645</v>
      </c>
      <c r="W59" t="s" s="0">
        <v>550</v>
      </c>
      <c r="X59" t="s" s="0">
        <v>81</v>
      </c>
      <c r="Y59" t="s" s="0">
        <v>81</v>
      </c>
      <c r="Z59" t="s" s="0">
        <v>93</v>
      </c>
      <c r="AA59" t="s" s="0">
        <v>94</v>
      </c>
      <c r="AB59" t="s" s="0">
        <v>81</v>
      </c>
      <c r="AC59" t="s" s="0">
        <v>81</v>
      </c>
      <c r="AD59" t="s" s="0">
        <v>81</v>
      </c>
      <c r="AE59" t="s" s="0">
        <v>81</v>
      </c>
      <c r="AF59" t="s" s="0">
        <v>81</v>
      </c>
      <c r="AG59" t="s" s="0">
        <v>1646</v>
      </c>
      <c r="AH59" t="s" s="0">
        <v>1647</v>
      </c>
      <c r="AI59" t="s" s="0">
        <v>81</v>
      </c>
      <c r="AJ59" t="s" s="0">
        <v>81</v>
      </c>
      <c r="AK59" t="s" s="0">
        <v>81</v>
      </c>
      <c r="AL59" t="s" s="0">
        <v>98</v>
      </c>
      <c r="AM59" t="s" s="0">
        <v>77</v>
      </c>
      <c r="AN59" t="s" s="0">
        <v>77</v>
      </c>
      <c r="AO59" t="s" s="0">
        <v>169</v>
      </c>
      <c r="AP59" t="s" s="0">
        <v>169</v>
      </c>
      <c r="AQ59" t="s" s="0">
        <v>439</v>
      </c>
      <c r="AR59" t="s" s="0">
        <v>201</v>
      </c>
      <c r="AS59" t="s" s="0">
        <v>440</v>
      </c>
      <c r="AT59" t="s" s="0">
        <v>81</v>
      </c>
      <c r="AU59" t="s" s="0">
        <v>555</v>
      </c>
      <c r="AV59" t="s" s="0">
        <v>81</v>
      </c>
      <c r="AW59" t="s" s="0">
        <v>556</v>
      </c>
      <c r="AX59" t="s" s="0">
        <v>557</v>
      </c>
      <c r="AY59" t="s" s="0">
        <v>1648</v>
      </c>
      <c r="AZ59" t="s" s="0">
        <v>144</v>
      </c>
      <c r="BA59" t="s" s="0">
        <v>319</v>
      </c>
      <c r="BB59" t="s" s="0">
        <v>169</v>
      </c>
      <c r="BC59" t="s" s="0">
        <v>81</v>
      </c>
      <c r="BD59" t="s" s="0">
        <v>81</v>
      </c>
      <c r="BE59" t="s" s="0">
        <v>81</v>
      </c>
      <c r="BF59" t="s" s="0">
        <v>81</v>
      </c>
      <c r="BG59" t="s" s="0">
        <v>81</v>
      </c>
      <c r="BH59" t="s" s="0">
        <v>81</v>
      </c>
      <c r="BI59" t="s" s="0">
        <v>1649</v>
      </c>
      <c r="BJ59" t="s" s="0">
        <v>1650</v>
      </c>
      <c r="BK59" t="s" s="115">
        <f>HYPERLINK("http://dx.doi.org/10.1186/s12911-026-03579-x","http://dx.doi.org/10.1186/s12911-026-03579-x")</f>
        <v>1651</v>
      </c>
      <c r="BL59" t="s" s="0">
        <v>81</v>
      </c>
      <c r="BM59" t="s" s="0">
        <v>81</v>
      </c>
      <c r="BN59" t="s" s="0">
        <v>509</v>
      </c>
      <c r="BO59" t="s" s="0">
        <v>244</v>
      </c>
      <c r="BP59" t="s" s="0">
        <v>244</v>
      </c>
      <c r="BQ59" t="s" s="0">
        <v>1652</v>
      </c>
      <c r="BR59" t="s" s="0">
        <v>1653</v>
      </c>
      <c r="BS59" t="s" s="0">
        <v>1654</v>
      </c>
      <c r="BT59" t="s" s="116">
        <f>HYPERLINK("https://www.webofscience.com/wos/woscc/full-record/WOS:001840203200001","View Record in Web of Science")</f>
        <v>120</v>
      </c>
      <c r="BU59" t="s" s="0">
        <v>121</v>
      </c>
      <c r="BV59" t="s" s="0">
        <v>81</v>
      </c>
      <c r="BW59" t="s" s="0">
        <v>81</v>
      </c>
      <c r="BX59" t="s" s="0">
        <v>122</v>
      </c>
    </row>
    <row r="60">
      <c r="A60" t="s" s="0">
        <v>77</v>
      </c>
      <c r="B60" t="s" s="0">
        <v>77</v>
      </c>
      <c r="C60" t="s" s="0">
        <v>77</v>
      </c>
      <c r="D60" t="s" s="0">
        <v>77</v>
      </c>
      <c r="E60" t="s" s="0">
        <v>1655</v>
      </c>
      <c r="F60" t="s" s="0">
        <v>1656</v>
      </c>
      <c r="G60" t="s" s="0">
        <v>1657</v>
      </c>
      <c r="H60" t="s" s="0">
        <v>81</v>
      </c>
      <c r="I60" t="s" s="0">
        <v>218</v>
      </c>
      <c r="J60" t="s" s="0">
        <v>1658</v>
      </c>
      <c r="K60" t="s" s="0">
        <v>1659</v>
      </c>
      <c r="L60" t="s" s="0">
        <v>1660</v>
      </c>
      <c r="M60" t="s" s="0">
        <v>1660</v>
      </c>
      <c r="N60" t="s" s="0">
        <v>1661</v>
      </c>
      <c r="O60" t="s" s="0">
        <v>1662</v>
      </c>
      <c r="P60" t="s" s="0">
        <v>1663</v>
      </c>
      <c r="Q60" t="s" s="0">
        <v>90</v>
      </c>
      <c r="R60" t="s" s="0">
        <v>81</v>
      </c>
      <c r="S60" t="s" s="0">
        <v>81</v>
      </c>
      <c r="T60" t="s" s="0">
        <v>81</v>
      </c>
      <c r="U60" t="s" s="0">
        <v>81</v>
      </c>
      <c r="V60" t="s" s="0">
        <v>1664</v>
      </c>
      <c r="W60" t="s" s="0">
        <v>1020</v>
      </c>
      <c r="X60" t="s" s="0">
        <v>81</v>
      </c>
      <c r="Y60" t="s" s="0">
        <v>81</v>
      </c>
      <c r="Z60" t="s" s="0">
        <v>93</v>
      </c>
      <c r="AA60" t="s" s="0">
        <v>94</v>
      </c>
      <c r="AB60" t="s" s="0">
        <v>81</v>
      </c>
      <c r="AC60" t="s" s="0">
        <v>81</v>
      </c>
      <c r="AD60" t="s" s="0">
        <v>81</v>
      </c>
      <c r="AE60" t="s" s="0">
        <v>81</v>
      </c>
      <c r="AF60" t="s" s="0">
        <v>81</v>
      </c>
      <c r="AG60" t="s" s="0">
        <v>1665</v>
      </c>
      <c r="AH60" t="s" s="0">
        <v>81</v>
      </c>
      <c r="AI60" t="s" s="0">
        <v>1666</v>
      </c>
      <c r="AJ60" t="s" s="0">
        <v>81</v>
      </c>
      <c r="AK60" t="s" s="0">
        <v>81</v>
      </c>
      <c r="AL60" t="s" s="0">
        <v>301</v>
      </c>
      <c r="AM60" t="s" s="0">
        <v>77</v>
      </c>
      <c r="AN60" t="s" s="0">
        <v>77</v>
      </c>
      <c r="AO60" t="s" s="0">
        <v>77</v>
      </c>
      <c r="AP60" t="s" s="0">
        <v>77</v>
      </c>
      <c r="AQ60" t="s" s="0">
        <v>353</v>
      </c>
      <c r="AR60" t="s" s="0">
        <v>354</v>
      </c>
      <c r="AS60" t="s" s="0">
        <v>355</v>
      </c>
      <c r="AT60" t="s" s="0">
        <v>81</v>
      </c>
      <c r="AU60" t="s" s="0">
        <v>1025</v>
      </c>
      <c r="AV60" t="s" s="0">
        <v>81</v>
      </c>
      <c r="AW60" t="s" s="0">
        <v>1026</v>
      </c>
      <c r="AX60" t="s" s="0">
        <v>1027</v>
      </c>
      <c r="AY60" t="s" s="0">
        <v>1667</v>
      </c>
      <c r="AZ60" t="s" s="0">
        <v>144</v>
      </c>
      <c r="BA60" t="s" s="0">
        <v>210</v>
      </c>
      <c r="BB60" t="s" s="0">
        <v>81</v>
      </c>
      <c r="BC60" t="s" s="0">
        <v>81</v>
      </c>
      <c r="BD60" t="s" s="0">
        <v>81</v>
      </c>
      <c r="BE60" t="s" s="0">
        <v>81</v>
      </c>
      <c r="BF60" t="s" s="0">
        <v>81</v>
      </c>
      <c r="BG60" t="s" s="0">
        <v>81</v>
      </c>
      <c r="BH60" t="s" s="0">
        <v>81</v>
      </c>
      <c r="BI60" t="s" s="0">
        <v>1668</v>
      </c>
      <c r="BJ60" t="s" s="0">
        <v>1669</v>
      </c>
      <c r="BK60" t="s" s="117">
        <f>HYPERLINK("http://dx.doi.org/10.3389/fdgth.2026.1847603","http://dx.doi.org/10.3389/fdgth.2026.1847603")</f>
        <v>1670</v>
      </c>
      <c r="BL60" t="s" s="0">
        <v>81</v>
      </c>
      <c r="BM60" t="s" s="0">
        <v>532</v>
      </c>
      <c r="BN60" t="s" s="0">
        <v>509</v>
      </c>
      <c r="BO60" t="s" s="0">
        <v>116</v>
      </c>
      <c r="BP60" t="s" s="0">
        <v>116</v>
      </c>
      <c r="BQ60" t="s" s="0">
        <v>1671</v>
      </c>
      <c r="BR60" t="s" s="0">
        <v>1672</v>
      </c>
      <c r="BS60" t="s" s="0">
        <v>1673</v>
      </c>
      <c r="BT60" t="s" s="118">
        <f>HYPERLINK("https://www.webofscience.com/wos/woscc/full-record/WOS:001799091100001","View Record in Web of Science")</f>
        <v>120</v>
      </c>
      <c r="BU60" t="s" s="0">
        <v>121</v>
      </c>
      <c r="BV60" t="s" s="0">
        <v>81</v>
      </c>
      <c r="BW60" t="s" s="0">
        <v>81</v>
      </c>
      <c r="BX60" t="s" s="0">
        <v>122</v>
      </c>
    </row>
    <row r="61">
      <c r="A61" t="s" s="0">
        <v>77</v>
      </c>
      <c r="B61" t="s" s="0">
        <v>77</v>
      </c>
      <c r="C61" t="s" s="0">
        <v>77</v>
      </c>
      <c r="D61" t="s" s="0">
        <v>77</v>
      </c>
      <c r="E61" t="s" s="0">
        <v>1674</v>
      </c>
      <c r="F61" t="s" s="0">
        <v>1675</v>
      </c>
      <c r="G61" t="s" s="0">
        <v>1676</v>
      </c>
      <c r="H61" t="s" s="0">
        <v>81</v>
      </c>
      <c r="I61" t="s" s="0">
        <v>82</v>
      </c>
      <c r="J61" t="s" s="0">
        <v>1677</v>
      </c>
      <c r="K61" t="s" s="0">
        <v>1678</v>
      </c>
      <c r="L61" t="s" s="0">
        <v>81</v>
      </c>
      <c r="M61" t="s" s="0">
        <v>81</v>
      </c>
      <c r="N61" t="s" s="0">
        <v>81</v>
      </c>
      <c r="O61" t="s" s="0">
        <v>1679</v>
      </c>
      <c r="P61" t="s" s="0">
        <v>1680</v>
      </c>
      <c r="Q61" t="s" s="0">
        <v>90</v>
      </c>
      <c r="R61" t="s" s="0">
        <v>81</v>
      </c>
      <c r="S61" t="s" s="0">
        <v>81</v>
      </c>
      <c r="T61" t="s" s="0">
        <v>81</v>
      </c>
      <c r="U61" t="s" s="0">
        <v>81</v>
      </c>
      <c r="V61" t="s" s="0">
        <v>1681</v>
      </c>
      <c r="W61" t="s" s="0">
        <v>1682</v>
      </c>
      <c r="X61" t="s" s="0">
        <v>81</v>
      </c>
      <c r="Y61" t="s" s="0">
        <v>81</v>
      </c>
      <c r="Z61" t="s" s="0">
        <v>93</v>
      </c>
      <c r="AA61" t="s" s="0">
        <v>196</v>
      </c>
      <c r="AB61" t="s" s="0">
        <v>81</v>
      </c>
      <c r="AC61" t="s" s="0">
        <v>81</v>
      </c>
      <c r="AD61" t="s" s="0">
        <v>81</v>
      </c>
      <c r="AE61" t="s" s="0">
        <v>81</v>
      </c>
      <c r="AF61" t="s" s="0">
        <v>81</v>
      </c>
      <c r="AG61" t="s" s="0">
        <v>81</v>
      </c>
      <c r="AH61" t="s" s="0">
        <v>1683</v>
      </c>
      <c r="AI61" t="s" s="0">
        <v>1684</v>
      </c>
      <c r="AJ61" t="s" s="0">
        <v>81</v>
      </c>
      <c r="AK61" t="s" s="0">
        <v>81</v>
      </c>
      <c r="AL61" t="s" s="0">
        <v>239</v>
      </c>
      <c r="AM61" t="s" s="0">
        <v>77</v>
      </c>
      <c r="AN61" t="s" s="0">
        <v>77</v>
      </c>
      <c r="AO61" t="s" s="0">
        <v>77</v>
      </c>
      <c r="AP61" t="s" s="0">
        <v>77</v>
      </c>
      <c r="AQ61" t="s" s="0">
        <v>1685</v>
      </c>
      <c r="AR61" t="s" s="0">
        <v>1686</v>
      </c>
      <c r="AS61" t="s" s="0">
        <v>1687</v>
      </c>
      <c r="AT61" t="s" s="0">
        <v>1688</v>
      </c>
      <c r="AU61" t="s" s="0">
        <v>1689</v>
      </c>
      <c r="AV61" t="s" s="0">
        <v>81</v>
      </c>
      <c r="AW61" t="s" s="0">
        <v>1690</v>
      </c>
      <c r="AX61" t="s" s="0">
        <v>1691</v>
      </c>
      <c r="AY61" t="s" s="0">
        <v>81</v>
      </c>
      <c r="AZ61" t="s" s="0">
        <v>144</v>
      </c>
      <c r="BA61" t="s" s="0">
        <v>81</v>
      </c>
      <c r="BB61" t="s" s="0">
        <v>81</v>
      </c>
      <c r="BC61" t="s" s="0">
        <v>81</v>
      </c>
      <c r="BD61" t="s" s="0">
        <v>81</v>
      </c>
      <c r="BE61" t="s" s="0">
        <v>81</v>
      </c>
      <c r="BF61" t="s" s="0">
        <v>81</v>
      </c>
      <c r="BG61" t="s" s="0">
        <v>81</v>
      </c>
      <c r="BH61" t="s" s="0">
        <v>81</v>
      </c>
      <c r="BI61" t="s" s="0">
        <v>81</v>
      </c>
      <c r="BJ61" t="s" s="0">
        <v>1692</v>
      </c>
      <c r="BK61" t="s" s="119">
        <f>HYPERLINK("http://dx.doi.org/10.3928/01913913-20260416-02","http://dx.doi.org/10.3928/01913913-20260416-02")</f>
        <v>1693</v>
      </c>
      <c r="BL61" t="s" s="0">
        <v>81</v>
      </c>
      <c r="BM61" t="s" s="0">
        <v>532</v>
      </c>
      <c r="BN61" t="s" s="0">
        <v>386</v>
      </c>
      <c r="BO61" t="s" s="0">
        <v>1694</v>
      </c>
      <c r="BP61" t="s" s="0">
        <v>1694</v>
      </c>
      <c r="BQ61" t="s" s="0">
        <v>1695</v>
      </c>
      <c r="BR61" t="s" s="0">
        <v>1696</v>
      </c>
      <c r="BS61" t="s" s="0">
        <v>1697</v>
      </c>
      <c r="BT61" t="s" s="120">
        <f>HYPERLINK("https://www.webofscience.com/wos/woscc/full-record/WOS:001802772300001","View Record in Web of Science")</f>
        <v>120</v>
      </c>
      <c r="BU61" t="s" s="0">
        <v>81</v>
      </c>
      <c r="BV61" t="s" s="0">
        <v>81</v>
      </c>
      <c r="BW61" t="s" s="0">
        <v>81</v>
      </c>
      <c r="BX61" t="s" s="0">
        <v>122</v>
      </c>
    </row>
    <row r="62">
      <c r="A62" t="s" s="0">
        <v>77</v>
      </c>
      <c r="B62" t="s" s="0">
        <v>77</v>
      </c>
      <c r="C62" t="s" s="0">
        <v>77</v>
      </c>
      <c r="D62" t="s" s="0">
        <v>77</v>
      </c>
      <c r="E62" t="s" s="0">
        <v>1698</v>
      </c>
      <c r="F62" t="s" s="0">
        <v>1699</v>
      </c>
      <c r="G62" t="s" s="0">
        <v>1700</v>
      </c>
      <c r="H62" t="s" s="0">
        <v>81</v>
      </c>
      <c r="I62" t="s" s="0">
        <v>82</v>
      </c>
      <c r="J62" t="s" s="0">
        <v>1701</v>
      </c>
      <c r="K62" t="s" s="0">
        <v>1702</v>
      </c>
      <c r="L62" t="s" s="0">
        <v>1703</v>
      </c>
      <c r="M62" t="s" s="0">
        <v>1704</v>
      </c>
      <c r="N62" t="s" s="0">
        <v>1705</v>
      </c>
      <c r="O62" t="s" s="0">
        <v>1706</v>
      </c>
      <c r="P62" t="s" s="0">
        <v>1707</v>
      </c>
      <c r="Q62" t="s" s="0">
        <v>90</v>
      </c>
      <c r="R62" t="s" s="0">
        <v>81</v>
      </c>
      <c r="S62" t="s" s="0">
        <v>81</v>
      </c>
      <c r="T62" t="s" s="0">
        <v>81</v>
      </c>
      <c r="U62" t="s" s="0">
        <v>81</v>
      </c>
      <c r="V62" t="s" s="0">
        <v>1708</v>
      </c>
      <c r="W62" t="s" s="0">
        <v>1709</v>
      </c>
      <c r="X62" t="s" s="0">
        <v>81</v>
      </c>
      <c r="Y62" t="s" s="0">
        <v>81</v>
      </c>
      <c r="Z62" t="s" s="0">
        <v>93</v>
      </c>
      <c r="AA62" t="s" s="0">
        <v>94</v>
      </c>
      <c r="AB62" t="s" s="0">
        <v>81</v>
      </c>
      <c r="AC62" t="s" s="0">
        <v>81</v>
      </c>
      <c r="AD62" t="s" s="0">
        <v>81</v>
      </c>
      <c r="AE62" t="s" s="0">
        <v>81</v>
      </c>
      <c r="AF62" t="s" s="0">
        <v>81</v>
      </c>
      <c r="AG62" t="s" s="0">
        <v>1710</v>
      </c>
      <c r="AH62" t="s" s="0">
        <v>1711</v>
      </c>
      <c r="AI62" t="s" s="0">
        <v>1712</v>
      </c>
      <c r="AJ62" t="s" s="0">
        <v>81</v>
      </c>
      <c r="AK62" t="s" s="0">
        <v>81</v>
      </c>
      <c r="AL62" t="s" s="0">
        <v>445</v>
      </c>
      <c r="AM62" t="s" s="0">
        <v>77</v>
      </c>
      <c r="AN62" t="s" s="0">
        <v>77</v>
      </c>
      <c r="AO62" t="s" s="0">
        <v>328</v>
      </c>
      <c r="AP62" t="s" s="0">
        <v>328</v>
      </c>
      <c r="AQ62" t="s" s="0">
        <v>1178</v>
      </c>
      <c r="AR62" t="s" s="0">
        <v>1179</v>
      </c>
      <c r="AS62" t="s" s="0">
        <v>1180</v>
      </c>
      <c r="AT62" t="s" s="0">
        <v>81</v>
      </c>
      <c r="AU62" t="s" s="0">
        <v>1713</v>
      </c>
      <c r="AV62" t="s" s="0">
        <v>81</v>
      </c>
      <c r="AW62" t="s" s="0">
        <v>1714</v>
      </c>
      <c r="AX62" t="s" s="0">
        <v>1715</v>
      </c>
      <c r="AY62" t="s" s="0">
        <v>177</v>
      </c>
      <c r="AZ62" t="s" s="0">
        <v>144</v>
      </c>
      <c r="BA62" t="s" s="0">
        <v>102</v>
      </c>
      <c r="BB62" t="s" s="0">
        <v>101</v>
      </c>
      <c r="BC62" t="s" s="0">
        <v>81</v>
      </c>
      <c r="BD62" t="s" s="0">
        <v>81</v>
      </c>
      <c r="BE62" t="s" s="0">
        <v>81</v>
      </c>
      <c r="BF62" t="s" s="0">
        <v>81</v>
      </c>
      <c r="BG62" t="s" s="0">
        <v>81</v>
      </c>
      <c r="BH62" t="s" s="0">
        <v>81</v>
      </c>
      <c r="BI62" t="s" s="0">
        <v>1716</v>
      </c>
      <c r="BJ62" t="s" s="0">
        <v>1717</v>
      </c>
      <c r="BK62" t="s" s="121">
        <f>HYPERLINK("http://dx.doi.org/10.1097/HC9.0000000000000895","http://dx.doi.org/10.1097/HC9.0000000000000895")</f>
        <v>1718</v>
      </c>
      <c r="BL62" t="s" s="0">
        <v>81</v>
      </c>
      <c r="BM62" t="s" s="0">
        <v>81</v>
      </c>
      <c r="BN62" t="s" s="0">
        <v>102</v>
      </c>
      <c r="BO62" t="s" s="0">
        <v>1190</v>
      </c>
      <c r="BP62" t="s" s="0">
        <v>1190</v>
      </c>
      <c r="BQ62" t="s" s="0">
        <v>1719</v>
      </c>
      <c r="BR62" t="s" s="0">
        <v>1720</v>
      </c>
      <c r="BS62" t="s" s="0">
        <v>1721</v>
      </c>
      <c r="BT62" t="s" s="122">
        <f>HYPERLINK("https://www.webofscience.com/wos/woscc/full-record/WOS:001689101400001","View Record in Web of Science")</f>
        <v>120</v>
      </c>
      <c r="BU62" t="s" s="0">
        <v>121</v>
      </c>
      <c r="BV62" t="s" s="0">
        <v>81</v>
      </c>
      <c r="BW62" t="s" s="0">
        <v>81</v>
      </c>
      <c r="BX62" t="s" s="0">
        <v>122</v>
      </c>
    </row>
    <row r="63">
      <c r="A63" t="s" s="0">
        <v>77</v>
      </c>
      <c r="B63" t="s" s="0">
        <v>77</v>
      </c>
      <c r="C63" t="s" s="0">
        <v>77</v>
      </c>
      <c r="D63" t="s" s="0">
        <v>77</v>
      </c>
      <c r="E63" t="s" s="0">
        <v>1722</v>
      </c>
      <c r="F63" t="s" s="0">
        <v>1723</v>
      </c>
      <c r="G63" t="s" s="0">
        <v>1724</v>
      </c>
      <c r="H63" t="s" s="0">
        <v>81</v>
      </c>
      <c r="I63" t="s" s="0">
        <v>82</v>
      </c>
      <c r="J63" t="s" s="0">
        <v>1725</v>
      </c>
      <c r="K63" t="s" s="0">
        <v>1726</v>
      </c>
      <c r="L63" t="s" s="0">
        <v>81</v>
      </c>
      <c r="M63" t="s" s="0">
        <v>81</v>
      </c>
      <c r="N63" t="s" s="0">
        <v>81</v>
      </c>
      <c r="O63" t="s" s="0">
        <v>1727</v>
      </c>
      <c r="P63" t="s" s="0">
        <v>1728</v>
      </c>
      <c r="Q63" t="s" s="0">
        <v>90</v>
      </c>
      <c r="R63" t="s" s="0">
        <v>81</v>
      </c>
      <c r="S63" t="s" s="0">
        <v>81</v>
      </c>
      <c r="T63" t="s" s="0">
        <v>81</v>
      </c>
      <c r="U63" t="s" s="0">
        <v>81</v>
      </c>
      <c r="V63" t="s" s="0">
        <v>1729</v>
      </c>
      <c r="W63" t="s" s="0">
        <v>92</v>
      </c>
      <c r="X63" t="s" s="0">
        <v>81</v>
      </c>
      <c r="Y63" t="s" s="0">
        <v>81</v>
      </c>
      <c r="Z63" t="s" s="0">
        <v>93</v>
      </c>
      <c r="AA63" t="s" s="0">
        <v>94</v>
      </c>
      <c r="AB63" t="s" s="0">
        <v>81</v>
      </c>
      <c r="AC63" t="s" s="0">
        <v>81</v>
      </c>
      <c r="AD63" t="s" s="0">
        <v>81</v>
      </c>
      <c r="AE63" t="s" s="0">
        <v>81</v>
      </c>
      <c r="AF63" t="s" s="0">
        <v>81</v>
      </c>
      <c r="AG63" t="s" s="0">
        <v>1730</v>
      </c>
      <c r="AH63" t="s" s="0">
        <v>1731</v>
      </c>
      <c r="AI63" t="s" s="0">
        <v>81</v>
      </c>
      <c r="AJ63" t="s" s="0">
        <v>81</v>
      </c>
      <c r="AK63" t="s" s="0">
        <v>81</v>
      </c>
      <c r="AL63" t="s" s="0">
        <v>1732</v>
      </c>
      <c r="AM63" t="s" s="0">
        <v>77</v>
      </c>
      <c r="AN63" t="s" s="0">
        <v>77</v>
      </c>
      <c r="AO63" t="s" s="0">
        <v>77</v>
      </c>
      <c r="AP63" t="s" s="0">
        <v>77</v>
      </c>
      <c r="AQ63" t="s" s="0">
        <v>103</v>
      </c>
      <c r="AR63" t="s" s="0">
        <v>104</v>
      </c>
      <c r="AS63" t="s" s="0">
        <v>105</v>
      </c>
      <c r="AT63" t="s" s="0">
        <v>1405</v>
      </c>
      <c r="AU63" t="s" s="0">
        <v>106</v>
      </c>
      <c r="AV63" t="s" s="0">
        <v>81</v>
      </c>
      <c r="AW63" t="s" s="0">
        <v>107</v>
      </c>
      <c r="AX63" t="s" s="0">
        <v>108</v>
      </c>
      <c r="AY63" t="s" s="0">
        <v>1733</v>
      </c>
      <c r="AZ63" t="s" s="0">
        <v>144</v>
      </c>
      <c r="BA63" t="s" s="0">
        <v>637</v>
      </c>
      <c r="BB63" t="s" s="0">
        <v>81</v>
      </c>
      <c r="BC63" t="s" s="0">
        <v>81</v>
      </c>
      <c r="BD63" t="s" s="0">
        <v>81</v>
      </c>
      <c r="BE63" t="s" s="0">
        <v>81</v>
      </c>
      <c r="BF63" t="s" s="0">
        <v>81</v>
      </c>
      <c r="BG63" t="s" s="0">
        <v>81</v>
      </c>
      <c r="BH63" t="s" s="0">
        <v>81</v>
      </c>
      <c r="BI63" t="s" s="0">
        <v>1734</v>
      </c>
      <c r="BJ63" t="s" s="0">
        <v>1735</v>
      </c>
      <c r="BK63" t="s" s="123">
        <f>HYPERLINK("http://dx.doi.org/10.2196/92240","http://dx.doi.org/10.2196/92240")</f>
        <v>1736</v>
      </c>
      <c r="BL63" t="s" s="0">
        <v>81</v>
      </c>
      <c r="BM63" t="s" s="0">
        <v>81</v>
      </c>
      <c r="BN63" t="s" s="0">
        <v>946</v>
      </c>
      <c r="BO63" t="s" s="0">
        <v>116</v>
      </c>
      <c r="BP63" t="s" s="0">
        <v>116</v>
      </c>
      <c r="BQ63" t="s" s="0">
        <v>1737</v>
      </c>
      <c r="BR63" t="s" s="0">
        <v>1738</v>
      </c>
      <c r="BS63" t="s" s="0">
        <v>1739</v>
      </c>
      <c r="BT63" t="s" s="124">
        <f>HYPERLINK("https://www.webofscience.com/wos/woscc/full-record/WOS:001802357100006","View Record in Web of Science")</f>
        <v>120</v>
      </c>
      <c r="BU63" t="s" s="0">
        <v>121</v>
      </c>
      <c r="BV63" t="s" s="0">
        <v>81</v>
      </c>
      <c r="BW63" t="s" s="0">
        <v>81</v>
      </c>
      <c r="BX63" t="s" s="0">
        <v>122</v>
      </c>
    </row>
    <row r="64">
      <c r="A64" t="s" s="0">
        <v>77</v>
      </c>
      <c r="B64" t="s" s="0">
        <v>77</v>
      </c>
      <c r="C64" t="s" s="0">
        <v>99</v>
      </c>
      <c r="D64" t="s" s="0">
        <v>77</v>
      </c>
      <c r="E64" t="s" s="0">
        <v>1740</v>
      </c>
      <c r="F64" t="s" s="0">
        <v>1741</v>
      </c>
      <c r="G64" t="s" s="0">
        <v>1742</v>
      </c>
      <c r="H64" t="s" s="0">
        <v>81</v>
      </c>
      <c r="I64" t="s" s="0">
        <v>218</v>
      </c>
      <c r="J64" t="s" s="0">
        <v>1743</v>
      </c>
      <c r="K64" t="s" s="0">
        <v>1744</v>
      </c>
      <c r="L64" t="s" s="0">
        <v>1745</v>
      </c>
      <c r="M64" t="s" s="0">
        <v>1746</v>
      </c>
      <c r="N64" t="s" s="0">
        <v>1747</v>
      </c>
      <c r="O64" t="s" s="0">
        <v>1748</v>
      </c>
      <c r="P64" t="s" s="0">
        <v>1749</v>
      </c>
      <c r="Q64" t="s" s="0">
        <v>90</v>
      </c>
      <c r="R64" t="s" s="0">
        <v>81</v>
      </c>
      <c r="S64" t="s" s="0">
        <v>81</v>
      </c>
      <c r="T64" t="s" s="0">
        <v>81</v>
      </c>
      <c r="U64" t="s" s="0">
        <v>81</v>
      </c>
      <c r="V64" t="s" s="0">
        <v>1750</v>
      </c>
      <c r="W64" t="s" s="0">
        <v>524</v>
      </c>
      <c r="X64" t="s" s="0">
        <v>81</v>
      </c>
      <c r="Y64" t="s" s="0">
        <v>81</v>
      </c>
      <c r="Z64" t="s" s="0">
        <v>93</v>
      </c>
      <c r="AA64" t="s" s="0">
        <v>94</v>
      </c>
      <c r="AB64" t="s" s="0">
        <v>81</v>
      </c>
      <c r="AC64" t="s" s="0">
        <v>81</v>
      </c>
      <c r="AD64" t="s" s="0">
        <v>81</v>
      </c>
      <c r="AE64" t="s" s="0">
        <v>81</v>
      </c>
      <c r="AF64" t="s" s="0">
        <v>81</v>
      </c>
      <c r="AG64" t="s" s="0">
        <v>1751</v>
      </c>
      <c r="AH64" t="s" s="0">
        <v>81</v>
      </c>
      <c r="AI64" t="s" s="0">
        <v>1752</v>
      </c>
      <c r="AJ64" t="s" s="0">
        <v>1753</v>
      </c>
      <c r="AK64" t="s" s="0">
        <v>81</v>
      </c>
      <c r="AL64" t="s" s="0">
        <v>351</v>
      </c>
      <c r="AM64" t="s" s="0">
        <v>265</v>
      </c>
      <c r="AN64" t="s" s="0">
        <v>526</v>
      </c>
      <c r="AO64" t="s" s="0">
        <v>169</v>
      </c>
      <c r="AP64" t="s" s="0">
        <v>102</v>
      </c>
      <c r="AQ64" t="s" s="0">
        <v>527</v>
      </c>
      <c r="AR64" t="s" s="0">
        <v>528</v>
      </c>
      <c r="AS64" t="s" s="0">
        <v>529</v>
      </c>
      <c r="AT64" t="s" s="0">
        <v>81</v>
      </c>
      <c r="AU64" t="s" s="0">
        <v>530</v>
      </c>
      <c r="AV64" t="s" s="0">
        <v>81</v>
      </c>
      <c r="AW64" t="s" s="0">
        <v>524</v>
      </c>
      <c r="AX64" t="s" s="0">
        <v>531</v>
      </c>
      <c r="AY64" t="s" s="0">
        <v>1754</v>
      </c>
      <c r="AZ64" t="s" s="0">
        <v>592</v>
      </c>
      <c r="BA64" t="s" s="0">
        <v>386</v>
      </c>
      <c r="BB64" t="s" s="0">
        <v>554</v>
      </c>
      <c r="BC64" t="s" s="0">
        <v>81</v>
      </c>
      <c r="BD64" t="s" s="0">
        <v>81</v>
      </c>
      <c r="BE64" t="s" s="0">
        <v>81</v>
      </c>
      <c r="BF64" t="s" s="0">
        <v>81</v>
      </c>
      <c r="BG64" t="s" s="0">
        <v>81</v>
      </c>
      <c r="BH64" t="s" s="0">
        <v>81</v>
      </c>
      <c r="BI64" t="s" s="0">
        <v>1755</v>
      </c>
      <c r="BJ64" t="s" s="0">
        <v>1756</v>
      </c>
      <c r="BK64" t="s" s="125">
        <f>HYPERLINK("http://dx.doi.org/10.1093/jamiaopen/ooae043","http://dx.doi.org/10.1093/jamiaopen/ooae043")</f>
        <v>1757</v>
      </c>
      <c r="BL64" t="s" s="0">
        <v>81</v>
      </c>
      <c r="BM64" t="s" s="0">
        <v>81</v>
      </c>
      <c r="BN64" t="s" s="0">
        <v>452</v>
      </c>
      <c r="BO64" t="s" s="0">
        <v>116</v>
      </c>
      <c r="BP64" t="s" s="0">
        <v>116</v>
      </c>
      <c r="BQ64" t="s" s="0">
        <v>1758</v>
      </c>
      <c r="BR64" t="s" s="0">
        <v>1759</v>
      </c>
      <c r="BS64" t="s" s="0">
        <v>1760</v>
      </c>
      <c r="BT64" t="s" s="126">
        <f>HYPERLINK("https://www.webofscience.com/wos/woscc/full-record/WOS:001234341400002","View Record in Web of Science")</f>
        <v>120</v>
      </c>
      <c r="BU64" t="s" s="0">
        <v>121</v>
      </c>
      <c r="BV64" t="s" s="0">
        <v>81</v>
      </c>
      <c r="BW64" t="s" s="0">
        <v>81</v>
      </c>
      <c r="BX64" t="s" s="0">
        <v>122</v>
      </c>
    </row>
    <row r="65">
      <c r="A65" t="s" s="0">
        <v>77</v>
      </c>
      <c r="B65" t="s" s="0">
        <v>77</v>
      </c>
      <c r="C65" t="s" s="0">
        <v>101</v>
      </c>
      <c r="D65" t="s" s="0">
        <v>77</v>
      </c>
      <c r="E65" t="s" s="0">
        <v>1761</v>
      </c>
      <c r="F65" t="s" s="0">
        <v>1762</v>
      </c>
      <c r="G65" t="s" s="0">
        <v>1763</v>
      </c>
      <c r="H65" t="s" s="0">
        <v>81</v>
      </c>
      <c r="I65" t="s" s="0">
        <v>82</v>
      </c>
      <c r="J65" t="s" s="0">
        <v>1764</v>
      </c>
      <c r="K65" t="s" s="0">
        <v>1765</v>
      </c>
      <c r="L65" t="s" s="0">
        <v>81</v>
      </c>
      <c r="M65" t="s" s="0">
        <v>81</v>
      </c>
      <c r="N65" t="s" s="0">
        <v>81</v>
      </c>
      <c r="O65" t="s" s="0">
        <v>1766</v>
      </c>
      <c r="P65" t="s" s="0">
        <v>1767</v>
      </c>
      <c r="Q65" t="s" s="0">
        <v>90</v>
      </c>
      <c r="R65" t="s" s="0">
        <v>81</v>
      </c>
      <c r="S65" t="s" s="0">
        <v>81</v>
      </c>
      <c r="T65" t="s" s="0">
        <v>81</v>
      </c>
      <c r="U65" t="s" s="0">
        <v>81</v>
      </c>
      <c r="V65" t="s" s="0">
        <v>1768</v>
      </c>
      <c r="W65" t="s" s="0">
        <v>1769</v>
      </c>
      <c r="X65" t="s" s="0">
        <v>81</v>
      </c>
      <c r="Y65" t="s" s="0">
        <v>81</v>
      </c>
      <c r="Z65" t="s" s="0">
        <v>93</v>
      </c>
      <c r="AA65" t="s" s="0">
        <v>94</v>
      </c>
      <c r="AB65" t="s" s="0">
        <v>81</v>
      </c>
      <c r="AC65" t="s" s="0">
        <v>81</v>
      </c>
      <c r="AD65" t="s" s="0">
        <v>81</v>
      </c>
      <c r="AE65" t="s" s="0">
        <v>81</v>
      </c>
      <c r="AF65" t="s" s="0">
        <v>81</v>
      </c>
      <c r="AG65" t="s" s="0">
        <v>81</v>
      </c>
      <c r="AH65" t="s" s="0">
        <v>81</v>
      </c>
      <c r="AI65" t="s" s="0">
        <v>1770</v>
      </c>
      <c r="AJ65" t="s" s="0">
        <v>1771</v>
      </c>
      <c r="AK65" t="s" s="0">
        <v>81</v>
      </c>
      <c r="AL65" t="s" s="0">
        <v>1772</v>
      </c>
      <c r="AM65" t="s" s="0">
        <v>301</v>
      </c>
      <c r="AN65" t="s" s="0">
        <v>111</v>
      </c>
      <c r="AO65" t="s" s="0">
        <v>99</v>
      </c>
      <c r="AP65" t="s" s="0">
        <v>320</v>
      </c>
      <c r="AQ65" t="s" s="0">
        <v>1773</v>
      </c>
      <c r="AR65" t="s" s="0">
        <v>1774</v>
      </c>
      <c r="AS65" t="s" s="0">
        <v>1775</v>
      </c>
      <c r="AT65" t="s" s="0">
        <v>1776</v>
      </c>
      <c r="AU65" t="s" s="0">
        <v>81</v>
      </c>
      <c r="AV65" t="s" s="0">
        <v>81</v>
      </c>
      <c r="AW65" t="s" s="0">
        <v>1769</v>
      </c>
      <c r="AX65" t="s" s="0">
        <v>1777</v>
      </c>
      <c r="AY65" t="s" s="0">
        <v>1778</v>
      </c>
      <c r="AZ65" t="s" s="0">
        <v>110</v>
      </c>
      <c r="BA65" t="s" s="0">
        <v>581</v>
      </c>
      <c r="BB65" t="s" s="0">
        <v>99</v>
      </c>
      <c r="BC65" t="s" s="0">
        <v>81</v>
      </c>
      <c r="BD65" t="s" s="0">
        <v>81</v>
      </c>
      <c r="BE65" t="s" s="0">
        <v>81</v>
      </c>
      <c r="BF65" t="s" s="0">
        <v>81</v>
      </c>
      <c r="BG65" t="s" s="0">
        <v>81</v>
      </c>
      <c r="BH65" t="s" s="0">
        <v>81</v>
      </c>
      <c r="BI65" t="s" s="0">
        <v>1779</v>
      </c>
      <c r="BJ65" t="s" s="0">
        <v>1780</v>
      </c>
      <c r="BK65" t="s" s="127">
        <f>HYPERLINK("http://dx.doi.org/10.1148/rg.240073","http://dx.doi.org/10.1148/rg.240073")</f>
        <v>1781</v>
      </c>
      <c r="BL65" t="s" s="0">
        <v>81</v>
      </c>
      <c r="BM65" t="s" s="0">
        <v>81</v>
      </c>
      <c r="BN65" t="s" s="0">
        <v>115</v>
      </c>
      <c r="BO65" t="s" s="0">
        <v>182</v>
      </c>
      <c r="BP65" t="s" s="0">
        <v>182</v>
      </c>
      <c r="BQ65" t="s" s="0">
        <v>1782</v>
      </c>
      <c r="BR65" t="s" s="0">
        <v>1783</v>
      </c>
      <c r="BS65" t="s" s="0">
        <v>1784</v>
      </c>
      <c r="BT65" t="s" s="128">
        <f>HYPERLINK("https://www.webofscience.com/wos/woscc/full-record/WOS:001500628100004","View Record in Web of Science")</f>
        <v>120</v>
      </c>
      <c r="BU65" t="s" s="0">
        <v>81</v>
      </c>
      <c r="BV65" t="s" s="0">
        <v>81</v>
      </c>
      <c r="BW65" t="s" s="0">
        <v>81</v>
      </c>
      <c r="BX65" t="s" s="0">
        <v>122</v>
      </c>
    </row>
    <row r="66">
      <c r="A66" t="s" s="0">
        <v>77</v>
      </c>
      <c r="B66" t="s" s="0">
        <v>77</v>
      </c>
      <c r="C66" t="s" s="0">
        <v>77</v>
      </c>
      <c r="D66" t="s" s="0">
        <v>77</v>
      </c>
      <c r="E66" t="s" s="0">
        <v>1785</v>
      </c>
      <c r="F66" t="s" s="0">
        <v>1786</v>
      </c>
      <c r="G66" t="s" s="0">
        <v>1787</v>
      </c>
      <c r="H66" t="s" s="0">
        <v>81</v>
      </c>
      <c r="I66" t="s" s="0">
        <v>218</v>
      </c>
      <c r="J66" t="s" s="0">
        <v>1788</v>
      </c>
      <c r="K66" t="s" s="0">
        <v>1789</v>
      </c>
      <c r="L66" t="s" s="0">
        <v>1790</v>
      </c>
      <c r="M66" t="s" s="0">
        <v>1790</v>
      </c>
      <c r="N66" t="s" s="0">
        <v>1791</v>
      </c>
      <c r="O66" t="s" s="0">
        <v>1792</v>
      </c>
      <c r="P66" t="s" s="0">
        <v>1793</v>
      </c>
      <c r="Q66" t="s" s="0">
        <v>90</v>
      </c>
      <c r="R66" t="s" s="0">
        <v>81</v>
      </c>
      <c r="S66" t="s" s="0">
        <v>81</v>
      </c>
      <c r="T66" t="s" s="0">
        <v>81</v>
      </c>
      <c r="U66" t="s" s="0">
        <v>81</v>
      </c>
      <c r="V66" t="s" s="0">
        <v>1794</v>
      </c>
      <c r="W66" t="s" s="0">
        <v>1795</v>
      </c>
      <c r="X66" t="s" s="0">
        <v>81</v>
      </c>
      <c r="Y66" t="s" s="0">
        <v>81</v>
      </c>
      <c r="Z66" t="s" s="0">
        <v>93</v>
      </c>
      <c r="AA66" t="s" s="0">
        <v>94</v>
      </c>
      <c r="AB66" t="s" s="0">
        <v>81</v>
      </c>
      <c r="AC66" t="s" s="0">
        <v>81</v>
      </c>
      <c r="AD66" t="s" s="0">
        <v>81</v>
      </c>
      <c r="AE66" t="s" s="0">
        <v>81</v>
      </c>
      <c r="AF66" t="s" s="0">
        <v>81</v>
      </c>
      <c r="AG66" t="s" s="0">
        <v>1796</v>
      </c>
      <c r="AH66" t="s" s="0">
        <v>81</v>
      </c>
      <c r="AI66" t="s" s="0">
        <v>1797</v>
      </c>
      <c r="AJ66" t="s" s="0">
        <v>1798</v>
      </c>
      <c r="AK66" t="s" s="0">
        <v>81</v>
      </c>
      <c r="AL66" t="s" s="0">
        <v>1799</v>
      </c>
      <c r="AM66" t="s" s="0">
        <v>101</v>
      </c>
      <c r="AN66" t="s" s="0">
        <v>101</v>
      </c>
      <c r="AO66" t="s" s="0">
        <v>101</v>
      </c>
      <c r="AP66" t="s" s="0">
        <v>102</v>
      </c>
      <c r="AQ66" t="s" s="0">
        <v>1800</v>
      </c>
      <c r="AR66" t="s" s="0">
        <v>500</v>
      </c>
      <c r="AS66" t="s" s="0">
        <v>1801</v>
      </c>
      <c r="AT66" t="s" s="0">
        <v>1802</v>
      </c>
      <c r="AU66" t="s" s="0">
        <v>1803</v>
      </c>
      <c r="AV66" t="s" s="0">
        <v>81</v>
      </c>
      <c r="AW66" t="s" s="0">
        <v>1804</v>
      </c>
      <c r="AX66" t="s" s="0">
        <v>1805</v>
      </c>
      <c r="AY66" t="s" s="0">
        <v>1778</v>
      </c>
      <c r="AZ66" t="s" s="0">
        <v>110</v>
      </c>
      <c r="BA66" t="s" s="0">
        <v>452</v>
      </c>
      <c r="BB66" t="s" s="0">
        <v>554</v>
      </c>
      <c r="BC66" t="s" s="0">
        <v>81</v>
      </c>
      <c r="BD66" t="s" s="0">
        <v>81</v>
      </c>
      <c r="BE66" t="s" s="0">
        <v>81</v>
      </c>
      <c r="BF66" t="s" s="0">
        <v>81</v>
      </c>
      <c r="BG66" t="s" s="0">
        <v>81</v>
      </c>
      <c r="BH66" t="s" s="0">
        <v>81</v>
      </c>
      <c r="BI66" t="s" s="0">
        <v>445</v>
      </c>
      <c r="BJ66" t="s" s="0">
        <v>1806</v>
      </c>
      <c r="BK66" t="s" s="129">
        <f>HYPERLINK("http://dx.doi.org/10.1145/3709154","http://dx.doi.org/10.1145/3709154")</f>
        <v>1807</v>
      </c>
      <c r="BL66" t="s" s="0">
        <v>81</v>
      </c>
      <c r="BM66" t="s" s="0">
        <v>81</v>
      </c>
      <c r="BN66" t="s" s="0">
        <v>145</v>
      </c>
      <c r="BO66" t="s" s="0">
        <v>672</v>
      </c>
      <c r="BP66" t="s" s="0">
        <v>673</v>
      </c>
      <c r="BQ66" t="s" s="0">
        <v>1808</v>
      </c>
      <c r="BR66" t="s" s="0">
        <v>81</v>
      </c>
      <c r="BS66" t="s" s="0">
        <v>1809</v>
      </c>
      <c r="BT66" t="s" s="130">
        <f>HYPERLINK("https://www.webofscience.com/wos/woscc/full-record/WOS:001489746900002","View Record in Web of Science")</f>
        <v>120</v>
      </c>
      <c r="BU66" t="s" s="0">
        <v>81</v>
      </c>
      <c r="BV66" t="s" s="0">
        <v>81</v>
      </c>
      <c r="BW66" t="s" s="0">
        <v>81</v>
      </c>
      <c r="BX66" t="s" s="0">
        <v>122</v>
      </c>
    </row>
    <row r="67">
      <c r="A67" t="s" s="0">
        <v>77</v>
      </c>
      <c r="B67" t="s" s="0">
        <v>77</v>
      </c>
      <c r="C67" t="s" s="0">
        <v>77</v>
      </c>
      <c r="D67" t="s" s="0">
        <v>77</v>
      </c>
      <c r="E67" t="s" s="0">
        <v>1810</v>
      </c>
      <c r="F67" t="s" s="0">
        <v>1811</v>
      </c>
      <c r="G67" t="s" s="0">
        <v>1812</v>
      </c>
      <c r="H67" t="s" s="0">
        <v>81</v>
      </c>
      <c r="I67" t="s" s="0">
        <v>218</v>
      </c>
      <c r="J67" t="s" s="0">
        <v>1813</v>
      </c>
      <c r="K67" t="s" s="0">
        <v>1814</v>
      </c>
      <c r="L67" t="s" s="0">
        <v>81</v>
      </c>
      <c r="M67" t="s" s="0">
        <v>81</v>
      </c>
      <c r="N67" t="s" s="0">
        <v>81</v>
      </c>
      <c r="O67" t="s" s="0">
        <v>1815</v>
      </c>
      <c r="P67" t="s" s="0">
        <v>1816</v>
      </c>
      <c r="Q67" t="s" s="0">
        <v>90</v>
      </c>
      <c r="R67" t="s" s="0">
        <v>81</v>
      </c>
      <c r="S67" t="s" s="0">
        <v>81</v>
      </c>
      <c r="T67" t="s" s="0">
        <v>81</v>
      </c>
      <c r="U67" t="s" s="0">
        <v>81</v>
      </c>
      <c r="V67" t="s" s="0">
        <v>1817</v>
      </c>
      <c r="W67" t="s" s="0">
        <v>1818</v>
      </c>
      <c r="X67" t="s" s="0">
        <v>81</v>
      </c>
      <c r="Y67" t="s" s="0">
        <v>81</v>
      </c>
      <c r="Z67" t="s" s="0">
        <v>93</v>
      </c>
      <c r="AA67" t="s" s="0">
        <v>94</v>
      </c>
      <c r="AB67" t="s" s="0">
        <v>81</v>
      </c>
      <c r="AC67" t="s" s="0">
        <v>81</v>
      </c>
      <c r="AD67" t="s" s="0">
        <v>81</v>
      </c>
      <c r="AE67" t="s" s="0">
        <v>81</v>
      </c>
      <c r="AF67" t="s" s="0">
        <v>81</v>
      </c>
      <c r="AG67" t="s" s="0">
        <v>81</v>
      </c>
      <c r="AH67" t="s" s="0">
        <v>81</v>
      </c>
      <c r="AI67" t="s" s="0">
        <v>81</v>
      </c>
      <c r="AJ67" t="s" s="0">
        <v>1819</v>
      </c>
      <c r="AK67" t="s" s="0">
        <v>81</v>
      </c>
      <c r="AL67" t="s" s="0">
        <v>509</v>
      </c>
      <c r="AM67" t="s" s="0">
        <v>77</v>
      </c>
      <c r="AN67" t="s" s="0">
        <v>77</v>
      </c>
      <c r="AO67" t="s" s="0">
        <v>452</v>
      </c>
      <c r="AP67" t="s" s="0">
        <v>452</v>
      </c>
      <c r="AQ67" t="s" s="0">
        <v>1178</v>
      </c>
      <c r="AR67" t="s" s="0">
        <v>1179</v>
      </c>
      <c r="AS67" t="s" s="0">
        <v>1180</v>
      </c>
      <c r="AT67" t="s" s="0">
        <v>1820</v>
      </c>
      <c r="AU67" t="s" s="0">
        <v>81</v>
      </c>
      <c r="AV67" t="s" s="0">
        <v>81</v>
      </c>
      <c r="AW67" t="s" s="0">
        <v>1821</v>
      </c>
      <c r="AX67" t="s" s="0">
        <v>1822</v>
      </c>
      <c r="AY67" t="s" s="0">
        <v>300</v>
      </c>
      <c r="AZ67" t="s" s="0">
        <v>110</v>
      </c>
      <c r="BA67" t="s" s="0">
        <v>328</v>
      </c>
      <c r="BB67" t="s" s="0">
        <v>81</v>
      </c>
      <c r="BC67" t="s" s="0">
        <v>81</v>
      </c>
      <c r="BD67" t="s" s="0">
        <v>81</v>
      </c>
      <c r="BE67" t="s" s="0">
        <v>81</v>
      </c>
      <c r="BF67" t="s" s="0">
        <v>81</v>
      </c>
      <c r="BG67" t="s" s="0">
        <v>81</v>
      </c>
      <c r="BH67" t="s" s="0">
        <v>81</v>
      </c>
      <c r="BI67" t="s" s="0">
        <v>1823</v>
      </c>
      <c r="BJ67" t="s" s="0">
        <v>1824</v>
      </c>
      <c r="BK67" t="s" s="131">
        <f>HYPERLINK("http://dx.doi.org/10.1200/CCI-25-00176","http://dx.doi.org/10.1200/CCI-25-00176")</f>
        <v>1825</v>
      </c>
      <c r="BL67" t="s" s="0">
        <v>81</v>
      </c>
      <c r="BM67" t="s" s="0">
        <v>81</v>
      </c>
      <c r="BN67" t="s" s="0">
        <v>452</v>
      </c>
      <c r="BO67" t="s" s="0">
        <v>1433</v>
      </c>
      <c r="BP67" t="s" s="0">
        <v>1433</v>
      </c>
      <c r="BQ67" t="s" s="0">
        <v>1826</v>
      </c>
      <c r="BR67" t="s" s="0">
        <v>1827</v>
      </c>
      <c r="BS67" t="s" s="0">
        <v>1828</v>
      </c>
      <c r="BT67" t="s" s="132">
        <f>HYPERLINK("https://www.webofscience.com/wos/woscc/full-record/WOS:001642824500001","View Record in Web of Science")</f>
        <v>120</v>
      </c>
      <c r="BU67" t="s" s="0">
        <v>81</v>
      </c>
      <c r="BV67" t="s" s="0">
        <v>81</v>
      </c>
      <c r="BW67" t="s" s="0">
        <v>81</v>
      </c>
      <c r="BX67" t="s" s="0">
        <v>122</v>
      </c>
    </row>
    <row r="68">
      <c r="A68" t="s" s="0">
        <v>169</v>
      </c>
      <c r="B68" t="s" s="0">
        <v>77</v>
      </c>
      <c r="C68" t="s" s="0">
        <v>77</v>
      </c>
      <c r="D68" t="s" s="0">
        <v>77</v>
      </c>
      <c r="E68" t="s" s="0">
        <v>1829</v>
      </c>
      <c r="F68" t="s" s="0">
        <v>1830</v>
      </c>
      <c r="G68" t="s" s="0">
        <v>1831</v>
      </c>
      <c r="H68" t="s" s="0">
        <v>81</v>
      </c>
      <c r="I68" t="s" s="0">
        <v>82</v>
      </c>
      <c r="J68" t="s" s="0">
        <v>1832</v>
      </c>
      <c r="K68" t="s" s="0">
        <v>1833</v>
      </c>
      <c r="L68" t="s" s="0">
        <v>1834</v>
      </c>
      <c r="M68" t="s" s="0">
        <v>1835</v>
      </c>
      <c r="N68" t="s" s="0">
        <v>1836</v>
      </c>
      <c r="O68" t="s" s="0">
        <v>1837</v>
      </c>
      <c r="P68" t="s" s="0">
        <v>1838</v>
      </c>
      <c r="Q68" t="s" s="0">
        <v>90</v>
      </c>
      <c r="R68" t="s" s="0">
        <v>81</v>
      </c>
      <c r="S68" t="s" s="0">
        <v>81</v>
      </c>
      <c r="T68" t="s" s="0">
        <v>81</v>
      </c>
      <c r="U68" t="s" s="0">
        <v>81</v>
      </c>
      <c r="V68" t="s" s="0">
        <v>1839</v>
      </c>
      <c r="W68" t="s" s="0">
        <v>1840</v>
      </c>
      <c r="X68" t="s" s="0">
        <v>81</v>
      </c>
      <c r="Y68" t="s" s="0">
        <v>81</v>
      </c>
      <c r="Z68" t="s" s="0">
        <v>93</v>
      </c>
      <c r="AA68" t="s" s="0">
        <v>94</v>
      </c>
      <c r="AB68" t="s" s="0">
        <v>81</v>
      </c>
      <c r="AC68" t="s" s="0">
        <v>81</v>
      </c>
      <c r="AD68" t="s" s="0">
        <v>81</v>
      </c>
      <c r="AE68" t="s" s="0">
        <v>81</v>
      </c>
      <c r="AF68" t="s" s="0">
        <v>81</v>
      </c>
      <c r="AG68" t="s" s="0">
        <v>1841</v>
      </c>
      <c r="AH68" t="s" s="0">
        <v>81</v>
      </c>
      <c r="AI68" t="s" s="0">
        <v>1842</v>
      </c>
      <c r="AJ68" t="s" s="0">
        <v>1843</v>
      </c>
      <c r="AK68" t="s" s="0">
        <v>81</v>
      </c>
      <c r="AL68" t="s" s="0">
        <v>690</v>
      </c>
      <c r="AM68" t="s" s="0">
        <v>101</v>
      </c>
      <c r="AN68" t="s" s="0">
        <v>100</v>
      </c>
      <c r="AO68" t="s" s="0">
        <v>265</v>
      </c>
      <c r="AP68" t="s" s="0">
        <v>1275</v>
      </c>
      <c r="AQ68" t="s" s="0">
        <v>1844</v>
      </c>
      <c r="AR68" t="s" s="0">
        <v>1845</v>
      </c>
      <c r="AS68" t="s" s="0">
        <v>1846</v>
      </c>
      <c r="AT68" t="s" s="0">
        <v>1847</v>
      </c>
      <c r="AU68" t="s" s="0">
        <v>1848</v>
      </c>
      <c r="AV68" t="s" s="0">
        <v>81</v>
      </c>
      <c r="AW68" t="s" s="0">
        <v>1849</v>
      </c>
      <c r="AX68" t="s" s="0">
        <v>1850</v>
      </c>
      <c r="AY68" t="s" s="0">
        <v>300</v>
      </c>
      <c r="AZ68" t="s" s="0">
        <v>110</v>
      </c>
      <c r="BA68" t="s" s="0">
        <v>946</v>
      </c>
      <c r="BB68" t="s" s="0">
        <v>99</v>
      </c>
      <c r="BC68" t="s" s="0">
        <v>81</v>
      </c>
      <c r="BD68" t="s" s="0">
        <v>81</v>
      </c>
      <c r="BE68" t="s" s="0">
        <v>81</v>
      </c>
      <c r="BF68" t="s" s="0">
        <v>81</v>
      </c>
      <c r="BG68" t="s" s="0">
        <v>1851</v>
      </c>
      <c r="BH68" t="s" s="0">
        <v>1852</v>
      </c>
      <c r="BI68" t="s" s="0">
        <v>81</v>
      </c>
      <c r="BJ68" t="s" s="0">
        <v>1853</v>
      </c>
      <c r="BK68" t="s" s="133">
        <f>HYPERLINK("http://dx.doi.org/10.1007/s12539-025-00715-5","http://dx.doi.org/10.1007/s12539-025-00715-5")</f>
        <v>1854</v>
      </c>
      <c r="BL68" t="s" s="0">
        <v>81</v>
      </c>
      <c r="BM68" t="s" s="0">
        <v>1855</v>
      </c>
      <c r="BN68" t="s" s="0">
        <v>265</v>
      </c>
      <c r="BO68" t="s" s="0">
        <v>750</v>
      </c>
      <c r="BP68" t="s" s="0">
        <v>750</v>
      </c>
      <c r="BQ68" t="s" s="0">
        <v>1856</v>
      </c>
      <c r="BR68" t="s" s="0">
        <v>1857</v>
      </c>
      <c r="BS68" t="s" s="0">
        <v>1858</v>
      </c>
      <c r="BT68" t="s" s="134">
        <f>HYPERLINK("https://www.webofscience.com/wos/woscc/full-record/WOS:001502708700001","View Record in Web of Science")</f>
        <v>120</v>
      </c>
      <c r="BU68" t="s" s="0">
        <v>81</v>
      </c>
      <c r="BV68" t="s" s="0">
        <v>81</v>
      </c>
      <c r="BW68" t="s" s="0">
        <v>81</v>
      </c>
      <c r="BX68" t="s" s="0">
        <v>122</v>
      </c>
    </row>
    <row r="69">
      <c r="A69" t="s" s="0">
        <v>77</v>
      </c>
      <c r="B69" t="s" s="0">
        <v>77</v>
      </c>
      <c r="C69" t="s" s="0">
        <v>77</v>
      </c>
      <c r="D69" t="s" s="0">
        <v>77</v>
      </c>
      <c r="E69" t="s" s="0">
        <v>1859</v>
      </c>
      <c r="F69" t="s" s="0">
        <v>1860</v>
      </c>
      <c r="G69" t="s" s="0">
        <v>1861</v>
      </c>
      <c r="H69" t="s" s="0">
        <v>81</v>
      </c>
      <c r="I69" t="s" s="0">
        <v>82</v>
      </c>
      <c r="J69" t="s" s="0">
        <v>1862</v>
      </c>
      <c r="K69" t="s" s="0">
        <v>1863</v>
      </c>
      <c r="L69" t="s" s="0">
        <v>1864</v>
      </c>
      <c r="M69" t="s" s="0">
        <v>1097</v>
      </c>
      <c r="N69" t="s" s="0">
        <v>1865</v>
      </c>
      <c r="O69" t="s" s="0">
        <v>1866</v>
      </c>
      <c r="P69" t="s" s="0">
        <v>1867</v>
      </c>
      <c r="Q69" t="s" s="0">
        <v>90</v>
      </c>
      <c r="R69" t="s" s="0">
        <v>81</v>
      </c>
      <c r="S69" t="s" s="0">
        <v>81</v>
      </c>
      <c r="T69" t="s" s="0">
        <v>81</v>
      </c>
      <c r="U69" t="s" s="0">
        <v>81</v>
      </c>
      <c r="V69" t="s" s="0">
        <v>1868</v>
      </c>
      <c r="W69" t="s" s="0">
        <v>380</v>
      </c>
      <c r="X69" t="s" s="0">
        <v>81</v>
      </c>
      <c r="Y69" t="s" s="0">
        <v>81</v>
      </c>
      <c r="Z69" t="s" s="0">
        <v>93</v>
      </c>
      <c r="AA69" t="s" s="0">
        <v>94</v>
      </c>
      <c r="AB69" t="s" s="0">
        <v>81</v>
      </c>
      <c r="AC69" t="s" s="0">
        <v>81</v>
      </c>
      <c r="AD69" t="s" s="0">
        <v>81</v>
      </c>
      <c r="AE69" t="s" s="0">
        <v>81</v>
      </c>
      <c r="AF69" t="s" s="0">
        <v>81</v>
      </c>
      <c r="AG69" t="s" s="0">
        <v>1869</v>
      </c>
      <c r="AH69" t="s" s="0">
        <v>81</v>
      </c>
      <c r="AI69" t="s" s="0">
        <v>1870</v>
      </c>
      <c r="AJ69" t="s" s="0">
        <v>1871</v>
      </c>
      <c r="AK69" t="s" s="0">
        <v>81</v>
      </c>
      <c r="AL69" t="s" s="0">
        <v>1232</v>
      </c>
      <c r="AM69" t="s" s="0">
        <v>169</v>
      </c>
      <c r="AN69" t="s" s="0">
        <v>101</v>
      </c>
      <c r="AO69" t="s" s="0">
        <v>101</v>
      </c>
      <c r="AP69" t="s" s="0">
        <v>386</v>
      </c>
      <c r="AQ69" t="s" s="0">
        <v>103</v>
      </c>
      <c r="AR69" t="s" s="0">
        <v>104</v>
      </c>
      <c r="AS69" t="s" s="0">
        <v>105</v>
      </c>
      <c r="AT69" t="s" s="0">
        <v>81</v>
      </c>
      <c r="AU69" t="s" s="0">
        <v>387</v>
      </c>
      <c r="AV69" t="s" s="0">
        <v>81</v>
      </c>
      <c r="AW69" t="s" s="0">
        <v>388</v>
      </c>
      <c r="AX69" t="s" s="0">
        <v>389</v>
      </c>
      <c r="AY69" t="s" s="0">
        <v>110</v>
      </c>
      <c r="AZ69" t="s" s="0">
        <v>110</v>
      </c>
      <c r="BA69" t="s" s="0">
        <v>115</v>
      </c>
      <c r="BB69" t="s" s="0">
        <v>81</v>
      </c>
      <c r="BC69" t="s" s="0">
        <v>81</v>
      </c>
      <c r="BD69" t="s" s="0">
        <v>81</v>
      </c>
      <c r="BE69" t="s" s="0">
        <v>81</v>
      </c>
      <c r="BF69" t="s" s="0">
        <v>81</v>
      </c>
      <c r="BG69" t="s" s="0">
        <v>81</v>
      </c>
      <c r="BH69" t="s" s="0">
        <v>81</v>
      </c>
      <c r="BI69" t="s" s="0">
        <v>1872</v>
      </c>
      <c r="BJ69" t="s" s="0">
        <v>1873</v>
      </c>
      <c r="BK69" t="s" s="135">
        <f>HYPERLINK("http://dx.doi.org/10.2196/73941","http://dx.doi.org/10.2196/73941")</f>
        <v>1874</v>
      </c>
      <c r="BL69" t="s" s="0">
        <v>81</v>
      </c>
      <c r="BM69" t="s" s="0">
        <v>81</v>
      </c>
      <c r="BN69" t="s" s="0">
        <v>102</v>
      </c>
      <c r="BO69" t="s" s="0">
        <v>244</v>
      </c>
      <c r="BP69" t="s" s="0">
        <v>244</v>
      </c>
      <c r="BQ69" t="s" s="0">
        <v>1875</v>
      </c>
      <c r="BR69" t="s" s="0">
        <v>1876</v>
      </c>
      <c r="BS69" t="s" s="0">
        <v>1877</v>
      </c>
      <c r="BT69" t="s" s="136">
        <f>HYPERLINK("https://www.webofscience.com/wos/woscc/full-record/WOS:001560556800002","View Record in Web of Science")</f>
        <v>120</v>
      </c>
      <c r="BU69" t="s" s="0">
        <v>121</v>
      </c>
      <c r="BV69" t="s" s="0">
        <v>81</v>
      </c>
      <c r="BW69" t="s" s="0">
        <v>81</v>
      </c>
      <c r="BX69" t="s" s="0">
        <v>122</v>
      </c>
    </row>
    <row r="70">
      <c r="A70" t="s" s="0">
        <v>77</v>
      </c>
      <c r="B70" t="s" s="0">
        <v>77</v>
      </c>
      <c r="C70" t="s" s="0">
        <v>77</v>
      </c>
      <c r="D70" t="s" s="0">
        <v>77</v>
      </c>
      <c r="E70" t="s" s="0">
        <v>1878</v>
      </c>
      <c r="F70" t="s" s="0">
        <v>1879</v>
      </c>
      <c r="G70" t="s" s="0">
        <v>1880</v>
      </c>
      <c r="H70" t="s" s="0">
        <v>81</v>
      </c>
      <c r="I70" t="s" s="0">
        <v>82</v>
      </c>
      <c r="J70" t="s" s="0">
        <v>1881</v>
      </c>
      <c r="K70" t="s" s="0">
        <v>1882</v>
      </c>
      <c r="L70" t="s" s="0">
        <v>81</v>
      </c>
      <c r="M70" t="s" s="0">
        <v>81</v>
      </c>
      <c r="N70" t="s" s="0">
        <v>81</v>
      </c>
      <c r="O70" t="s" s="0">
        <v>1883</v>
      </c>
      <c r="P70" t="s" s="0">
        <v>1884</v>
      </c>
      <c r="Q70" t="s" s="0">
        <v>90</v>
      </c>
      <c r="R70" t="s" s="0">
        <v>81</v>
      </c>
      <c r="S70" t="s" s="0">
        <v>81</v>
      </c>
      <c r="T70" t="s" s="0">
        <v>81</v>
      </c>
      <c r="U70" t="s" s="0">
        <v>81</v>
      </c>
      <c r="V70" t="s" s="0">
        <v>1885</v>
      </c>
      <c r="W70" t="s" s="0">
        <v>1886</v>
      </c>
      <c r="X70" t="s" s="0">
        <v>81</v>
      </c>
      <c r="Y70" t="s" s="0">
        <v>81</v>
      </c>
      <c r="Z70" t="s" s="0">
        <v>93</v>
      </c>
      <c r="AA70" t="s" s="0">
        <v>94</v>
      </c>
      <c r="AB70" t="s" s="0">
        <v>81</v>
      </c>
      <c r="AC70" t="s" s="0">
        <v>81</v>
      </c>
      <c r="AD70" t="s" s="0">
        <v>81</v>
      </c>
      <c r="AE70" t="s" s="0">
        <v>81</v>
      </c>
      <c r="AF70" t="s" s="0">
        <v>81</v>
      </c>
      <c r="AG70" t="s" s="0">
        <v>81</v>
      </c>
      <c r="AH70" t="s" s="0">
        <v>81</v>
      </c>
      <c r="AI70" t="s" s="0">
        <v>1887</v>
      </c>
      <c r="AJ70" t="s" s="0">
        <v>1888</v>
      </c>
      <c r="AK70" t="s" s="0">
        <v>81</v>
      </c>
      <c r="AL70" t="s" s="0">
        <v>1024</v>
      </c>
      <c r="AM70" t="s" s="0">
        <v>101</v>
      </c>
      <c r="AN70" t="s" s="0">
        <v>101</v>
      </c>
      <c r="AO70" t="s" s="0">
        <v>554</v>
      </c>
      <c r="AP70" t="s" s="0">
        <v>102</v>
      </c>
      <c r="AQ70" t="s" s="0">
        <v>321</v>
      </c>
      <c r="AR70" t="s" s="0">
        <v>322</v>
      </c>
      <c r="AS70" t="s" s="0">
        <v>323</v>
      </c>
      <c r="AT70" t="s" s="0">
        <v>81</v>
      </c>
      <c r="AU70" t="s" s="0">
        <v>1889</v>
      </c>
      <c r="AV70" t="s" s="0">
        <v>81</v>
      </c>
      <c r="AW70" t="s" s="0">
        <v>1890</v>
      </c>
      <c r="AX70" t="s" s="0">
        <v>1891</v>
      </c>
      <c r="AY70" t="s" s="0">
        <v>1892</v>
      </c>
      <c r="AZ70" t="s" s="0">
        <v>110</v>
      </c>
      <c r="BA70" t="s" s="0">
        <v>360</v>
      </c>
      <c r="BB70" t="s" s="0">
        <v>169</v>
      </c>
      <c r="BC70" t="s" s="0">
        <v>81</v>
      </c>
      <c r="BD70" t="s" s="0">
        <v>81</v>
      </c>
      <c r="BE70" t="s" s="0">
        <v>81</v>
      </c>
      <c r="BF70" t="s" s="0">
        <v>81</v>
      </c>
      <c r="BG70" t="s" s="0">
        <v>81</v>
      </c>
      <c r="BH70" t="s" s="0">
        <v>81</v>
      </c>
      <c r="BI70" t="s" s="0">
        <v>1893</v>
      </c>
      <c r="BJ70" t="s" s="0">
        <v>1894</v>
      </c>
      <c r="BK70" t="s" s="137">
        <f>HYPERLINK("http://dx.doi.org/10.1038/s41597-025-04417-x","http://dx.doi.org/10.1038/s41597-025-04417-x")</f>
        <v>1895</v>
      </c>
      <c r="BL70" t="s" s="0">
        <v>81</v>
      </c>
      <c r="BM70" t="s" s="0">
        <v>81</v>
      </c>
      <c r="BN70" t="s" s="0">
        <v>320</v>
      </c>
      <c r="BO70" t="s" s="0">
        <v>638</v>
      </c>
      <c r="BP70" t="s" s="0">
        <v>639</v>
      </c>
      <c r="BQ70" t="s" s="0">
        <v>1896</v>
      </c>
      <c r="BR70" t="s" s="0">
        <v>1897</v>
      </c>
      <c r="BS70" t="s" s="0">
        <v>1898</v>
      </c>
      <c r="BT70" t="s" s="138">
        <f>HYPERLINK("https://www.webofscience.com/wos/woscc/full-record/WOS:001401221000001","View Record in Web of Science")</f>
        <v>120</v>
      </c>
      <c r="BU70" t="s" s="0">
        <v>121</v>
      </c>
      <c r="BV70" t="s" s="0">
        <v>81</v>
      </c>
      <c r="BW70" t="s" s="0">
        <v>81</v>
      </c>
      <c r="BX70" t="s" s="0">
        <v>122</v>
      </c>
    </row>
    <row r="71">
      <c r="A71" t="s" s="0">
        <v>77</v>
      </c>
      <c r="B71" t="s" s="0">
        <v>77</v>
      </c>
      <c r="C71" t="s" s="0">
        <v>77</v>
      </c>
      <c r="D71" t="s" s="0">
        <v>77</v>
      </c>
      <c r="E71" t="s" s="0">
        <v>1899</v>
      </c>
      <c r="F71" t="s" s="0">
        <v>1900</v>
      </c>
      <c r="G71" t="s" s="0">
        <v>1901</v>
      </c>
      <c r="H71" t="s" s="0">
        <v>81</v>
      </c>
      <c r="I71" t="s" s="0">
        <v>82</v>
      </c>
      <c r="J71" t="s" s="0">
        <v>1902</v>
      </c>
      <c r="K71" t="s" s="0">
        <v>1903</v>
      </c>
      <c r="L71" t="s" s="0">
        <v>81</v>
      </c>
      <c r="M71" t="s" s="0">
        <v>81</v>
      </c>
      <c r="N71" t="s" s="0">
        <v>81</v>
      </c>
      <c r="O71" t="s" s="0">
        <v>1904</v>
      </c>
      <c r="P71" t="s" s="0">
        <v>1905</v>
      </c>
      <c r="Q71" t="s" s="0">
        <v>90</v>
      </c>
      <c r="R71" t="s" s="0">
        <v>81</v>
      </c>
      <c r="S71" t="s" s="0">
        <v>81</v>
      </c>
      <c r="T71" t="s" s="0">
        <v>81</v>
      </c>
      <c r="U71" t="s" s="0">
        <v>81</v>
      </c>
      <c r="V71" t="s" s="0">
        <v>1906</v>
      </c>
      <c r="W71" t="s" s="0">
        <v>256</v>
      </c>
      <c r="X71" t="s" s="0">
        <v>81</v>
      </c>
      <c r="Y71" t="s" s="0">
        <v>81</v>
      </c>
      <c r="Z71" t="s" s="0">
        <v>93</v>
      </c>
      <c r="AA71" t="s" s="0">
        <v>94</v>
      </c>
      <c r="AB71" t="s" s="0">
        <v>81</v>
      </c>
      <c r="AC71" t="s" s="0">
        <v>81</v>
      </c>
      <c r="AD71" t="s" s="0">
        <v>81</v>
      </c>
      <c r="AE71" t="s" s="0">
        <v>81</v>
      </c>
      <c r="AF71" t="s" s="0">
        <v>81</v>
      </c>
      <c r="AG71" t="s" s="0">
        <v>1907</v>
      </c>
      <c r="AH71" t="s" s="0">
        <v>81</v>
      </c>
      <c r="AI71" t="s" s="0">
        <v>81</v>
      </c>
      <c r="AJ71" t="s" s="0">
        <v>81</v>
      </c>
      <c r="AK71" t="s" s="0">
        <v>81</v>
      </c>
      <c r="AL71" t="s" s="0">
        <v>509</v>
      </c>
      <c r="AM71" t="s" s="0">
        <v>77</v>
      </c>
      <c r="AN71" t="s" s="0">
        <v>77</v>
      </c>
      <c r="AO71" t="s" s="0">
        <v>77</v>
      </c>
      <c r="AP71" t="s" s="0">
        <v>77</v>
      </c>
      <c r="AQ71" t="s" s="0">
        <v>137</v>
      </c>
      <c r="AR71" t="s" s="0">
        <v>138</v>
      </c>
      <c r="AS71" t="s" s="0">
        <v>139</v>
      </c>
      <c r="AT71" t="s" s="0">
        <v>81</v>
      </c>
      <c r="AU71" t="s" s="0">
        <v>262</v>
      </c>
      <c r="AV71" t="s" s="0">
        <v>81</v>
      </c>
      <c r="AW71" t="s" s="0">
        <v>256</v>
      </c>
      <c r="AX71" t="s" s="0">
        <v>263</v>
      </c>
      <c r="AY71" t="s" s="0">
        <v>1908</v>
      </c>
      <c r="AZ71" t="s" s="0">
        <v>144</v>
      </c>
      <c r="BA71" t="s" s="0">
        <v>265</v>
      </c>
      <c r="BB71" t="s" s="0">
        <v>102</v>
      </c>
      <c r="BC71" t="s" s="0">
        <v>81</v>
      </c>
      <c r="BD71" t="s" s="0">
        <v>81</v>
      </c>
      <c r="BE71" t="s" s="0">
        <v>81</v>
      </c>
      <c r="BF71" t="s" s="0">
        <v>81</v>
      </c>
      <c r="BG71" t="s" s="0">
        <v>81</v>
      </c>
      <c r="BH71" t="s" s="0">
        <v>81</v>
      </c>
      <c r="BI71" t="s" s="0">
        <v>1909</v>
      </c>
      <c r="BJ71" t="s" s="0">
        <v>1910</v>
      </c>
      <c r="BK71" t="s" s="139">
        <f>HYPERLINK("http://dx.doi.org/10.3390/diagnostics16101460","http://dx.doi.org/10.3390/diagnostics16101460")</f>
        <v>1911</v>
      </c>
      <c r="BL71" t="s" s="0">
        <v>81</v>
      </c>
      <c r="BM71" t="s" s="0">
        <v>295</v>
      </c>
      <c r="BN71" t="s" s="0">
        <v>115</v>
      </c>
      <c r="BO71" t="s" s="0">
        <v>149</v>
      </c>
      <c r="BP71" t="s" s="0">
        <v>150</v>
      </c>
      <c r="BQ71" t="s" s="0">
        <v>1912</v>
      </c>
      <c r="BR71" t="s" s="0">
        <v>1913</v>
      </c>
      <c r="BS71" t="s" s="0">
        <v>1914</v>
      </c>
      <c r="BT71" t="s" s="140">
        <f>HYPERLINK("https://www.webofscience.com/wos/woscc/full-record/WOS:001775414700001","View Record in Web of Science")</f>
        <v>120</v>
      </c>
      <c r="BU71" t="s" s="0">
        <v>121</v>
      </c>
      <c r="BV71" t="s" s="0">
        <v>81</v>
      </c>
      <c r="BW71" t="s" s="0">
        <v>81</v>
      </c>
      <c r="BX71" t="s" s="0">
        <v>122</v>
      </c>
    </row>
    <row r="72">
      <c r="A72" t="s" s="0">
        <v>77</v>
      </c>
      <c r="B72" t="s" s="0">
        <v>77</v>
      </c>
      <c r="C72" t="s" s="0">
        <v>77</v>
      </c>
      <c r="D72" t="s" s="0">
        <v>77</v>
      </c>
      <c r="E72" t="s" s="0">
        <v>1915</v>
      </c>
      <c r="F72" t="s" s="0">
        <v>1916</v>
      </c>
      <c r="G72" t="s" s="0">
        <v>1917</v>
      </c>
      <c r="H72" t="s" s="0">
        <v>81</v>
      </c>
      <c r="I72" t="s" s="0">
        <v>82</v>
      </c>
      <c r="J72" t="s" s="0">
        <v>1918</v>
      </c>
      <c r="K72" t="s" s="0">
        <v>1919</v>
      </c>
      <c r="L72" t="s" s="0">
        <v>1920</v>
      </c>
      <c r="M72" t="s" s="0">
        <v>1920</v>
      </c>
      <c r="N72" t="s" s="0">
        <v>1921</v>
      </c>
      <c r="O72" t="s" s="0">
        <v>1922</v>
      </c>
      <c r="P72" t="s" s="0">
        <v>1923</v>
      </c>
      <c r="Q72" t="s" s="0">
        <v>90</v>
      </c>
      <c r="R72" t="s" s="0">
        <v>81</v>
      </c>
      <c r="S72" t="s" s="0">
        <v>81</v>
      </c>
      <c r="T72" t="s" s="0">
        <v>81</v>
      </c>
      <c r="U72" t="s" s="0">
        <v>81</v>
      </c>
      <c r="V72" t="s" s="0">
        <v>1924</v>
      </c>
      <c r="W72" t="s" s="0">
        <v>1925</v>
      </c>
      <c r="X72" t="s" s="0">
        <v>81</v>
      </c>
      <c r="Y72" t="s" s="0">
        <v>81</v>
      </c>
      <c r="Z72" t="s" s="0">
        <v>93</v>
      </c>
      <c r="AA72" t="s" s="0">
        <v>94</v>
      </c>
      <c r="AB72" t="s" s="0">
        <v>81</v>
      </c>
      <c r="AC72" t="s" s="0">
        <v>81</v>
      </c>
      <c r="AD72" t="s" s="0">
        <v>81</v>
      </c>
      <c r="AE72" t="s" s="0">
        <v>81</v>
      </c>
      <c r="AF72" t="s" s="0">
        <v>81</v>
      </c>
      <c r="AG72" t="s" s="0">
        <v>1926</v>
      </c>
      <c r="AH72" t="s" s="0">
        <v>81</v>
      </c>
      <c r="AI72" t="s" s="0">
        <v>1927</v>
      </c>
      <c r="AJ72" t="s" s="0">
        <v>81</v>
      </c>
      <c r="AK72" t="s" s="0">
        <v>81</v>
      </c>
      <c r="AL72" t="s" s="0">
        <v>1543</v>
      </c>
      <c r="AM72" t="s" s="0">
        <v>101</v>
      </c>
      <c r="AN72" t="s" s="0">
        <v>101</v>
      </c>
      <c r="AO72" t="s" s="0">
        <v>77</v>
      </c>
      <c r="AP72" t="s" s="0">
        <v>452</v>
      </c>
      <c r="AQ72" t="s" s="0">
        <v>439</v>
      </c>
      <c r="AR72" t="s" s="0">
        <v>201</v>
      </c>
      <c r="AS72" t="s" s="0">
        <v>440</v>
      </c>
      <c r="AT72" t="s" s="0">
        <v>1928</v>
      </c>
      <c r="AU72" t="s" s="0">
        <v>81</v>
      </c>
      <c r="AV72" t="s" s="0">
        <v>81</v>
      </c>
      <c r="AW72" t="s" s="0">
        <v>1925</v>
      </c>
      <c r="AX72" t="s" s="0">
        <v>1929</v>
      </c>
      <c r="AY72" t="s" s="0">
        <v>1930</v>
      </c>
      <c r="AZ72" t="s" s="0">
        <v>110</v>
      </c>
      <c r="BA72" t="s" s="0">
        <v>393</v>
      </c>
      <c r="BB72" t="s" s="0">
        <v>169</v>
      </c>
      <c r="BC72" t="s" s="0">
        <v>81</v>
      </c>
      <c r="BD72" t="s" s="0">
        <v>81</v>
      </c>
      <c r="BE72" t="s" s="0">
        <v>81</v>
      </c>
      <c r="BF72" t="s" s="0">
        <v>81</v>
      </c>
      <c r="BG72" t="s" s="0">
        <v>81</v>
      </c>
      <c r="BH72" t="s" s="0">
        <v>81</v>
      </c>
      <c r="BI72" t="s" s="0">
        <v>1931</v>
      </c>
      <c r="BJ72" t="s" s="0">
        <v>1932</v>
      </c>
      <c r="BK72" t="s" s="141">
        <f>HYPERLINK("http://dx.doi.org/10.1186/s12903-025-06648-1","http://dx.doi.org/10.1186/s12903-025-06648-1")</f>
        <v>1933</v>
      </c>
      <c r="BL72" t="s" s="0">
        <v>81</v>
      </c>
      <c r="BM72" t="s" s="0">
        <v>81</v>
      </c>
      <c r="BN72" t="s" s="0">
        <v>102</v>
      </c>
      <c r="BO72" t="s" s="0">
        <v>1934</v>
      </c>
      <c r="BP72" t="s" s="0">
        <v>1934</v>
      </c>
      <c r="BQ72" t="s" s="0">
        <v>1935</v>
      </c>
      <c r="BR72" t="s" s="0">
        <v>1936</v>
      </c>
      <c r="BS72" t="s" s="0">
        <v>1937</v>
      </c>
      <c r="BT72" t="s" s="142">
        <f>HYPERLINK("https://www.webofscience.com/wos/woscc/full-record/WOS:001538004700003","View Record in Web of Science")</f>
        <v>120</v>
      </c>
      <c r="BU72" t="s" s="0">
        <v>121</v>
      </c>
      <c r="BV72" t="s" s="0">
        <v>81</v>
      </c>
      <c r="BW72" t="s" s="0">
        <v>81</v>
      </c>
      <c r="BX72" t="s" s="0">
        <v>122</v>
      </c>
    </row>
    <row r="73">
      <c r="A73" t="s" s="0">
        <v>77</v>
      </c>
      <c r="B73" t="s" s="0">
        <v>77</v>
      </c>
      <c r="C73" t="s" s="0">
        <v>77</v>
      </c>
      <c r="D73" t="s" s="0">
        <v>77</v>
      </c>
      <c r="E73" t="s" s="0">
        <v>1938</v>
      </c>
      <c r="F73" t="s" s="0">
        <v>1939</v>
      </c>
      <c r="G73" t="s" s="0">
        <v>1940</v>
      </c>
      <c r="H73" t="s" s="0">
        <v>81</v>
      </c>
      <c r="I73" t="s" s="0">
        <v>82</v>
      </c>
      <c r="J73" t="s" s="0">
        <v>1941</v>
      </c>
      <c r="K73" t="s" s="0">
        <v>1942</v>
      </c>
      <c r="L73" t="s" s="0">
        <v>1943</v>
      </c>
      <c r="M73" t="s" s="0">
        <v>1944</v>
      </c>
      <c r="N73" t="s" s="0">
        <v>1945</v>
      </c>
      <c r="O73" t="s" s="0">
        <v>1946</v>
      </c>
      <c r="P73" t="s" s="0">
        <v>1947</v>
      </c>
      <c r="Q73" t="s" s="0">
        <v>90</v>
      </c>
      <c r="R73" t="s" s="0">
        <v>81</v>
      </c>
      <c r="S73" t="s" s="0">
        <v>81</v>
      </c>
      <c r="T73" t="s" s="0">
        <v>81</v>
      </c>
      <c r="U73" t="s" s="0">
        <v>81</v>
      </c>
      <c r="V73" t="s" s="0">
        <v>1948</v>
      </c>
      <c r="W73" t="s" s="0">
        <v>317</v>
      </c>
      <c r="X73" t="s" s="0">
        <v>81</v>
      </c>
      <c r="Y73" t="s" s="0">
        <v>81</v>
      </c>
      <c r="Z73" t="s" s="0">
        <v>93</v>
      </c>
      <c r="AA73" t="s" s="0">
        <v>94</v>
      </c>
      <c r="AB73" t="s" s="0">
        <v>81</v>
      </c>
      <c r="AC73" t="s" s="0">
        <v>81</v>
      </c>
      <c r="AD73" t="s" s="0">
        <v>81</v>
      </c>
      <c r="AE73" t="s" s="0">
        <v>81</v>
      </c>
      <c r="AF73" t="s" s="0">
        <v>81</v>
      </c>
      <c r="AG73" t="s" s="0">
        <v>81</v>
      </c>
      <c r="AH73" t="s" s="0">
        <v>81</v>
      </c>
      <c r="AI73" t="s" s="0">
        <v>1949</v>
      </c>
      <c r="AJ73" t="s" s="0">
        <v>1950</v>
      </c>
      <c r="AK73" t="s" s="0">
        <v>81</v>
      </c>
      <c r="AL73" t="s" s="0">
        <v>239</v>
      </c>
      <c r="AM73" t="s" s="0">
        <v>101</v>
      </c>
      <c r="AN73" t="s" s="0">
        <v>452</v>
      </c>
      <c r="AO73" t="s" s="0">
        <v>100</v>
      </c>
      <c r="AP73" t="s" s="0">
        <v>1451</v>
      </c>
      <c r="AQ73" t="s" s="0">
        <v>321</v>
      </c>
      <c r="AR73" t="s" s="0">
        <v>322</v>
      </c>
      <c r="AS73" t="s" s="0">
        <v>323</v>
      </c>
      <c r="AT73" t="s" s="0">
        <v>324</v>
      </c>
      <c r="AU73" t="s" s="0">
        <v>81</v>
      </c>
      <c r="AV73" t="s" s="0">
        <v>81</v>
      </c>
      <c r="AW73" t="s" s="0">
        <v>325</v>
      </c>
      <c r="AX73" t="s" s="0">
        <v>326</v>
      </c>
      <c r="AY73" t="s" s="0">
        <v>1951</v>
      </c>
      <c r="AZ73" t="s" s="0">
        <v>592</v>
      </c>
      <c r="BA73" t="s" s="0">
        <v>386</v>
      </c>
      <c r="BB73" t="s" s="0">
        <v>169</v>
      </c>
      <c r="BC73" t="s" s="0">
        <v>81</v>
      </c>
      <c r="BD73" t="s" s="0">
        <v>81</v>
      </c>
      <c r="BE73" t="s" s="0">
        <v>81</v>
      </c>
      <c r="BF73" t="s" s="0">
        <v>81</v>
      </c>
      <c r="BG73" t="s" s="0">
        <v>81</v>
      </c>
      <c r="BH73" t="s" s="0">
        <v>81</v>
      </c>
      <c r="BI73" t="s" s="0">
        <v>1952</v>
      </c>
      <c r="BJ73" t="s" s="0">
        <v>1953</v>
      </c>
      <c r="BK73" t="s" s="143">
        <f>HYPERLINK("http://dx.doi.org/10.1038/s41746-024-01081-0","http://dx.doi.org/10.1038/s41746-024-01081-0")</f>
        <v>1954</v>
      </c>
      <c r="BL73" t="s" s="0">
        <v>81</v>
      </c>
      <c r="BM73" t="s" s="0">
        <v>81</v>
      </c>
      <c r="BN73" t="s" s="0">
        <v>100</v>
      </c>
      <c r="BO73" t="s" s="0">
        <v>116</v>
      </c>
      <c r="BP73" t="s" s="0">
        <v>116</v>
      </c>
      <c r="BQ73" t="s" s="0">
        <v>1955</v>
      </c>
      <c r="BR73" t="s" s="0">
        <v>81</v>
      </c>
      <c r="BS73" t="s" s="0">
        <v>1956</v>
      </c>
      <c r="BT73" t="s" s="144">
        <f>HYPERLINK("https://www.webofscience.com/wos/woscc/full-record/WOS:001207216300001","View Record in Web of Science")</f>
        <v>120</v>
      </c>
      <c r="BU73" t="s" s="0">
        <v>121</v>
      </c>
      <c r="BV73" t="s" s="0">
        <v>81</v>
      </c>
      <c r="BW73" t="s" s="0">
        <v>81</v>
      </c>
      <c r="BX73" t="s" s="0">
        <v>122</v>
      </c>
    </row>
    <row r="74">
      <c r="A74" t="s" s="0">
        <v>77</v>
      </c>
      <c r="B74" t="s" s="0">
        <v>77</v>
      </c>
      <c r="C74" t="s" s="0">
        <v>169</v>
      </c>
      <c r="D74" t="s" s="0">
        <v>77</v>
      </c>
      <c r="E74" t="s" s="0">
        <v>1957</v>
      </c>
      <c r="F74" t="s" s="0">
        <v>1958</v>
      </c>
      <c r="G74" t="s" s="0">
        <v>1959</v>
      </c>
      <c r="H74" t="s" s="0">
        <v>81</v>
      </c>
      <c r="I74" t="s" s="0">
        <v>82</v>
      </c>
      <c r="J74" t="s" s="0">
        <v>1960</v>
      </c>
      <c r="K74" t="s" s="0">
        <v>1961</v>
      </c>
      <c r="L74" t="s" s="0">
        <v>81</v>
      </c>
      <c r="M74" t="s" s="0">
        <v>81</v>
      </c>
      <c r="N74" t="s" s="0">
        <v>81</v>
      </c>
      <c r="O74" t="s" s="0">
        <v>1962</v>
      </c>
      <c r="P74" t="s" s="0">
        <v>1963</v>
      </c>
      <c r="Q74" t="s" s="0">
        <v>90</v>
      </c>
      <c r="R74" t="s" s="0">
        <v>81</v>
      </c>
      <c r="S74" t="s" s="0">
        <v>81</v>
      </c>
      <c r="T74" t="s" s="0">
        <v>81</v>
      </c>
      <c r="U74" t="s" s="0">
        <v>81</v>
      </c>
      <c r="V74" t="s" s="0">
        <v>1964</v>
      </c>
      <c r="W74" t="s" s="0">
        <v>283</v>
      </c>
      <c r="X74" t="s" s="0">
        <v>81</v>
      </c>
      <c r="Y74" t="s" s="0">
        <v>81</v>
      </c>
      <c r="Z74" t="s" s="0">
        <v>93</v>
      </c>
      <c r="AA74" t="s" s="0">
        <v>94</v>
      </c>
      <c r="AB74" t="s" s="0">
        <v>81</v>
      </c>
      <c r="AC74" t="s" s="0">
        <v>81</v>
      </c>
      <c r="AD74" t="s" s="0">
        <v>81</v>
      </c>
      <c r="AE74" t="s" s="0">
        <v>81</v>
      </c>
      <c r="AF74" t="s" s="0">
        <v>81</v>
      </c>
      <c r="AG74" t="s" s="0">
        <v>1965</v>
      </c>
      <c r="AH74" t="s" s="0">
        <v>81</v>
      </c>
      <c r="AI74" t="s" s="0">
        <v>81</v>
      </c>
      <c r="AJ74" t="s" s="0">
        <v>1966</v>
      </c>
      <c r="AK74" t="s" s="0">
        <v>81</v>
      </c>
      <c r="AL74" t="s" s="0">
        <v>553</v>
      </c>
      <c r="AM74" t="s" s="0">
        <v>169</v>
      </c>
      <c r="AN74" t="s" s="0">
        <v>169</v>
      </c>
      <c r="AO74" t="s" s="0">
        <v>115</v>
      </c>
      <c r="AP74" t="s" s="0">
        <v>1543</v>
      </c>
      <c r="AQ74" t="s" s="0">
        <v>288</v>
      </c>
      <c r="AR74" t="s" s="0">
        <v>289</v>
      </c>
      <c r="AS74" t="s" s="0">
        <v>290</v>
      </c>
      <c r="AT74" t="s" s="0">
        <v>291</v>
      </c>
      <c r="AU74" t="s" s="0">
        <v>292</v>
      </c>
      <c r="AV74" t="s" s="0">
        <v>81</v>
      </c>
      <c r="AW74" t="s" s="0">
        <v>293</v>
      </c>
      <c r="AX74" t="s" s="0">
        <v>294</v>
      </c>
      <c r="AY74" t="s" s="0">
        <v>177</v>
      </c>
      <c r="AZ74" t="s" s="0">
        <v>144</v>
      </c>
      <c r="BA74" t="s" s="0">
        <v>1967</v>
      </c>
      <c r="BB74" t="s" s="0">
        <v>81</v>
      </c>
      <c r="BC74" t="s" s="0">
        <v>81</v>
      </c>
      <c r="BD74" t="s" s="0">
        <v>1968</v>
      </c>
      <c r="BE74" t="s" s="0">
        <v>81</v>
      </c>
      <c r="BF74" t="s" s="0">
        <v>81</v>
      </c>
      <c r="BG74" t="s" s="0">
        <v>81</v>
      </c>
      <c r="BH74" t="s" s="0">
        <v>81</v>
      </c>
      <c r="BI74" t="s" s="0">
        <v>1969</v>
      </c>
      <c r="BJ74" t="s" s="0">
        <v>1970</v>
      </c>
      <c r="BK74" t="s" s="145">
        <f>HYPERLINK("http://dx.doi.org/10.1016/j.inffus.2025.103902","http://dx.doi.org/10.1016/j.inffus.2025.103902")</f>
        <v>1971</v>
      </c>
      <c r="BL74" t="s" s="0">
        <v>81</v>
      </c>
      <c r="BM74" t="s" s="0">
        <v>801</v>
      </c>
      <c r="BN74" t="s" s="0">
        <v>265</v>
      </c>
      <c r="BO74" t="s" s="0">
        <v>302</v>
      </c>
      <c r="BP74" t="s" s="0">
        <v>303</v>
      </c>
      <c r="BQ74" t="s" s="0">
        <v>1972</v>
      </c>
      <c r="BR74" t="s" s="0">
        <v>81</v>
      </c>
      <c r="BS74" t="s" s="0">
        <v>1973</v>
      </c>
      <c r="BT74" t="s" s="146">
        <f>HYPERLINK("https://www.webofscience.com/wos/woscc/full-record/WOS:001618127000001","View Record in Web of Science")</f>
        <v>120</v>
      </c>
      <c r="BU74" t="s" s="0">
        <v>81</v>
      </c>
      <c r="BV74" t="s" s="0">
        <v>81</v>
      </c>
      <c r="BW74" t="s" s="0">
        <v>81</v>
      </c>
      <c r="BX74" t="s" s="0">
        <v>122</v>
      </c>
    </row>
    <row r="75">
      <c r="A75" t="s" s="0">
        <v>554</v>
      </c>
      <c r="B75" t="s" s="0">
        <v>77</v>
      </c>
      <c r="C75" t="s" s="0">
        <v>100</v>
      </c>
      <c r="D75" t="s" s="0">
        <v>77</v>
      </c>
      <c r="E75" t="s" s="0">
        <v>1974</v>
      </c>
      <c r="F75" t="s" s="0">
        <v>1975</v>
      </c>
      <c r="G75" t="s" s="0">
        <v>1976</v>
      </c>
      <c r="H75" t="s" s="0">
        <v>81</v>
      </c>
      <c r="I75" t="s" s="0">
        <v>82</v>
      </c>
      <c r="J75" t="s" s="0">
        <v>1977</v>
      </c>
      <c r="K75" t="s" s="0">
        <v>1978</v>
      </c>
      <c r="L75" t="s" s="0">
        <v>1979</v>
      </c>
      <c r="M75" t="s" s="0">
        <v>1980</v>
      </c>
      <c r="N75" t="s" s="0">
        <v>1981</v>
      </c>
      <c r="O75" t="s" s="0">
        <v>1982</v>
      </c>
      <c r="P75" t="s" s="0">
        <v>1983</v>
      </c>
      <c r="Q75" t="s" s="0">
        <v>90</v>
      </c>
      <c r="R75" t="s" s="0">
        <v>81</v>
      </c>
      <c r="S75" t="s" s="0">
        <v>81</v>
      </c>
      <c r="T75" t="s" s="0">
        <v>81</v>
      </c>
      <c r="U75" t="s" s="0">
        <v>81</v>
      </c>
      <c r="V75" t="s" s="0">
        <v>1984</v>
      </c>
      <c r="W75" t="s" s="0">
        <v>92</v>
      </c>
      <c r="X75" t="s" s="0">
        <v>81</v>
      </c>
      <c r="Y75" t="s" s="0">
        <v>81</v>
      </c>
      <c r="Z75" t="s" s="0">
        <v>93</v>
      </c>
      <c r="AA75" t="s" s="0">
        <v>94</v>
      </c>
      <c r="AB75" t="s" s="0">
        <v>81</v>
      </c>
      <c r="AC75" t="s" s="0">
        <v>81</v>
      </c>
      <c r="AD75" t="s" s="0">
        <v>81</v>
      </c>
      <c r="AE75" t="s" s="0">
        <v>81</v>
      </c>
      <c r="AF75" t="s" s="0">
        <v>81</v>
      </c>
      <c r="AG75" t="s" s="0">
        <v>1985</v>
      </c>
      <c r="AH75" t="s" s="0">
        <v>1986</v>
      </c>
      <c r="AI75" t="s" s="0">
        <v>1987</v>
      </c>
      <c r="AJ75" t="s" s="0">
        <v>1988</v>
      </c>
      <c r="AK75" t="s" s="0">
        <v>81</v>
      </c>
      <c r="AL75" t="s" s="0">
        <v>1989</v>
      </c>
      <c r="AM75" t="s" s="0">
        <v>301</v>
      </c>
      <c r="AN75" t="s" s="0">
        <v>111</v>
      </c>
      <c r="AO75" t="s" s="0">
        <v>452</v>
      </c>
      <c r="AP75" t="s" s="0">
        <v>924</v>
      </c>
      <c r="AQ75" t="s" s="0">
        <v>103</v>
      </c>
      <c r="AR75" t="s" s="0">
        <v>104</v>
      </c>
      <c r="AS75" t="s" s="0">
        <v>105</v>
      </c>
      <c r="AT75" t="s" s="0">
        <v>1405</v>
      </c>
      <c r="AU75" t="s" s="0">
        <v>106</v>
      </c>
      <c r="AV75" t="s" s="0">
        <v>81</v>
      </c>
      <c r="AW75" t="s" s="0">
        <v>107</v>
      </c>
      <c r="AX75" t="s" s="0">
        <v>108</v>
      </c>
      <c r="AY75" t="s" s="0">
        <v>1990</v>
      </c>
      <c r="AZ75" t="s" s="0">
        <v>592</v>
      </c>
      <c r="BA75" t="s" s="0">
        <v>319</v>
      </c>
      <c r="BB75" t="s" s="0">
        <v>81</v>
      </c>
      <c r="BC75" t="s" s="0">
        <v>81</v>
      </c>
      <c r="BD75" t="s" s="0">
        <v>81</v>
      </c>
      <c r="BE75" t="s" s="0">
        <v>81</v>
      </c>
      <c r="BF75" t="s" s="0">
        <v>81</v>
      </c>
      <c r="BG75" t="s" s="0">
        <v>81</v>
      </c>
      <c r="BH75" t="s" s="0">
        <v>81</v>
      </c>
      <c r="BI75" t="s" s="0">
        <v>1991</v>
      </c>
      <c r="BJ75" t="s" s="0">
        <v>1992</v>
      </c>
      <c r="BK75" t="s" s="147">
        <f>HYPERLINK("http://dx.doi.org/10.2196/54580","http://dx.doi.org/10.2196/54580")</f>
        <v>1993</v>
      </c>
      <c r="BL75" t="s" s="0">
        <v>81</v>
      </c>
      <c r="BM75" t="s" s="0">
        <v>81</v>
      </c>
      <c r="BN75" t="s" s="0">
        <v>509</v>
      </c>
      <c r="BO75" t="s" s="0">
        <v>116</v>
      </c>
      <c r="BP75" t="s" s="0">
        <v>116</v>
      </c>
      <c r="BQ75" t="s" s="0">
        <v>1994</v>
      </c>
      <c r="BR75" t="s" s="0">
        <v>1995</v>
      </c>
      <c r="BS75" t="s" s="0">
        <v>1996</v>
      </c>
      <c r="BT75" t="s" s="148">
        <f>HYPERLINK("https://www.webofscience.com/wos/woscc/full-record/WOS:001244836100001","View Record in Web of Science")</f>
        <v>120</v>
      </c>
      <c r="BU75" t="s" s="0">
        <v>121</v>
      </c>
      <c r="BV75" t="s" s="0">
        <v>81</v>
      </c>
      <c r="BW75" t="s" s="0">
        <v>81</v>
      </c>
      <c r="BX75" t="s" s="0">
        <v>122</v>
      </c>
    </row>
    <row r="76">
      <c r="A76" t="s" s="0">
        <v>77</v>
      </c>
      <c r="B76" t="s" s="0">
        <v>77</v>
      </c>
      <c r="C76" t="s" s="0">
        <v>169</v>
      </c>
      <c r="D76" t="s" s="0">
        <v>77</v>
      </c>
      <c r="E76" t="s" s="0">
        <v>1997</v>
      </c>
      <c r="F76" t="s" s="0">
        <v>1998</v>
      </c>
      <c r="G76" t="s" s="0">
        <v>1999</v>
      </c>
      <c r="H76" t="s" s="0">
        <v>81</v>
      </c>
      <c r="I76" t="s" s="0">
        <v>218</v>
      </c>
      <c r="J76" t="s" s="0">
        <v>2000</v>
      </c>
      <c r="K76" t="s" s="0">
        <v>1039</v>
      </c>
      <c r="L76" t="s" s="0">
        <v>2001</v>
      </c>
      <c r="M76" t="s" s="0">
        <v>2002</v>
      </c>
      <c r="N76" t="s" s="0">
        <v>2003</v>
      </c>
      <c r="O76" t="s" s="0">
        <v>2004</v>
      </c>
      <c r="P76" t="s" s="0">
        <v>2005</v>
      </c>
      <c r="Q76" t="s" s="0">
        <v>90</v>
      </c>
      <c r="R76" t="s" s="0">
        <v>81</v>
      </c>
      <c r="S76" t="s" s="0">
        <v>81</v>
      </c>
      <c r="T76" t="s" s="0">
        <v>81</v>
      </c>
      <c r="U76" t="s" s="0">
        <v>81</v>
      </c>
      <c r="V76" t="s" s="0">
        <v>2006</v>
      </c>
      <c r="W76" t="s" s="0">
        <v>817</v>
      </c>
      <c r="X76" t="s" s="0">
        <v>81</v>
      </c>
      <c r="Y76" t="s" s="0">
        <v>81</v>
      </c>
      <c r="Z76" t="s" s="0">
        <v>93</v>
      </c>
      <c r="AA76" t="s" s="0">
        <v>94</v>
      </c>
      <c r="AB76" t="s" s="0">
        <v>81</v>
      </c>
      <c r="AC76" t="s" s="0">
        <v>81</v>
      </c>
      <c r="AD76" t="s" s="0">
        <v>81</v>
      </c>
      <c r="AE76" t="s" s="0">
        <v>81</v>
      </c>
      <c r="AF76" t="s" s="0">
        <v>81</v>
      </c>
      <c r="AG76" t="s" s="0">
        <v>81</v>
      </c>
      <c r="AH76" t="s" s="0">
        <v>2007</v>
      </c>
      <c r="AI76" t="s" s="0">
        <v>2008</v>
      </c>
      <c r="AJ76" t="s" s="0">
        <v>2009</v>
      </c>
      <c r="AK76" t="s" s="0">
        <v>81</v>
      </c>
      <c r="AL76" t="s" s="0">
        <v>199</v>
      </c>
      <c r="AM76" t="s" s="0">
        <v>301</v>
      </c>
      <c r="AN76" t="s" s="0">
        <v>319</v>
      </c>
      <c r="AO76" t="s" s="0">
        <v>169</v>
      </c>
      <c r="AP76" t="s" s="0">
        <v>452</v>
      </c>
      <c r="AQ76" t="s" s="0">
        <v>821</v>
      </c>
      <c r="AR76" t="s" s="0">
        <v>822</v>
      </c>
      <c r="AS76" t="s" s="0">
        <v>823</v>
      </c>
      <c r="AT76" t="s" s="0">
        <v>81</v>
      </c>
      <c r="AU76" t="s" s="0">
        <v>824</v>
      </c>
      <c r="AV76" t="s" s="0">
        <v>81</v>
      </c>
      <c r="AW76" t="s" s="0">
        <v>825</v>
      </c>
      <c r="AX76" t="s" s="0">
        <v>826</v>
      </c>
      <c r="AY76" t="s" s="0">
        <v>1855</v>
      </c>
      <c r="AZ76" t="s" s="0">
        <v>110</v>
      </c>
      <c r="BA76" t="s" s="0">
        <v>99</v>
      </c>
      <c r="BB76" t="s" s="0">
        <v>452</v>
      </c>
      <c r="BC76" t="s" s="0">
        <v>81</v>
      </c>
      <c r="BD76" t="s" s="0">
        <v>81</v>
      </c>
      <c r="BE76" t="s" s="0">
        <v>81</v>
      </c>
      <c r="BF76" t="s" s="0">
        <v>81</v>
      </c>
      <c r="BG76" t="s" s="0">
        <v>81</v>
      </c>
      <c r="BH76" t="s" s="0">
        <v>81</v>
      </c>
      <c r="BI76" t="s" s="0">
        <v>2010</v>
      </c>
      <c r="BJ76" t="s" s="0">
        <v>2011</v>
      </c>
      <c r="BK76" t="s" s="149">
        <f>HYPERLINK("http://dx.doi.org/10.1371/journal.pdig.0000899","http://dx.doi.org/10.1371/journal.pdig.0000899")</f>
        <v>2012</v>
      </c>
      <c r="BL76" t="s" s="0">
        <v>81</v>
      </c>
      <c r="BM76" t="s" s="0">
        <v>81</v>
      </c>
      <c r="BN76" t="s" s="0">
        <v>509</v>
      </c>
      <c r="BO76" t="s" s="0">
        <v>116</v>
      </c>
      <c r="BP76" t="s" s="0">
        <v>116</v>
      </c>
      <c r="BQ76" t="s" s="0">
        <v>2013</v>
      </c>
      <c r="BR76" t="s" s="0">
        <v>2014</v>
      </c>
      <c r="BS76" t="s" s="0">
        <v>2015</v>
      </c>
      <c r="BT76" t="s" s="150">
        <f>HYPERLINK("https://www.webofscience.com/wos/woscc/full-record/WOS:001510823000001","View Record in Web of Science")</f>
        <v>120</v>
      </c>
      <c r="BU76" t="s" s="0">
        <v>121</v>
      </c>
      <c r="BV76" t="s" s="0">
        <v>81</v>
      </c>
      <c r="BW76" t="s" s="0">
        <v>81</v>
      </c>
      <c r="BX76" t="s" s="0">
        <v>122</v>
      </c>
    </row>
    <row r="77">
      <c r="A77" t="s" s="0">
        <v>77</v>
      </c>
      <c r="B77" t="s" s="0">
        <v>77</v>
      </c>
      <c r="C77" t="s" s="0">
        <v>77</v>
      </c>
      <c r="D77" t="s" s="0">
        <v>77</v>
      </c>
      <c r="E77" t="s" s="0">
        <v>2016</v>
      </c>
      <c r="F77" t="s" s="0">
        <v>2017</v>
      </c>
      <c r="G77" t="s" s="0">
        <v>2018</v>
      </c>
      <c r="H77" t="s" s="0">
        <v>81</v>
      </c>
      <c r="I77" t="s" s="0">
        <v>82</v>
      </c>
      <c r="J77" t="s" s="0">
        <v>2019</v>
      </c>
      <c r="K77" t="s" s="0">
        <v>2020</v>
      </c>
      <c r="L77" t="s" s="0">
        <v>81</v>
      </c>
      <c r="M77" t="s" s="0">
        <v>81</v>
      </c>
      <c r="N77" t="s" s="0">
        <v>81</v>
      </c>
      <c r="O77" t="s" s="0">
        <v>2021</v>
      </c>
      <c r="P77" t="s" s="0">
        <v>81</v>
      </c>
      <c r="Q77" t="s" s="0">
        <v>90</v>
      </c>
      <c r="R77" t="s" s="0">
        <v>81</v>
      </c>
      <c r="S77" t="s" s="0">
        <v>81</v>
      </c>
      <c r="T77" t="s" s="0">
        <v>81</v>
      </c>
      <c r="U77" t="s" s="0">
        <v>81</v>
      </c>
      <c r="V77" t="s" s="0">
        <v>2022</v>
      </c>
      <c r="W77" t="s" s="0">
        <v>2023</v>
      </c>
      <c r="X77" t="s" s="0">
        <v>81</v>
      </c>
      <c r="Y77" t="s" s="0">
        <v>81</v>
      </c>
      <c r="Z77" t="s" s="0">
        <v>93</v>
      </c>
      <c r="AA77" t="s" s="0">
        <v>94</v>
      </c>
      <c r="AB77" t="s" s="0">
        <v>81</v>
      </c>
      <c r="AC77" t="s" s="0">
        <v>81</v>
      </c>
      <c r="AD77" t="s" s="0">
        <v>81</v>
      </c>
      <c r="AE77" t="s" s="0">
        <v>81</v>
      </c>
      <c r="AF77" t="s" s="0">
        <v>81</v>
      </c>
      <c r="AG77" t="s" s="0">
        <v>2024</v>
      </c>
      <c r="AH77" t="s" s="0">
        <v>81</v>
      </c>
      <c r="AI77" t="s" s="0">
        <v>2025</v>
      </c>
      <c r="AJ77" t="s" s="0">
        <v>81</v>
      </c>
      <c r="AK77" t="s" s="0">
        <v>81</v>
      </c>
      <c r="AL77" t="s" s="0">
        <v>2026</v>
      </c>
      <c r="AM77" t="s" s="0">
        <v>101</v>
      </c>
      <c r="AN77" t="s" s="0">
        <v>101</v>
      </c>
      <c r="AO77" t="s" s="0">
        <v>99</v>
      </c>
      <c r="AP77" t="s" s="0">
        <v>328</v>
      </c>
      <c r="AQ77" t="s" s="0">
        <v>499</v>
      </c>
      <c r="AR77" t="s" s="0">
        <v>500</v>
      </c>
      <c r="AS77" t="s" s="0">
        <v>501</v>
      </c>
      <c r="AT77" t="s" s="0">
        <v>2027</v>
      </c>
      <c r="AU77" t="s" s="0">
        <v>81</v>
      </c>
      <c r="AV77" t="s" s="0">
        <v>81</v>
      </c>
      <c r="AW77" t="s" s="0">
        <v>2028</v>
      </c>
      <c r="AX77" t="s" s="0">
        <v>2029</v>
      </c>
      <c r="AY77" t="s" s="0">
        <v>2030</v>
      </c>
      <c r="AZ77" t="s" s="0">
        <v>110</v>
      </c>
      <c r="BA77" t="s" s="0">
        <v>509</v>
      </c>
      <c r="BB77" t="s" s="0">
        <v>169</v>
      </c>
      <c r="BC77" t="s" s="0">
        <v>81</v>
      </c>
      <c r="BD77" t="s" s="0">
        <v>81</v>
      </c>
      <c r="BE77" t="s" s="0">
        <v>81</v>
      </c>
      <c r="BF77" t="s" s="0">
        <v>81</v>
      </c>
      <c r="BG77" t="s" s="0">
        <v>81</v>
      </c>
      <c r="BH77" t="s" s="0">
        <v>81</v>
      </c>
      <c r="BI77" t="s" s="0">
        <v>554</v>
      </c>
      <c r="BJ77" t="s" s="0">
        <v>2031</v>
      </c>
      <c r="BK77" t="s" s="151">
        <f>HYPERLINK("http://dx.doi.org/10.1007/s13755-025-00397-9","http://dx.doi.org/10.1007/s13755-025-00397-9")</f>
        <v>2032</v>
      </c>
      <c r="BL77" t="s" s="0">
        <v>81</v>
      </c>
      <c r="BM77" t="s" s="0">
        <v>81</v>
      </c>
      <c r="BN77" t="s" s="0">
        <v>509</v>
      </c>
      <c r="BO77" t="s" s="0">
        <v>244</v>
      </c>
      <c r="BP77" t="s" s="0">
        <v>244</v>
      </c>
      <c r="BQ77" t="s" s="0">
        <v>2033</v>
      </c>
      <c r="BR77" t="s" s="0">
        <v>2034</v>
      </c>
      <c r="BS77" t="s" s="0">
        <v>2035</v>
      </c>
      <c r="BT77" t="s" s="152">
        <f>HYPERLINK("https://www.webofscience.com/wos/woscc/full-record/WOS:001620122800001","View Record in Web of Science")</f>
        <v>120</v>
      </c>
      <c r="BU77" t="s" s="0">
        <v>81</v>
      </c>
      <c r="BV77" t="s" s="0">
        <v>81</v>
      </c>
      <c r="BW77" t="s" s="0">
        <v>81</v>
      </c>
      <c r="BX77" t="s" s="0">
        <v>122</v>
      </c>
    </row>
    <row r="78">
      <c r="A78" t="s" s="0">
        <v>77</v>
      </c>
      <c r="B78" t="s" s="0">
        <v>77</v>
      </c>
      <c r="C78" t="s" s="0">
        <v>77</v>
      </c>
      <c r="D78" t="s" s="0">
        <v>77</v>
      </c>
      <c r="E78" t="s" s="0">
        <v>2036</v>
      </c>
      <c r="F78" t="s" s="0">
        <v>2037</v>
      </c>
      <c r="G78" t="s" s="0">
        <v>2038</v>
      </c>
      <c r="H78" t="s" s="0">
        <v>81</v>
      </c>
      <c r="I78" t="s" s="0">
        <v>82</v>
      </c>
      <c r="J78" t="s" s="0">
        <v>2039</v>
      </c>
      <c r="K78" t="s" s="0">
        <v>2040</v>
      </c>
      <c r="L78" t="s" s="0">
        <v>81</v>
      </c>
      <c r="M78" t="s" s="0">
        <v>81</v>
      </c>
      <c r="N78" t="s" s="0">
        <v>81</v>
      </c>
      <c r="O78" t="s" s="0">
        <v>2041</v>
      </c>
      <c r="P78" t="s" s="0">
        <v>2042</v>
      </c>
      <c r="Q78" t="s" s="0">
        <v>90</v>
      </c>
      <c r="R78" t="s" s="0">
        <v>81</v>
      </c>
      <c r="S78" t="s" s="0">
        <v>81</v>
      </c>
      <c r="T78" t="s" s="0">
        <v>81</v>
      </c>
      <c r="U78" t="s" s="0">
        <v>81</v>
      </c>
      <c r="V78" t="s" s="0">
        <v>2043</v>
      </c>
      <c r="W78" t="s" s="0">
        <v>2044</v>
      </c>
      <c r="X78" t="s" s="0">
        <v>81</v>
      </c>
      <c r="Y78" t="s" s="0">
        <v>81</v>
      </c>
      <c r="Z78" t="s" s="0">
        <v>93</v>
      </c>
      <c r="AA78" t="s" s="0">
        <v>94</v>
      </c>
      <c r="AB78" t="s" s="0">
        <v>81</v>
      </c>
      <c r="AC78" t="s" s="0">
        <v>81</v>
      </c>
      <c r="AD78" t="s" s="0">
        <v>81</v>
      </c>
      <c r="AE78" t="s" s="0">
        <v>81</v>
      </c>
      <c r="AF78" t="s" s="0">
        <v>81</v>
      </c>
      <c r="AG78" t="s" s="0">
        <v>2045</v>
      </c>
      <c r="AH78" t="s" s="0">
        <v>81</v>
      </c>
      <c r="AI78" t="s" s="0">
        <v>2046</v>
      </c>
      <c r="AJ78" t="s" s="0">
        <v>2047</v>
      </c>
      <c r="AK78" t="s" s="0">
        <v>81</v>
      </c>
      <c r="AL78" t="s" s="0">
        <v>199</v>
      </c>
      <c r="AM78" t="s" s="0">
        <v>99</v>
      </c>
      <c r="AN78" t="s" s="0">
        <v>99</v>
      </c>
      <c r="AO78" t="s" s="0">
        <v>554</v>
      </c>
      <c r="AP78" t="s" s="0">
        <v>101</v>
      </c>
      <c r="AQ78" t="s" s="0">
        <v>2048</v>
      </c>
      <c r="AR78" t="s" s="0">
        <v>2049</v>
      </c>
      <c r="AS78" t="s" s="0">
        <v>2050</v>
      </c>
      <c r="AT78" t="s" s="0">
        <v>2051</v>
      </c>
      <c r="AU78" t="s" s="0">
        <v>2052</v>
      </c>
      <c r="AV78" t="s" s="0">
        <v>81</v>
      </c>
      <c r="AW78" t="s" s="0">
        <v>2053</v>
      </c>
      <c r="AX78" t="s" s="0">
        <v>2054</v>
      </c>
      <c r="AY78" t="s" s="0">
        <v>2055</v>
      </c>
      <c r="AZ78" t="s" s="0">
        <v>144</v>
      </c>
      <c r="BA78" t="s" s="0">
        <v>2056</v>
      </c>
      <c r="BB78" t="s" s="0">
        <v>169</v>
      </c>
      <c r="BC78" t="s" s="0">
        <v>81</v>
      </c>
      <c r="BD78" t="s" s="0">
        <v>81</v>
      </c>
      <c r="BE78" t="s" s="0">
        <v>81</v>
      </c>
      <c r="BF78" t="s" s="0">
        <v>81</v>
      </c>
      <c r="BG78" t="s" s="0">
        <v>944</v>
      </c>
      <c r="BH78" t="s" s="0">
        <v>1989</v>
      </c>
      <c r="BI78" t="s" s="0">
        <v>81</v>
      </c>
      <c r="BJ78" t="s" s="0">
        <v>2057</v>
      </c>
      <c r="BK78" t="s" s="153">
        <f>HYPERLINK("http://dx.doi.org/10.1016/j.bjoms.2025.08.015","http://dx.doi.org/10.1016/j.bjoms.2025.08.015")</f>
        <v>2058</v>
      </c>
      <c r="BL78" t="s" s="0">
        <v>81</v>
      </c>
      <c r="BM78" t="s" s="0">
        <v>2055</v>
      </c>
      <c r="BN78" t="s" s="0">
        <v>386</v>
      </c>
      <c r="BO78" t="s" s="0">
        <v>2059</v>
      </c>
      <c r="BP78" t="s" s="0">
        <v>2059</v>
      </c>
      <c r="BQ78" t="s" s="0">
        <v>2060</v>
      </c>
      <c r="BR78" t="s" s="0">
        <v>2061</v>
      </c>
      <c r="BS78" t="s" s="0">
        <v>2062</v>
      </c>
      <c r="BT78" t="s" s="154">
        <f>HYPERLINK("https://www.webofscience.com/wos/woscc/full-record/WOS:001674249800001","View Record in Web of Science")</f>
        <v>120</v>
      </c>
      <c r="BU78" t="s" s="0">
        <v>81</v>
      </c>
      <c r="BV78" t="s" s="0">
        <v>81</v>
      </c>
      <c r="BW78" t="s" s="0">
        <v>81</v>
      </c>
      <c r="BX78" t="s" s="0">
        <v>122</v>
      </c>
    </row>
    <row r="79">
      <c r="A79" t="s" s="0">
        <v>77</v>
      </c>
      <c r="B79" t="s" s="0">
        <v>77</v>
      </c>
      <c r="C79" t="s" s="0">
        <v>77</v>
      </c>
      <c r="D79" t="s" s="0">
        <v>77</v>
      </c>
      <c r="E79" t="s" s="0">
        <v>2063</v>
      </c>
      <c r="F79" t="s" s="0">
        <v>2064</v>
      </c>
      <c r="G79" t="s" s="0">
        <v>2065</v>
      </c>
      <c r="H79" t="s" s="0">
        <v>81</v>
      </c>
      <c r="I79" t="s" s="0">
        <v>218</v>
      </c>
      <c r="J79" t="s" s="0">
        <v>2066</v>
      </c>
      <c r="K79" t="s" s="0">
        <v>2067</v>
      </c>
      <c r="L79" t="s" s="0">
        <v>81</v>
      </c>
      <c r="M79" t="s" s="0">
        <v>81</v>
      </c>
      <c r="N79" t="s" s="0">
        <v>81</v>
      </c>
      <c r="O79" t="s" s="0">
        <v>2068</v>
      </c>
      <c r="P79" t="s" s="0">
        <v>2069</v>
      </c>
      <c r="Q79" t="s" s="0">
        <v>90</v>
      </c>
      <c r="R79" t="s" s="0">
        <v>81</v>
      </c>
      <c r="S79" t="s" s="0">
        <v>81</v>
      </c>
      <c r="T79" t="s" s="0">
        <v>81</v>
      </c>
      <c r="U79" t="s" s="0">
        <v>81</v>
      </c>
      <c r="V79" t="s" s="0">
        <v>2070</v>
      </c>
      <c r="W79" t="s" s="0">
        <v>2071</v>
      </c>
      <c r="X79" t="s" s="0">
        <v>81</v>
      </c>
      <c r="Y79" t="s" s="0">
        <v>81</v>
      </c>
      <c r="Z79" t="s" s="0">
        <v>93</v>
      </c>
      <c r="AA79" t="s" s="0">
        <v>94</v>
      </c>
      <c r="AB79" t="s" s="0">
        <v>81</v>
      </c>
      <c r="AC79" t="s" s="0">
        <v>81</v>
      </c>
      <c r="AD79" t="s" s="0">
        <v>81</v>
      </c>
      <c r="AE79" t="s" s="0">
        <v>81</v>
      </c>
      <c r="AF79" t="s" s="0">
        <v>81</v>
      </c>
      <c r="AG79" t="s" s="0">
        <v>2072</v>
      </c>
      <c r="AH79" t="s" s="0">
        <v>2073</v>
      </c>
      <c r="AI79" t="s" s="0">
        <v>2074</v>
      </c>
      <c r="AJ79" t="s" s="0">
        <v>81</v>
      </c>
      <c r="AK79" t="s" s="0">
        <v>81</v>
      </c>
      <c r="AL79" t="s" s="0">
        <v>2026</v>
      </c>
      <c r="AM79" t="s" s="0">
        <v>554</v>
      </c>
      <c r="AN79" t="s" s="0">
        <v>554</v>
      </c>
      <c r="AO79" t="s" s="0">
        <v>101</v>
      </c>
      <c r="AP79" t="s" s="0">
        <v>101</v>
      </c>
      <c r="AQ79" t="s" s="0">
        <v>103</v>
      </c>
      <c r="AR79" t="s" s="0">
        <v>104</v>
      </c>
      <c r="AS79" t="s" s="0">
        <v>105</v>
      </c>
      <c r="AT79" t="s" s="0">
        <v>81</v>
      </c>
      <c r="AU79" t="s" s="0">
        <v>2075</v>
      </c>
      <c r="AV79" t="s" s="0">
        <v>81</v>
      </c>
      <c r="AW79" t="s" s="0">
        <v>2076</v>
      </c>
      <c r="AX79" t="s" s="0">
        <v>2077</v>
      </c>
      <c r="AY79" t="s" s="0">
        <v>144</v>
      </c>
      <c r="AZ79" t="s" s="0">
        <v>144</v>
      </c>
      <c r="BA79" t="s" s="0">
        <v>102</v>
      </c>
      <c r="BB79" t="s" s="0">
        <v>81</v>
      </c>
      <c r="BC79" t="s" s="0">
        <v>81</v>
      </c>
      <c r="BD79" t="s" s="0">
        <v>81</v>
      </c>
      <c r="BE79" t="s" s="0">
        <v>81</v>
      </c>
      <c r="BF79" t="s" s="0">
        <v>81</v>
      </c>
      <c r="BG79" t="s" s="0">
        <v>81</v>
      </c>
      <c r="BH79" t="s" s="0">
        <v>81</v>
      </c>
      <c r="BI79" t="s" s="0">
        <v>2078</v>
      </c>
      <c r="BJ79" t="s" s="0">
        <v>2079</v>
      </c>
      <c r="BK79" t="s" s="155">
        <f>HYPERLINK("http://dx.doi.org/10.2196/82828","http://dx.doi.org/10.2196/82828")</f>
        <v>2080</v>
      </c>
      <c r="BL79" t="s" s="0">
        <v>81</v>
      </c>
      <c r="BM79" t="s" s="0">
        <v>81</v>
      </c>
      <c r="BN79" t="s" s="0">
        <v>320</v>
      </c>
      <c r="BO79" t="s" s="0">
        <v>116</v>
      </c>
      <c r="BP79" t="s" s="0">
        <v>116</v>
      </c>
      <c r="BQ79" t="s" s="0">
        <v>2081</v>
      </c>
      <c r="BR79" t="s" s="0">
        <v>2082</v>
      </c>
      <c r="BS79" t="s" s="0">
        <v>2083</v>
      </c>
      <c r="BT79" t="s" s="156">
        <f>HYPERLINK("https://www.webofscience.com/wos/woscc/full-record/WOS:001694904500013","View Record in Web of Science")</f>
        <v>120</v>
      </c>
      <c r="BU79" t="s" s="0">
        <v>121</v>
      </c>
      <c r="BV79" t="s" s="0">
        <v>81</v>
      </c>
      <c r="BW79" t="s" s="0">
        <v>81</v>
      </c>
      <c r="BX79" t="s" s="0">
        <v>122</v>
      </c>
    </row>
    <row r="80">
      <c r="A80" t="s" s="0">
        <v>77</v>
      </c>
      <c r="B80" t="s" s="0">
        <v>77</v>
      </c>
      <c r="C80" t="s" s="0">
        <v>77</v>
      </c>
      <c r="D80" t="s" s="0">
        <v>77</v>
      </c>
      <c r="E80" t="s" s="0">
        <v>2084</v>
      </c>
      <c r="F80" t="s" s="0">
        <v>2085</v>
      </c>
      <c r="G80" t="s" s="0">
        <v>2086</v>
      </c>
      <c r="H80" t="s" s="0">
        <v>81</v>
      </c>
      <c r="I80" t="s" s="0">
        <v>82</v>
      </c>
      <c r="J80" t="s" s="0">
        <v>2087</v>
      </c>
      <c r="K80" t="s" s="0">
        <v>2088</v>
      </c>
      <c r="L80" t="s" s="0">
        <v>2089</v>
      </c>
      <c r="M80" t="s" s="0">
        <v>2090</v>
      </c>
      <c r="N80" t="s" s="0">
        <v>2091</v>
      </c>
      <c r="O80" t="s" s="0">
        <v>2092</v>
      </c>
      <c r="P80" t="s" s="0">
        <v>2093</v>
      </c>
      <c r="Q80" t="s" s="0">
        <v>90</v>
      </c>
      <c r="R80" t="s" s="0">
        <v>81</v>
      </c>
      <c r="S80" t="s" s="0">
        <v>81</v>
      </c>
      <c r="T80" t="s" s="0">
        <v>81</v>
      </c>
      <c r="U80" t="s" s="0">
        <v>81</v>
      </c>
      <c r="V80" t="s" s="0">
        <v>2094</v>
      </c>
      <c r="W80" t="s" s="0">
        <v>317</v>
      </c>
      <c r="X80" t="s" s="0">
        <v>81</v>
      </c>
      <c r="Y80" t="s" s="0">
        <v>81</v>
      </c>
      <c r="Z80" t="s" s="0">
        <v>93</v>
      </c>
      <c r="AA80" t="s" s="0">
        <v>94</v>
      </c>
      <c r="AB80" t="s" s="0">
        <v>81</v>
      </c>
      <c r="AC80" t="s" s="0">
        <v>81</v>
      </c>
      <c r="AD80" t="s" s="0">
        <v>81</v>
      </c>
      <c r="AE80" t="s" s="0">
        <v>81</v>
      </c>
      <c r="AF80" t="s" s="0">
        <v>81</v>
      </c>
      <c r="AG80" t="s" s="0">
        <v>81</v>
      </c>
      <c r="AH80" t="s" s="0">
        <v>2095</v>
      </c>
      <c r="AI80" t="s" s="0">
        <v>2096</v>
      </c>
      <c r="AJ80" t="s" s="0">
        <v>2097</v>
      </c>
      <c r="AK80" t="s" s="0">
        <v>81</v>
      </c>
      <c r="AL80" t="s" s="0">
        <v>2098</v>
      </c>
      <c r="AM80" t="s" s="0">
        <v>554</v>
      </c>
      <c r="AN80" t="s" s="0">
        <v>554</v>
      </c>
      <c r="AO80" t="s" s="0">
        <v>169</v>
      </c>
      <c r="AP80" t="s" s="0">
        <v>101</v>
      </c>
      <c r="AQ80" t="s" s="0">
        <v>321</v>
      </c>
      <c r="AR80" t="s" s="0">
        <v>322</v>
      </c>
      <c r="AS80" t="s" s="0">
        <v>323</v>
      </c>
      <c r="AT80" t="s" s="0">
        <v>324</v>
      </c>
      <c r="AU80" t="s" s="0">
        <v>81</v>
      </c>
      <c r="AV80" t="s" s="0">
        <v>81</v>
      </c>
      <c r="AW80" t="s" s="0">
        <v>325</v>
      </c>
      <c r="AX80" t="s" s="0">
        <v>326</v>
      </c>
      <c r="AY80" t="s" s="0">
        <v>2099</v>
      </c>
      <c r="AZ80" t="s" s="0">
        <v>110</v>
      </c>
      <c r="BA80" t="s" s="0">
        <v>210</v>
      </c>
      <c r="BB80" t="s" s="0">
        <v>169</v>
      </c>
      <c r="BC80" t="s" s="0">
        <v>81</v>
      </c>
      <c r="BD80" t="s" s="0">
        <v>81</v>
      </c>
      <c r="BE80" t="s" s="0">
        <v>81</v>
      </c>
      <c r="BF80" t="s" s="0">
        <v>81</v>
      </c>
      <c r="BG80" t="s" s="0">
        <v>81</v>
      </c>
      <c r="BH80" t="s" s="0">
        <v>81</v>
      </c>
      <c r="BI80" t="s" s="0">
        <v>2100</v>
      </c>
      <c r="BJ80" t="s" s="0">
        <v>2101</v>
      </c>
      <c r="BK80" t="s" s="157">
        <f>HYPERLINK("http://dx.doi.org/10.1038/s41746-025-01615-0","http://dx.doi.org/10.1038/s41746-025-01615-0")</f>
        <v>2102</v>
      </c>
      <c r="BL80" t="s" s="0">
        <v>81</v>
      </c>
      <c r="BM80" t="s" s="0">
        <v>81</v>
      </c>
      <c r="BN80" t="s" s="0">
        <v>210</v>
      </c>
      <c r="BO80" t="s" s="0">
        <v>116</v>
      </c>
      <c r="BP80" t="s" s="0">
        <v>116</v>
      </c>
      <c r="BQ80" t="s" s="0">
        <v>2103</v>
      </c>
      <c r="BR80" t="s" s="0">
        <v>2104</v>
      </c>
      <c r="BS80" t="s" s="0">
        <v>2105</v>
      </c>
      <c r="BT80" t="s" s="158">
        <f>HYPERLINK("https://www.webofscience.com/wos/woscc/full-record/WOS:001473589900003","View Record in Web of Science")</f>
        <v>120</v>
      </c>
      <c r="BU80" t="s" s="0">
        <v>121</v>
      </c>
      <c r="BV80" t="s" s="0">
        <v>81</v>
      </c>
      <c r="BW80" t="s" s="0">
        <v>81</v>
      </c>
      <c r="BX80" t="s" s="0">
        <v>122</v>
      </c>
    </row>
    <row r="81">
      <c r="A81" t="s" s="0">
        <v>77</v>
      </c>
      <c r="B81" t="s" s="0">
        <v>77</v>
      </c>
      <c r="C81" t="s" s="0">
        <v>77</v>
      </c>
      <c r="D81" t="s" s="0">
        <v>77</v>
      </c>
      <c r="E81" t="s" s="0">
        <v>2106</v>
      </c>
      <c r="F81" t="s" s="0">
        <v>2107</v>
      </c>
      <c r="G81" t="s" s="0">
        <v>2108</v>
      </c>
      <c r="H81" t="s" s="0">
        <v>81</v>
      </c>
      <c r="I81" t="s" s="0">
        <v>82</v>
      </c>
      <c r="J81" t="s" s="0">
        <v>2109</v>
      </c>
      <c r="K81" t="s" s="0">
        <v>2110</v>
      </c>
      <c r="L81" t="s" s="0">
        <v>2111</v>
      </c>
      <c r="M81" t="s" s="0">
        <v>2111</v>
      </c>
      <c r="N81" t="s" s="0">
        <v>2112</v>
      </c>
      <c r="O81" t="s" s="0">
        <v>2113</v>
      </c>
      <c r="P81" t="s" s="0">
        <v>81</v>
      </c>
      <c r="Q81" t="s" s="0">
        <v>90</v>
      </c>
      <c r="R81" t="s" s="0">
        <v>81</v>
      </c>
      <c r="S81" t="s" s="0">
        <v>81</v>
      </c>
      <c r="T81" t="s" s="0">
        <v>81</v>
      </c>
      <c r="U81" t="s" s="0">
        <v>81</v>
      </c>
      <c r="V81" t="s" s="0">
        <v>2114</v>
      </c>
      <c r="W81" t="s" s="0">
        <v>1102</v>
      </c>
      <c r="X81" t="s" s="0">
        <v>81</v>
      </c>
      <c r="Y81" t="s" s="0">
        <v>81</v>
      </c>
      <c r="Z81" t="s" s="0">
        <v>93</v>
      </c>
      <c r="AA81" t="s" s="0">
        <v>94</v>
      </c>
      <c r="AB81" t="s" s="0">
        <v>81</v>
      </c>
      <c r="AC81" t="s" s="0">
        <v>81</v>
      </c>
      <c r="AD81" t="s" s="0">
        <v>81</v>
      </c>
      <c r="AE81" t="s" s="0">
        <v>81</v>
      </c>
      <c r="AF81" t="s" s="0">
        <v>81</v>
      </c>
      <c r="AG81" t="s" s="0">
        <v>2115</v>
      </c>
      <c r="AH81" t="s" s="0">
        <v>81</v>
      </c>
      <c r="AI81" t="s" s="0">
        <v>81</v>
      </c>
      <c r="AJ81" t="s" s="0">
        <v>81</v>
      </c>
      <c r="AK81" t="s" s="0">
        <v>81</v>
      </c>
      <c r="AL81" t="s" s="0">
        <v>2116</v>
      </c>
      <c r="AM81" t="s" s="0">
        <v>77</v>
      </c>
      <c r="AN81" t="s" s="0">
        <v>77</v>
      </c>
      <c r="AO81" t="s" s="0">
        <v>169</v>
      </c>
      <c r="AP81" t="s" s="0">
        <v>169</v>
      </c>
      <c r="AQ81" t="s" s="0">
        <v>288</v>
      </c>
      <c r="AR81" t="s" s="0">
        <v>289</v>
      </c>
      <c r="AS81" t="s" s="0">
        <v>290</v>
      </c>
      <c r="AT81" t="s" s="0">
        <v>1108</v>
      </c>
      <c r="AU81" t="s" s="0">
        <v>1109</v>
      </c>
      <c r="AV81" t="s" s="0">
        <v>81</v>
      </c>
      <c r="AW81" t="s" s="0">
        <v>1110</v>
      </c>
      <c r="AX81" t="s" s="0">
        <v>1111</v>
      </c>
      <c r="AY81" t="s" s="0">
        <v>2117</v>
      </c>
      <c r="AZ81" t="s" s="0">
        <v>144</v>
      </c>
      <c r="BA81" t="s" s="0">
        <v>2118</v>
      </c>
      <c r="BB81" t="s" s="0">
        <v>81</v>
      </c>
      <c r="BC81" t="s" s="0">
        <v>81</v>
      </c>
      <c r="BD81" t="s" s="0">
        <v>2119</v>
      </c>
      <c r="BE81" t="s" s="0">
        <v>81</v>
      </c>
      <c r="BF81" t="s" s="0">
        <v>81</v>
      </c>
      <c r="BG81" t="s" s="0">
        <v>81</v>
      </c>
      <c r="BH81" t="s" s="0">
        <v>81</v>
      </c>
      <c r="BI81" t="s" s="0">
        <v>2120</v>
      </c>
      <c r="BJ81" t="s" s="0">
        <v>2121</v>
      </c>
      <c r="BK81" t="s" s="159">
        <f>HYPERLINK("http://dx.doi.org/10.1016/j.knosys.2026.116601","http://dx.doi.org/10.1016/j.knosys.2026.116601")</f>
        <v>2122</v>
      </c>
      <c r="BL81" t="s" s="0">
        <v>81</v>
      </c>
      <c r="BM81" t="s" s="0">
        <v>81</v>
      </c>
      <c r="BN81" t="s" s="0">
        <v>239</v>
      </c>
      <c r="BO81" t="s" s="0">
        <v>978</v>
      </c>
      <c r="BP81" t="s" s="0">
        <v>303</v>
      </c>
      <c r="BQ81" t="s" s="0">
        <v>2123</v>
      </c>
      <c r="BR81" t="s" s="0">
        <v>81</v>
      </c>
      <c r="BS81" t="s" s="0">
        <v>2124</v>
      </c>
      <c r="BT81" t="s" s="160">
        <f>HYPERLINK("https://www.webofscience.com/wos/woscc/full-record/WOS:001825310800001","View Record in Web of Science")</f>
        <v>120</v>
      </c>
      <c r="BU81" t="s" s="0">
        <v>81</v>
      </c>
      <c r="BV81" t="s" s="0">
        <v>81</v>
      </c>
      <c r="BW81" t="s" s="0">
        <v>81</v>
      </c>
      <c r="BX81" t="s" s="0">
        <v>122</v>
      </c>
    </row>
    <row r="82">
      <c r="A82" t="s" s="0">
        <v>77</v>
      </c>
      <c r="B82" t="s" s="0">
        <v>77</v>
      </c>
      <c r="C82" t="s" s="0">
        <v>77</v>
      </c>
      <c r="D82" t="s" s="0">
        <v>77</v>
      </c>
      <c r="E82" t="s" s="0">
        <v>2125</v>
      </c>
      <c r="F82" t="s" s="0">
        <v>2126</v>
      </c>
      <c r="G82" t="s" s="0">
        <v>2127</v>
      </c>
      <c r="H82" t="s" s="0">
        <v>81</v>
      </c>
      <c r="I82" t="s" s="0">
        <v>82</v>
      </c>
      <c r="J82" t="s" s="0">
        <v>2128</v>
      </c>
      <c r="K82" t="s" s="0">
        <v>2129</v>
      </c>
      <c r="L82" t="s" s="0">
        <v>2130</v>
      </c>
      <c r="M82" t="s" s="0">
        <v>2130</v>
      </c>
      <c r="N82" t="s" s="0">
        <v>2131</v>
      </c>
      <c r="O82" t="s" s="0">
        <v>2132</v>
      </c>
      <c r="P82" t="s" s="0">
        <v>2133</v>
      </c>
      <c r="Q82" t="s" s="0">
        <v>90</v>
      </c>
      <c r="R82" t="s" s="0">
        <v>81</v>
      </c>
      <c r="S82" t="s" s="0">
        <v>81</v>
      </c>
      <c r="T82" t="s" s="0">
        <v>81</v>
      </c>
      <c r="U82" t="s" s="0">
        <v>81</v>
      </c>
      <c r="V82" t="s" s="0">
        <v>2134</v>
      </c>
      <c r="W82" t="s" s="0">
        <v>2135</v>
      </c>
      <c r="X82" t="s" s="0">
        <v>81</v>
      </c>
      <c r="Y82" t="s" s="0">
        <v>81</v>
      </c>
      <c r="Z82" t="s" s="0">
        <v>93</v>
      </c>
      <c r="AA82" t="s" s="0">
        <v>94</v>
      </c>
      <c r="AB82" t="s" s="0">
        <v>81</v>
      </c>
      <c r="AC82" t="s" s="0">
        <v>81</v>
      </c>
      <c r="AD82" t="s" s="0">
        <v>81</v>
      </c>
      <c r="AE82" t="s" s="0">
        <v>81</v>
      </c>
      <c r="AF82" t="s" s="0">
        <v>81</v>
      </c>
      <c r="AG82" t="s" s="0">
        <v>2136</v>
      </c>
      <c r="AH82" t="s" s="0">
        <v>2137</v>
      </c>
      <c r="AI82" t="s" s="0">
        <v>2138</v>
      </c>
      <c r="AJ82" t="s" s="0">
        <v>81</v>
      </c>
      <c r="AK82" t="s" s="0">
        <v>81</v>
      </c>
      <c r="AL82" t="s" s="0">
        <v>1451</v>
      </c>
      <c r="AM82" t="s" s="0">
        <v>386</v>
      </c>
      <c r="AN82" t="s" s="0">
        <v>386</v>
      </c>
      <c r="AO82" t="s" s="0">
        <v>77</v>
      </c>
      <c r="AP82" t="s" s="0">
        <v>77</v>
      </c>
      <c r="AQ82" t="s" s="0">
        <v>103</v>
      </c>
      <c r="AR82" t="s" s="0">
        <v>104</v>
      </c>
      <c r="AS82" t="s" s="0">
        <v>105</v>
      </c>
      <c r="AT82" t="s" s="0">
        <v>2139</v>
      </c>
      <c r="AU82" t="s" s="0">
        <v>81</v>
      </c>
      <c r="AV82" t="s" s="0">
        <v>81</v>
      </c>
      <c r="AW82" t="s" s="0">
        <v>2140</v>
      </c>
      <c r="AX82" t="s" s="0">
        <v>2141</v>
      </c>
      <c r="AY82" t="s" s="0">
        <v>144</v>
      </c>
      <c r="AZ82" t="s" s="0">
        <v>144</v>
      </c>
      <c r="BA82" t="s" s="0">
        <v>360</v>
      </c>
      <c r="BB82" t="s" s="0">
        <v>81</v>
      </c>
      <c r="BC82" t="s" s="0">
        <v>81</v>
      </c>
      <c r="BD82" t="s" s="0">
        <v>81</v>
      </c>
      <c r="BE82" t="s" s="0">
        <v>81</v>
      </c>
      <c r="BF82" t="s" s="0">
        <v>81</v>
      </c>
      <c r="BG82" t="s" s="0">
        <v>81</v>
      </c>
      <c r="BH82" t="s" s="0">
        <v>81</v>
      </c>
      <c r="BI82" t="s" s="0">
        <v>2142</v>
      </c>
      <c r="BJ82" t="s" s="0">
        <v>2143</v>
      </c>
      <c r="BK82" t="s" s="161">
        <f>HYPERLINK("http://dx.doi.org/10.2196/81399","http://dx.doi.org/10.2196/81399")</f>
        <v>2144</v>
      </c>
      <c r="BL82" t="s" s="0">
        <v>81</v>
      </c>
      <c r="BM82" t="s" s="0">
        <v>81</v>
      </c>
      <c r="BN82" t="s" s="0">
        <v>265</v>
      </c>
      <c r="BO82" t="s" s="0">
        <v>2145</v>
      </c>
      <c r="BP82" t="s" s="0">
        <v>2146</v>
      </c>
      <c r="BQ82" t="s" s="0">
        <v>2147</v>
      </c>
      <c r="BR82" t="s" s="0">
        <v>2148</v>
      </c>
      <c r="BS82" t="s" s="0">
        <v>2149</v>
      </c>
      <c r="BT82" t="s" s="162">
        <f>HYPERLINK("https://www.webofscience.com/wos/woscc/full-record/WOS:001711795200001","View Record in Web of Science")</f>
        <v>120</v>
      </c>
      <c r="BU82" t="s" s="0">
        <v>121</v>
      </c>
      <c r="BV82" t="s" s="0">
        <v>81</v>
      </c>
      <c r="BW82" t="s" s="0">
        <v>81</v>
      </c>
      <c r="BX82" t="s" s="0">
        <v>122</v>
      </c>
    </row>
    <row r="83">
      <c r="A83" t="s" s="0">
        <v>77</v>
      </c>
      <c r="B83" t="s" s="0">
        <v>77</v>
      </c>
      <c r="C83" t="s" s="0">
        <v>77</v>
      </c>
      <c r="D83" t="s" s="0">
        <v>77</v>
      </c>
      <c r="E83" t="s" s="0">
        <v>2150</v>
      </c>
      <c r="F83" t="s" s="0">
        <v>2151</v>
      </c>
      <c r="G83" t="s" s="0">
        <v>2152</v>
      </c>
      <c r="H83" t="s" s="0">
        <v>81</v>
      </c>
      <c r="I83" t="s" s="0">
        <v>82</v>
      </c>
      <c r="J83" t="s" s="0">
        <v>2153</v>
      </c>
      <c r="K83" t="s" s="0">
        <v>2154</v>
      </c>
      <c r="L83" t="s" s="0">
        <v>2155</v>
      </c>
      <c r="M83" t="s" s="0">
        <v>2156</v>
      </c>
      <c r="N83" t="s" s="0">
        <v>2157</v>
      </c>
      <c r="O83" t="s" s="0">
        <v>2158</v>
      </c>
      <c r="P83" t="s" s="0">
        <v>2159</v>
      </c>
      <c r="Q83" t="s" s="0">
        <v>90</v>
      </c>
      <c r="R83" t="s" s="0">
        <v>81</v>
      </c>
      <c r="S83" t="s" s="0">
        <v>81</v>
      </c>
      <c r="T83" t="s" s="0">
        <v>81</v>
      </c>
      <c r="U83" t="s" s="0">
        <v>81</v>
      </c>
      <c r="V83" t="s" s="0">
        <v>2160</v>
      </c>
      <c r="W83" t="s" s="0">
        <v>654</v>
      </c>
      <c r="X83" t="s" s="0">
        <v>81</v>
      </c>
      <c r="Y83" t="s" s="0">
        <v>81</v>
      </c>
      <c r="Z83" t="s" s="0">
        <v>93</v>
      </c>
      <c r="AA83" t="s" s="0">
        <v>94</v>
      </c>
      <c r="AB83" t="s" s="0">
        <v>81</v>
      </c>
      <c r="AC83" t="s" s="0">
        <v>81</v>
      </c>
      <c r="AD83" t="s" s="0">
        <v>81</v>
      </c>
      <c r="AE83" t="s" s="0">
        <v>81</v>
      </c>
      <c r="AF83" t="s" s="0">
        <v>81</v>
      </c>
      <c r="AG83" t="s" s="0">
        <v>2161</v>
      </c>
      <c r="AH83" t="s" s="0">
        <v>81</v>
      </c>
      <c r="AI83" t="s" s="0">
        <v>81</v>
      </c>
      <c r="AJ83" t="s" s="0">
        <v>2162</v>
      </c>
      <c r="AK83" t="s" s="0">
        <v>81</v>
      </c>
      <c r="AL83" t="s" s="0">
        <v>2163</v>
      </c>
      <c r="AM83" t="s" s="0">
        <v>169</v>
      </c>
      <c r="AN83" t="s" s="0">
        <v>169</v>
      </c>
      <c r="AO83" t="s" s="0">
        <v>328</v>
      </c>
      <c r="AP83" t="s" s="0">
        <v>690</v>
      </c>
      <c r="AQ83" t="s" s="0">
        <v>659</v>
      </c>
      <c r="AR83" t="s" s="0">
        <v>660</v>
      </c>
      <c r="AS83" t="s" s="0">
        <v>661</v>
      </c>
      <c r="AT83" t="s" s="0">
        <v>662</v>
      </c>
      <c r="AU83" t="s" s="0">
        <v>663</v>
      </c>
      <c r="AV83" t="s" s="0">
        <v>81</v>
      </c>
      <c r="AW83" t="s" s="0">
        <v>664</v>
      </c>
      <c r="AX83" t="s" s="0">
        <v>665</v>
      </c>
      <c r="AY83" t="s" s="0">
        <v>1524</v>
      </c>
      <c r="AZ83" t="s" s="0">
        <v>110</v>
      </c>
      <c r="BA83" t="s" s="0">
        <v>2164</v>
      </c>
      <c r="BB83" t="s" s="0">
        <v>81</v>
      </c>
      <c r="BC83" t="s" s="0">
        <v>81</v>
      </c>
      <c r="BD83" t="s" s="0">
        <v>81</v>
      </c>
      <c r="BE83" t="s" s="0">
        <v>81</v>
      </c>
      <c r="BF83" t="s" s="0">
        <v>81</v>
      </c>
      <c r="BG83" t="s" s="0">
        <v>81</v>
      </c>
      <c r="BH83" t="s" s="0">
        <v>81</v>
      </c>
      <c r="BI83" t="s" s="0">
        <v>2165</v>
      </c>
      <c r="BJ83" t="s" s="0">
        <v>2166</v>
      </c>
      <c r="BK83" t="s" s="163">
        <f>HYPERLINK("http://dx.doi.org/10.1016/j.jbi.2025.104871","http://dx.doi.org/10.1016/j.jbi.2025.104871")</f>
        <v>2167</v>
      </c>
      <c r="BL83" t="s" s="0">
        <v>81</v>
      </c>
      <c r="BM83" t="s" s="0">
        <v>1056</v>
      </c>
      <c r="BN83" t="s" s="0">
        <v>115</v>
      </c>
      <c r="BO83" t="s" s="0">
        <v>672</v>
      </c>
      <c r="BP83" t="s" s="0">
        <v>673</v>
      </c>
      <c r="BQ83" t="s" s="0">
        <v>2168</v>
      </c>
      <c r="BR83" t="s" s="0">
        <v>2169</v>
      </c>
      <c r="BS83" t="s" s="0">
        <v>2170</v>
      </c>
      <c r="BT83" t="s" s="164">
        <f>HYPERLINK("https://www.webofscience.com/wos/woscc/full-record/WOS:001530727500001","View Record in Web of Science")</f>
        <v>120</v>
      </c>
      <c r="BU83" t="s" s="0">
        <v>81</v>
      </c>
      <c r="BV83" t="s" s="0">
        <v>81</v>
      </c>
      <c r="BW83" t="s" s="0">
        <v>81</v>
      </c>
      <c r="BX83" t="s" s="0">
        <v>122</v>
      </c>
    </row>
    <row r="84">
      <c r="A84" t="s" s="0">
        <v>77</v>
      </c>
      <c r="B84" t="s" s="0">
        <v>77</v>
      </c>
      <c r="C84" t="s" s="0">
        <v>99</v>
      </c>
      <c r="D84" t="s" s="0">
        <v>77</v>
      </c>
      <c r="E84" t="s" s="0">
        <v>2171</v>
      </c>
      <c r="F84" t="s" s="0">
        <v>2172</v>
      </c>
      <c r="G84" t="s" s="0">
        <v>2173</v>
      </c>
      <c r="H84" t="s" s="0">
        <v>81</v>
      </c>
      <c r="I84" t="s" s="0">
        <v>82</v>
      </c>
      <c r="J84" t="s" s="0">
        <v>2174</v>
      </c>
      <c r="K84" t="s" s="0">
        <v>2175</v>
      </c>
      <c r="L84" t="s" s="0">
        <v>81</v>
      </c>
      <c r="M84" t="s" s="0">
        <v>81</v>
      </c>
      <c r="N84" t="s" s="0">
        <v>81</v>
      </c>
      <c r="O84" t="s" s="0">
        <v>2176</v>
      </c>
      <c r="P84" t="s" s="0">
        <v>2177</v>
      </c>
      <c r="Q84" t="s" s="0">
        <v>90</v>
      </c>
      <c r="R84" t="s" s="0">
        <v>81</v>
      </c>
      <c r="S84" t="s" s="0">
        <v>81</v>
      </c>
      <c r="T84" t="s" s="0">
        <v>81</v>
      </c>
      <c r="U84" t="s" s="0">
        <v>81</v>
      </c>
      <c r="V84" t="s" s="0">
        <v>2178</v>
      </c>
      <c r="W84" t="s" s="0">
        <v>2179</v>
      </c>
      <c r="X84" t="s" s="0">
        <v>81</v>
      </c>
      <c r="Y84" t="s" s="0">
        <v>81</v>
      </c>
      <c r="Z84" t="s" s="0">
        <v>93</v>
      </c>
      <c r="AA84" t="s" s="0">
        <v>94</v>
      </c>
      <c r="AB84" t="s" s="0">
        <v>81</v>
      </c>
      <c r="AC84" t="s" s="0">
        <v>81</v>
      </c>
      <c r="AD84" t="s" s="0">
        <v>81</v>
      </c>
      <c r="AE84" t="s" s="0">
        <v>81</v>
      </c>
      <c r="AF84" t="s" s="0">
        <v>81</v>
      </c>
      <c r="AG84" t="s" s="0">
        <v>81</v>
      </c>
      <c r="AH84" t="s" s="0">
        <v>81</v>
      </c>
      <c r="AI84" t="s" s="0">
        <v>81</v>
      </c>
      <c r="AJ84" t="s" s="0">
        <v>2180</v>
      </c>
      <c r="AK84" t="s" s="0">
        <v>81</v>
      </c>
      <c r="AL84" t="s" s="0">
        <v>845</v>
      </c>
      <c r="AM84" t="s" s="0">
        <v>445</v>
      </c>
      <c r="AN84" t="s" s="0">
        <v>438</v>
      </c>
      <c r="AO84" t="s" s="0">
        <v>554</v>
      </c>
      <c r="AP84" t="s" s="0">
        <v>115</v>
      </c>
      <c r="AQ84" t="s" s="0">
        <v>2181</v>
      </c>
      <c r="AR84" t="s" s="0">
        <v>2182</v>
      </c>
      <c r="AS84" t="s" s="0">
        <v>2183</v>
      </c>
      <c r="AT84" t="s" s="0">
        <v>2184</v>
      </c>
      <c r="AU84" t="s" s="0">
        <v>2185</v>
      </c>
      <c r="AV84" t="s" s="0">
        <v>81</v>
      </c>
      <c r="AW84" t="s" s="0">
        <v>2179</v>
      </c>
      <c r="AX84" t="s" s="0">
        <v>2186</v>
      </c>
      <c r="AY84" t="s" s="0">
        <v>591</v>
      </c>
      <c r="AZ84" t="s" s="0">
        <v>592</v>
      </c>
      <c r="BA84" t="s" s="0">
        <v>2187</v>
      </c>
      <c r="BB84" t="s" s="0">
        <v>101</v>
      </c>
      <c r="BC84" t="s" s="0">
        <v>81</v>
      </c>
      <c r="BD84" t="s" s="0">
        <v>81</v>
      </c>
      <c r="BE84" t="s" s="0">
        <v>81</v>
      </c>
      <c r="BF84" t="s" s="0">
        <v>81</v>
      </c>
      <c r="BG84" t="s" s="0">
        <v>81</v>
      </c>
      <c r="BH84" t="s" s="0">
        <v>81</v>
      </c>
      <c r="BI84" t="s" s="0">
        <v>2188</v>
      </c>
      <c r="BJ84" t="s" s="0">
        <v>2189</v>
      </c>
      <c r="BK84" t="s" s="165">
        <f>HYPERLINK("http://dx.doi.org/10.1542/peds.2023-064683","http://dx.doi.org/10.1542/peds.2023-064683")</f>
        <v>2190</v>
      </c>
      <c r="BL84" t="s" s="0">
        <v>81</v>
      </c>
      <c r="BM84" t="s" s="0">
        <v>81</v>
      </c>
      <c r="BN84" t="s" s="0">
        <v>509</v>
      </c>
      <c r="BO84" t="s" s="0">
        <v>2186</v>
      </c>
      <c r="BP84" t="s" s="0">
        <v>2186</v>
      </c>
      <c r="BQ84" t="s" s="0">
        <v>2191</v>
      </c>
      <c r="BR84" t="s" s="0">
        <v>2192</v>
      </c>
      <c r="BS84" t="s" s="0">
        <v>2193</v>
      </c>
      <c r="BT84" t="s" s="166">
        <f>HYPERLINK("https://www.webofscience.com/wos/woscc/full-record/WOS:001519905600009","View Record in Web of Science")</f>
        <v>120</v>
      </c>
      <c r="BU84" t="s" s="0">
        <v>2194</v>
      </c>
      <c r="BV84" t="s" s="0">
        <v>81</v>
      </c>
      <c r="BW84" t="s" s="0">
        <v>81</v>
      </c>
      <c r="BX84" t="s" s="0">
        <v>122</v>
      </c>
    </row>
    <row r="85">
      <c r="A85" t="s" s="0">
        <v>77</v>
      </c>
      <c r="B85" t="s" s="0">
        <v>77</v>
      </c>
      <c r="C85" t="s" s="0">
        <v>77</v>
      </c>
      <c r="D85" t="s" s="0">
        <v>77</v>
      </c>
      <c r="E85" t="s" s="0">
        <v>2195</v>
      </c>
      <c r="F85" t="s" s="0">
        <v>2196</v>
      </c>
      <c r="G85" t="s" s="0">
        <v>2197</v>
      </c>
      <c r="H85" t="s" s="0">
        <v>81</v>
      </c>
      <c r="I85" t="s" s="0">
        <v>82</v>
      </c>
      <c r="J85" t="s" s="0">
        <v>2198</v>
      </c>
      <c r="K85" t="s" s="0">
        <v>2199</v>
      </c>
      <c r="L85" t="s" s="0">
        <v>81</v>
      </c>
      <c r="M85" t="s" s="0">
        <v>81</v>
      </c>
      <c r="N85" t="s" s="0">
        <v>81</v>
      </c>
      <c r="O85" t="s" s="0">
        <v>2200</v>
      </c>
      <c r="P85" t="s" s="0">
        <v>2201</v>
      </c>
      <c r="Q85" t="s" s="0">
        <v>90</v>
      </c>
      <c r="R85" t="s" s="0">
        <v>81</v>
      </c>
      <c r="S85" t="s" s="0">
        <v>81</v>
      </c>
      <c r="T85" t="s" s="0">
        <v>81</v>
      </c>
      <c r="U85" t="s" s="0">
        <v>81</v>
      </c>
      <c r="V85" t="s" s="0">
        <v>2202</v>
      </c>
      <c r="W85" t="s" s="0">
        <v>2203</v>
      </c>
      <c r="X85" t="s" s="0">
        <v>81</v>
      </c>
      <c r="Y85" t="s" s="0">
        <v>81</v>
      </c>
      <c r="Z85" t="s" s="0">
        <v>93</v>
      </c>
      <c r="AA85" t="s" s="0">
        <v>94</v>
      </c>
      <c r="AB85" t="s" s="0">
        <v>81</v>
      </c>
      <c r="AC85" t="s" s="0">
        <v>81</v>
      </c>
      <c r="AD85" t="s" s="0">
        <v>81</v>
      </c>
      <c r="AE85" t="s" s="0">
        <v>81</v>
      </c>
      <c r="AF85" t="s" s="0">
        <v>81</v>
      </c>
      <c r="AG85" t="s" s="0">
        <v>2204</v>
      </c>
      <c r="AH85" t="s" s="0">
        <v>81</v>
      </c>
      <c r="AI85" t="s" s="0">
        <v>2205</v>
      </c>
      <c r="AJ85" t="s" s="0">
        <v>81</v>
      </c>
      <c r="AK85" t="s" s="0">
        <v>81</v>
      </c>
      <c r="AL85" t="s" s="0">
        <v>581</v>
      </c>
      <c r="AM85" t="s" s="0">
        <v>77</v>
      </c>
      <c r="AN85" t="s" s="0">
        <v>77</v>
      </c>
      <c r="AO85" t="s" s="0">
        <v>169</v>
      </c>
      <c r="AP85" t="s" s="0">
        <v>169</v>
      </c>
      <c r="AQ85" t="s" s="0">
        <v>499</v>
      </c>
      <c r="AR85" t="s" s="0">
        <v>969</v>
      </c>
      <c r="AS85" t="s" s="0">
        <v>970</v>
      </c>
      <c r="AT85" t="s" s="0">
        <v>2206</v>
      </c>
      <c r="AU85" t="s" s="0">
        <v>2207</v>
      </c>
      <c r="AV85" t="s" s="0">
        <v>81</v>
      </c>
      <c r="AW85" t="s" s="0">
        <v>2208</v>
      </c>
      <c r="AX85" t="s" s="0">
        <v>2209</v>
      </c>
      <c r="AY85" t="s" s="0">
        <v>1579</v>
      </c>
      <c r="AZ85" t="s" s="0">
        <v>144</v>
      </c>
      <c r="BA85" t="s" s="0">
        <v>553</v>
      </c>
      <c r="BB85" t="s" s="0">
        <v>99</v>
      </c>
      <c r="BC85" t="s" s="0">
        <v>81</v>
      </c>
      <c r="BD85" t="s" s="0">
        <v>81</v>
      </c>
      <c r="BE85" t="s" s="0">
        <v>81</v>
      </c>
      <c r="BF85" t="s" s="0">
        <v>81</v>
      </c>
      <c r="BG85" t="s" s="0">
        <v>81</v>
      </c>
      <c r="BH85" t="s" s="0">
        <v>81</v>
      </c>
      <c r="BI85" t="s" s="0">
        <v>975</v>
      </c>
      <c r="BJ85" t="s" s="0">
        <v>2210</v>
      </c>
      <c r="BK85" t="s" s="167">
        <f>HYPERLINK("http://dx.doi.org/10.1007/s10618-026-01220-z","http://dx.doi.org/10.1007/s10618-026-01220-z")</f>
        <v>2211</v>
      </c>
      <c r="BL85" t="s" s="0">
        <v>81</v>
      </c>
      <c r="BM85" t="s" s="0">
        <v>532</v>
      </c>
      <c r="BN85" t="s" s="0">
        <v>671</v>
      </c>
      <c r="BO85" t="s" s="0">
        <v>420</v>
      </c>
      <c r="BP85" t="s" s="0">
        <v>303</v>
      </c>
      <c r="BQ85" t="s" s="0">
        <v>2212</v>
      </c>
      <c r="BR85" t="s" s="0">
        <v>81</v>
      </c>
      <c r="BS85" t="s" s="0">
        <v>2213</v>
      </c>
      <c r="BT85" t="s" s="168">
        <f>HYPERLINK("https://www.webofscience.com/wos/woscc/full-record/WOS:001783242600001","View Record in Web of Science")</f>
        <v>120</v>
      </c>
      <c r="BU85" t="s" s="0">
        <v>306</v>
      </c>
      <c r="BV85" t="s" s="0">
        <v>81</v>
      </c>
      <c r="BW85" t="s" s="0">
        <v>81</v>
      </c>
      <c r="BX85" t="s" s="0">
        <v>122</v>
      </c>
    </row>
    <row r="86">
      <c r="A86" t="s" s="0">
        <v>77</v>
      </c>
      <c r="B86" t="s" s="0">
        <v>77</v>
      </c>
      <c r="C86" t="s" s="0">
        <v>101</v>
      </c>
      <c r="D86" t="s" s="0">
        <v>77</v>
      </c>
      <c r="E86" t="s" s="0">
        <v>2214</v>
      </c>
      <c r="F86" t="s" s="0">
        <v>2215</v>
      </c>
      <c r="G86" t="s" s="0">
        <v>2216</v>
      </c>
      <c r="H86" t="s" s="0">
        <v>81</v>
      </c>
      <c r="I86" t="s" s="0">
        <v>82</v>
      </c>
      <c r="J86" t="s" s="0">
        <v>2217</v>
      </c>
      <c r="K86" t="s" s="0">
        <v>2218</v>
      </c>
      <c r="L86" t="s" s="0">
        <v>2219</v>
      </c>
      <c r="M86" t="s" s="0">
        <v>2220</v>
      </c>
      <c r="N86" t="s" s="0">
        <v>2221</v>
      </c>
      <c r="O86" t="s" s="0">
        <v>2222</v>
      </c>
      <c r="P86" t="s" s="0">
        <v>2223</v>
      </c>
      <c r="Q86" t="s" s="0">
        <v>90</v>
      </c>
      <c r="R86" t="s" s="0">
        <v>81</v>
      </c>
      <c r="S86" t="s" s="0">
        <v>81</v>
      </c>
      <c r="T86" t="s" s="0">
        <v>81</v>
      </c>
      <c r="U86" t="s" s="0">
        <v>81</v>
      </c>
      <c r="V86" t="s" s="0">
        <v>2224</v>
      </c>
      <c r="W86" t="s" s="0">
        <v>2225</v>
      </c>
      <c r="X86" t="s" s="0">
        <v>81</v>
      </c>
      <c r="Y86" t="s" s="0">
        <v>81</v>
      </c>
      <c r="Z86" t="s" s="0">
        <v>93</v>
      </c>
      <c r="AA86" t="s" s="0">
        <v>94</v>
      </c>
      <c r="AB86" t="s" s="0">
        <v>81</v>
      </c>
      <c r="AC86" t="s" s="0">
        <v>81</v>
      </c>
      <c r="AD86" t="s" s="0">
        <v>81</v>
      </c>
      <c r="AE86" t="s" s="0">
        <v>81</v>
      </c>
      <c r="AF86" t="s" s="0">
        <v>81</v>
      </c>
      <c r="AG86" t="s" s="0">
        <v>81</v>
      </c>
      <c r="AH86" t="s" s="0">
        <v>81</v>
      </c>
      <c r="AI86" t="s" s="0">
        <v>2226</v>
      </c>
      <c r="AJ86" t="s" s="0">
        <v>2227</v>
      </c>
      <c r="AK86" t="s" s="0">
        <v>81</v>
      </c>
      <c r="AL86" t="s" s="0">
        <v>2228</v>
      </c>
      <c r="AM86" t="s" s="0">
        <v>210</v>
      </c>
      <c r="AN86" t="s" s="0">
        <v>320</v>
      </c>
      <c r="AO86" t="s" s="0">
        <v>320</v>
      </c>
      <c r="AP86" t="s" s="0">
        <v>2229</v>
      </c>
      <c r="AQ86" t="s" s="0">
        <v>321</v>
      </c>
      <c r="AR86" t="s" s="0">
        <v>322</v>
      </c>
      <c r="AS86" t="s" s="0">
        <v>323</v>
      </c>
      <c r="AT86" t="s" s="0">
        <v>81</v>
      </c>
      <c r="AU86" t="s" s="0">
        <v>2230</v>
      </c>
      <c r="AV86" t="s" s="0">
        <v>81</v>
      </c>
      <c r="AW86" t="s" s="0">
        <v>2231</v>
      </c>
      <c r="AX86" t="s" s="0">
        <v>2232</v>
      </c>
      <c r="AY86" t="s" s="0">
        <v>477</v>
      </c>
      <c r="AZ86" t="s" s="0">
        <v>110</v>
      </c>
      <c r="BA86" t="s" s="0">
        <v>265</v>
      </c>
      <c r="BB86" t="s" s="0">
        <v>169</v>
      </c>
      <c r="BC86" t="s" s="0">
        <v>81</v>
      </c>
      <c r="BD86" t="s" s="0">
        <v>81</v>
      </c>
      <c r="BE86" t="s" s="0">
        <v>81</v>
      </c>
      <c r="BF86" t="s" s="0">
        <v>81</v>
      </c>
      <c r="BG86" t="s" s="0">
        <v>81</v>
      </c>
      <c r="BH86" t="s" s="0">
        <v>81</v>
      </c>
      <c r="BI86" t="s" s="0">
        <v>2233</v>
      </c>
      <c r="BJ86" t="s" s="0">
        <v>2234</v>
      </c>
      <c r="BK86" t="s" s="169">
        <f>HYPERLINK("http://dx.doi.org/10.1038/s41467-025-56989-2","http://dx.doi.org/10.1038/s41467-025-56989-2")</f>
        <v>2235</v>
      </c>
      <c r="BL86" t="s" s="0">
        <v>81</v>
      </c>
      <c r="BM86" t="s" s="0">
        <v>81</v>
      </c>
      <c r="BN86" t="s" s="0">
        <v>265</v>
      </c>
      <c r="BO86" t="s" s="0">
        <v>638</v>
      </c>
      <c r="BP86" t="s" s="0">
        <v>639</v>
      </c>
      <c r="BQ86" t="s" s="0">
        <v>2236</v>
      </c>
      <c r="BR86" t="s" s="0">
        <v>81</v>
      </c>
      <c r="BS86" t="s" s="0">
        <v>2237</v>
      </c>
      <c r="BT86" t="s" s="170">
        <f>HYPERLINK("https://www.webofscience.com/wos/woscc/full-record/WOS:001459702500003","View Record in Web of Science")</f>
        <v>120</v>
      </c>
      <c r="BU86" t="s" s="0">
        <v>121</v>
      </c>
      <c r="BV86" t="s" s="0">
        <v>81</v>
      </c>
      <c r="BW86" t="s" s="0">
        <v>81</v>
      </c>
      <c r="BX86" t="s" s="0">
        <v>122</v>
      </c>
    </row>
    <row r="87">
      <c r="A87" t="s" s="0">
        <v>77</v>
      </c>
      <c r="B87" t="s" s="0">
        <v>77</v>
      </c>
      <c r="C87" t="s" s="0">
        <v>77</v>
      </c>
      <c r="D87" t="s" s="0">
        <v>77</v>
      </c>
      <c r="E87" t="s" s="0">
        <v>2238</v>
      </c>
      <c r="F87" t="s" s="0">
        <v>2239</v>
      </c>
      <c r="G87" t="s" s="0">
        <v>2240</v>
      </c>
      <c r="H87" t="s" s="0">
        <v>81</v>
      </c>
      <c r="I87" t="s" s="0">
        <v>568</v>
      </c>
      <c r="J87" t="s" s="0">
        <v>2241</v>
      </c>
      <c r="K87" t="s" s="0">
        <v>2242</v>
      </c>
      <c r="L87" t="s" s="0">
        <v>81</v>
      </c>
      <c r="M87" t="s" s="0">
        <v>81</v>
      </c>
      <c r="N87" t="s" s="0">
        <v>81</v>
      </c>
      <c r="O87" t="s" s="0">
        <v>2243</v>
      </c>
      <c r="P87" t="s" s="0">
        <v>2244</v>
      </c>
      <c r="Q87" t="s" s="0">
        <v>90</v>
      </c>
      <c r="R87" t="s" s="0">
        <v>81</v>
      </c>
      <c r="S87" t="s" s="0">
        <v>81</v>
      </c>
      <c r="T87" t="s" s="0">
        <v>81</v>
      </c>
      <c r="U87" t="s" s="0">
        <v>81</v>
      </c>
      <c r="V87" t="s" s="0">
        <v>2245</v>
      </c>
      <c r="W87" t="s" s="0">
        <v>2246</v>
      </c>
      <c r="X87" t="s" s="0">
        <v>81</v>
      </c>
      <c r="Y87" t="s" s="0">
        <v>81</v>
      </c>
      <c r="Z87" t="s" s="0">
        <v>93</v>
      </c>
      <c r="AA87" t="s" s="0">
        <v>94</v>
      </c>
      <c r="AB87" t="s" s="0">
        <v>81</v>
      </c>
      <c r="AC87" t="s" s="0">
        <v>81</v>
      </c>
      <c r="AD87" t="s" s="0">
        <v>81</v>
      </c>
      <c r="AE87" t="s" s="0">
        <v>81</v>
      </c>
      <c r="AF87" t="s" s="0">
        <v>81</v>
      </c>
      <c r="AG87" t="s" s="0">
        <v>2247</v>
      </c>
      <c r="AH87" t="s" s="0">
        <v>81</v>
      </c>
      <c r="AI87" t="s" s="0">
        <v>81</v>
      </c>
      <c r="AJ87" t="s" s="0">
        <v>81</v>
      </c>
      <c r="AK87" t="s" s="0">
        <v>81</v>
      </c>
      <c r="AL87" t="s" s="0">
        <v>1543</v>
      </c>
      <c r="AM87" t="s" s="0">
        <v>77</v>
      </c>
      <c r="AN87" t="s" s="0">
        <v>77</v>
      </c>
      <c r="AO87" t="s" s="0">
        <v>554</v>
      </c>
      <c r="AP87" t="s" s="0">
        <v>554</v>
      </c>
      <c r="AQ87" t="s" s="0">
        <v>353</v>
      </c>
      <c r="AR87" t="s" s="0">
        <v>354</v>
      </c>
      <c r="AS87" t="s" s="0">
        <v>355</v>
      </c>
      <c r="AT87" t="s" s="0">
        <v>81</v>
      </c>
      <c r="AU87" t="s" s="0">
        <v>2248</v>
      </c>
      <c r="AV87" t="s" s="0">
        <v>81</v>
      </c>
      <c r="AW87" t="s" s="0">
        <v>2249</v>
      </c>
      <c r="AX87" t="s" s="0">
        <v>2250</v>
      </c>
      <c r="AY87" t="s" s="0">
        <v>1908</v>
      </c>
      <c r="AZ87" t="s" s="0">
        <v>144</v>
      </c>
      <c r="BA87" t="s" s="0">
        <v>509</v>
      </c>
      <c r="BB87" t="s" s="0">
        <v>81</v>
      </c>
      <c r="BC87" t="s" s="0">
        <v>81</v>
      </c>
      <c r="BD87" t="s" s="0">
        <v>81</v>
      </c>
      <c r="BE87" t="s" s="0">
        <v>81</v>
      </c>
      <c r="BF87" t="s" s="0">
        <v>81</v>
      </c>
      <c r="BG87" t="s" s="0">
        <v>81</v>
      </c>
      <c r="BH87" t="s" s="0">
        <v>81</v>
      </c>
      <c r="BI87" t="s" s="0">
        <v>2251</v>
      </c>
      <c r="BJ87" t="s" s="0">
        <v>2252</v>
      </c>
      <c r="BK87" t="s" s="171">
        <f>HYPERLINK("http://dx.doi.org/10.3389/fpubh.2026.1799204","http://dx.doi.org/10.3389/fpubh.2026.1799204")</f>
        <v>2253</v>
      </c>
      <c r="BL87" t="s" s="0">
        <v>81</v>
      </c>
      <c r="BM87" t="s" s="0">
        <v>295</v>
      </c>
      <c r="BN87" t="s" s="0">
        <v>102</v>
      </c>
      <c r="BO87" t="s" s="0">
        <v>2254</v>
      </c>
      <c r="BP87" t="s" s="0">
        <v>2254</v>
      </c>
      <c r="BQ87" t="s" s="0">
        <v>2255</v>
      </c>
      <c r="BR87" t="s" s="0">
        <v>2256</v>
      </c>
      <c r="BS87" t="s" s="0">
        <v>2257</v>
      </c>
      <c r="BT87" t="s" s="172">
        <f>HYPERLINK("https://www.webofscience.com/wos/woscc/full-record/WOS:001775194800001","View Record in Web of Science")</f>
        <v>120</v>
      </c>
      <c r="BU87" t="s" s="0">
        <v>121</v>
      </c>
      <c r="BV87" t="s" s="0">
        <v>81</v>
      </c>
      <c r="BW87" t="s" s="0">
        <v>81</v>
      </c>
      <c r="BX87" t="s" s="0">
        <v>122</v>
      </c>
    </row>
    <row r="88">
      <c r="A88" t="s" s="0">
        <v>77</v>
      </c>
      <c r="B88" t="s" s="0">
        <v>77</v>
      </c>
      <c r="C88" t="s" s="0">
        <v>169</v>
      </c>
      <c r="D88" t="s" s="0">
        <v>77</v>
      </c>
      <c r="E88" t="s" s="0">
        <v>2258</v>
      </c>
      <c r="F88" t="s" s="0">
        <v>2259</v>
      </c>
      <c r="G88" t="s" s="0">
        <v>2260</v>
      </c>
      <c r="H88" t="s" s="0">
        <v>81</v>
      </c>
      <c r="I88" t="s" s="0">
        <v>82</v>
      </c>
      <c r="J88" t="s" s="0">
        <v>2261</v>
      </c>
      <c r="K88" t="s" s="0">
        <v>2262</v>
      </c>
      <c r="L88" t="s" s="0">
        <v>81</v>
      </c>
      <c r="M88" t="s" s="0">
        <v>81</v>
      </c>
      <c r="N88" t="s" s="0">
        <v>81</v>
      </c>
      <c r="O88" t="s" s="0">
        <v>2263</v>
      </c>
      <c r="P88" t="s" s="0">
        <v>2264</v>
      </c>
      <c r="Q88" t="s" s="0">
        <v>90</v>
      </c>
      <c r="R88" t="s" s="0">
        <v>81</v>
      </c>
      <c r="S88" t="s" s="0">
        <v>81</v>
      </c>
      <c r="T88" t="s" s="0">
        <v>81</v>
      </c>
      <c r="U88" t="s" s="0">
        <v>81</v>
      </c>
      <c r="V88" t="s" s="0">
        <v>2265</v>
      </c>
      <c r="W88" t="s" s="0">
        <v>654</v>
      </c>
      <c r="X88" t="s" s="0">
        <v>81</v>
      </c>
      <c r="Y88" t="s" s="0">
        <v>81</v>
      </c>
      <c r="Z88" t="s" s="0">
        <v>93</v>
      </c>
      <c r="AA88" t="s" s="0">
        <v>94</v>
      </c>
      <c r="AB88" t="s" s="0">
        <v>81</v>
      </c>
      <c r="AC88" t="s" s="0">
        <v>81</v>
      </c>
      <c r="AD88" t="s" s="0">
        <v>81</v>
      </c>
      <c r="AE88" t="s" s="0">
        <v>81</v>
      </c>
      <c r="AF88" t="s" s="0">
        <v>81</v>
      </c>
      <c r="AG88" t="s" s="0">
        <v>2266</v>
      </c>
      <c r="AH88" t="s" s="0">
        <v>2267</v>
      </c>
      <c r="AI88" t="s" s="0">
        <v>2268</v>
      </c>
      <c r="AJ88" t="s" s="0">
        <v>2269</v>
      </c>
      <c r="AK88" t="s" s="0">
        <v>81</v>
      </c>
      <c r="AL88" t="s" s="0">
        <v>2270</v>
      </c>
      <c r="AM88" t="s" s="0">
        <v>101</v>
      </c>
      <c r="AN88" t="s" s="0">
        <v>101</v>
      </c>
      <c r="AO88" t="s" s="0">
        <v>320</v>
      </c>
      <c r="AP88" t="s" s="0">
        <v>352</v>
      </c>
      <c r="AQ88" t="s" s="0">
        <v>659</v>
      </c>
      <c r="AR88" t="s" s="0">
        <v>660</v>
      </c>
      <c r="AS88" t="s" s="0">
        <v>661</v>
      </c>
      <c r="AT88" t="s" s="0">
        <v>662</v>
      </c>
      <c r="AU88" t="s" s="0">
        <v>663</v>
      </c>
      <c r="AV88" t="s" s="0">
        <v>81</v>
      </c>
      <c r="AW88" t="s" s="0">
        <v>664</v>
      </c>
      <c r="AX88" t="s" s="0">
        <v>665</v>
      </c>
      <c r="AY88" t="s" s="0">
        <v>300</v>
      </c>
      <c r="AZ88" t="s" s="0">
        <v>110</v>
      </c>
      <c r="BA88" t="s" s="0">
        <v>632</v>
      </c>
      <c r="BB88" t="s" s="0">
        <v>81</v>
      </c>
      <c r="BC88" t="s" s="0">
        <v>81</v>
      </c>
      <c r="BD88" t="s" s="0">
        <v>81</v>
      </c>
      <c r="BE88" t="s" s="0">
        <v>81</v>
      </c>
      <c r="BF88" t="s" s="0">
        <v>81</v>
      </c>
      <c r="BG88" t="s" s="0">
        <v>81</v>
      </c>
      <c r="BH88" t="s" s="0">
        <v>81</v>
      </c>
      <c r="BI88" t="s" s="0">
        <v>2271</v>
      </c>
      <c r="BJ88" t="s" s="0">
        <v>2272</v>
      </c>
      <c r="BK88" t="s" s="173">
        <f>HYPERLINK("http://dx.doi.org/10.1016/j.jbi.2025.104942","http://dx.doi.org/10.1016/j.jbi.2025.104942")</f>
        <v>2273</v>
      </c>
      <c r="BL88" t="s" s="0">
        <v>81</v>
      </c>
      <c r="BM88" t="s" s="0">
        <v>801</v>
      </c>
      <c r="BN88" t="s" s="0">
        <v>360</v>
      </c>
      <c r="BO88" t="s" s="0">
        <v>672</v>
      </c>
      <c r="BP88" t="s" s="0">
        <v>673</v>
      </c>
      <c r="BQ88" t="s" s="0">
        <v>2274</v>
      </c>
      <c r="BR88" t="s" s="0">
        <v>2275</v>
      </c>
      <c r="BS88" t="s" s="0">
        <v>2276</v>
      </c>
      <c r="BT88" t="s" s="174">
        <f>HYPERLINK("https://www.webofscience.com/wos/woscc/full-record/WOS:001618568200002","View Record in Web of Science")</f>
        <v>120</v>
      </c>
      <c r="BU88" t="s" s="0">
        <v>81</v>
      </c>
      <c r="BV88" t="s" s="0">
        <v>81</v>
      </c>
      <c r="BW88" t="s" s="0">
        <v>81</v>
      </c>
      <c r="BX88" t="s" s="0">
        <v>122</v>
      </c>
    </row>
    <row r="89">
      <c r="A89" t="s" s="0">
        <v>77</v>
      </c>
      <c r="B89" t="s" s="0">
        <v>77</v>
      </c>
      <c r="C89" t="s" s="0">
        <v>77</v>
      </c>
      <c r="D89" t="s" s="0">
        <v>77</v>
      </c>
      <c r="E89" t="s" s="0">
        <v>2277</v>
      </c>
      <c r="F89" t="s" s="0">
        <v>2278</v>
      </c>
      <c r="G89" t="s" s="0">
        <v>2279</v>
      </c>
      <c r="H89" t="s" s="0">
        <v>81</v>
      </c>
      <c r="I89" t="s" s="0">
        <v>82</v>
      </c>
      <c r="J89" t="s" s="0">
        <v>2280</v>
      </c>
      <c r="K89" t="s" s="0">
        <v>2281</v>
      </c>
      <c r="L89" t="s" s="0">
        <v>2282</v>
      </c>
      <c r="M89" t="s" s="0">
        <v>2282</v>
      </c>
      <c r="N89" t="s" s="0">
        <v>2283</v>
      </c>
      <c r="O89" t="s" s="0">
        <v>2284</v>
      </c>
      <c r="P89" t="s" s="0">
        <v>2285</v>
      </c>
      <c r="Q89" t="s" s="0">
        <v>90</v>
      </c>
      <c r="R89" t="s" s="0">
        <v>81</v>
      </c>
      <c r="S89" t="s" s="0">
        <v>81</v>
      </c>
      <c r="T89" t="s" s="0">
        <v>81</v>
      </c>
      <c r="U89" t="s" s="0">
        <v>81</v>
      </c>
      <c r="V89" t="s" s="0">
        <v>2286</v>
      </c>
      <c r="W89" t="s" s="0">
        <v>92</v>
      </c>
      <c r="X89" t="s" s="0">
        <v>81</v>
      </c>
      <c r="Y89" t="s" s="0">
        <v>81</v>
      </c>
      <c r="Z89" t="s" s="0">
        <v>93</v>
      </c>
      <c r="AA89" t="s" s="0">
        <v>94</v>
      </c>
      <c r="AB89" t="s" s="0">
        <v>81</v>
      </c>
      <c r="AC89" t="s" s="0">
        <v>81</v>
      </c>
      <c r="AD89" t="s" s="0">
        <v>81</v>
      </c>
      <c r="AE89" t="s" s="0">
        <v>81</v>
      </c>
      <c r="AF89" t="s" s="0">
        <v>81</v>
      </c>
      <c r="AG89" t="s" s="0">
        <v>2287</v>
      </c>
      <c r="AH89" t="s" s="0">
        <v>2288</v>
      </c>
      <c r="AI89" t="s" s="0">
        <v>2289</v>
      </c>
      <c r="AJ89" t="s" s="0">
        <v>2290</v>
      </c>
      <c r="AK89" t="s" s="0">
        <v>81</v>
      </c>
      <c r="AL89" t="s" s="0">
        <v>1580</v>
      </c>
      <c r="AM89" t="s" s="0">
        <v>101</v>
      </c>
      <c r="AN89" t="s" s="0">
        <v>101</v>
      </c>
      <c r="AO89" t="s" s="0">
        <v>101</v>
      </c>
      <c r="AP89" t="s" s="0">
        <v>452</v>
      </c>
      <c r="AQ89" t="s" s="0">
        <v>103</v>
      </c>
      <c r="AR89" t="s" s="0">
        <v>104</v>
      </c>
      <c r="AS89" t="s" s="0">
        <v>105</v>
      </c>
      <c r="AT89" t="s" s="0">
        <v>1405</v>
      </c>
      <c r="AU89" t="s" s="0">
        <v>106</v>
      </c>
      <c r="AV89" t="s" s="0">
        <v>81</v>
      </c>
      <c r="AW89" t="s" s="0">
        <v>107</v>
      </c>
      <c r="AX89" t="s" s="0">
        <v>108</v>
      </c>
      <c r="AY89" t="s" s="0">
        <v>2291</v>
      </c>
      <c r="AZ89" t="s" s="0">
        <v>110</v>
      </c>
      <c r="BA89" t="s" s="0">
        <v>111</v>
      </c>
      <c r="BB89" t="s" s="0">
        <v>81</v>
      </c>
      <c r="BC89" t="s" s="0">
        <v>81</v>
      </c>
      <c r="BD89" t="s" s="0">
        <v>81</v>
      </c>
      <c r="BE89" t="s" s="0">
        <v>81</v>
      </c>
      <c r="BF89" t="s" s="0">
        <v>81</v>
      </c>
      <c r="BG89" t="s" s="0">
        <v>81</v>
      </c>
      <c r="BH89" t="s" s="0">
        <v>81</v>
      </c>
      <c r="BI89" t="s" s="0">
        <v>2292</v>
      </c>
      <c r="BJ89" t="s" s="0">
        <v>2293</v>
      </c>
      <c r="BK89" t="s" s="175">
        <f>HYPERLINK("http://dx.doi.org/10.2196/67469","http://dx.doi.org/10.2196/67469")</f>
        <v>2294</v>
      </c>
      <c r="BL89" t="s" s="0">
        <v>81</v>
      </c>
      <c r="BM89" t="s" s="0">
        <v>81</v>
      </c>
      <c r="BN89" t="s" s="0">
        <v>328</v>
      </c>
      <c r="BO89" t="s" s="0">
        <v>116</v>
      </c>
      <c r="BP89" t="s" s="0">
        <v>116</v>
      </c>
      <c r="BQ89" t="s" s="0">
        <v>2295</v>
      </c>
      <c r="BR89" t="s" s="0">
        <v>2296</v>
      </c>
      <c r="BS89" t="s" s="0">
        <v>2297</v>
      </c>
      <c r="BT89" t="s" s="176">
        <f>HYPERLINK("https://www.webofscience.com/wos/woscc/full-record/WOS:001590296900003","View Record in Web of Science")</f>
        <v>120</v>
      </c>
      <c r="BU89" t="s" s="0">
        <v>121</v>
      </c>
      <c r="BV89" t="s" s="0">
        <v>81</v>
      </c>
      <c r="BW89" t="s" s="0">
        <v>81</v>
      </c>
      <c r="BX89" t="s" s="0">
        <v>122</v>
      </c>
    </row>
    <row r="90">
      <c r="A90" t="s" s="0">
        <v>77</v>
      </c>
      <c r="B90" t="s" s="0">
        <v>77</v>
      </c>
      <c r="C90" t="s" s="0">
        <v>169</v>
      </c>
      <c r="D90" t="s" s="0">
        <v>77</v>
      </c>
      <c r="E90" t="s" s="0">
        <v>2298</v>
      </c>
      <c r="F90" t="s" s="0">
        <v>2299</v>
      </c>
      <c r="G90" t="s" s="0">
        <v>2300</v>
      </c>
      <c r="H90" t="s" s="0">
        <v>81</v>
      </c>
      <c r="I90" t="s" s="0">
        <v>82</v>
      </c>
      <c r="J90" t="s" s="0">
        <v>2301</v>
      </c>
      <c r="K90" t="s" s="0">
        <v>2302</v>
      </c>
      <c r="L90" t="s" s="0">
        <v>2303</v>
      </c>
      <c r="M90" t="s" s="0">
        <v>2156</v>
      </c>
      <c r="N90" t="s" s="0">
        <v>2304</v>
      </c>
      <c r="O90" t="s" s="0">
        <v>2305</v>
      </c>
      <c r="P90" t="s" s="0">
        <v>2306</v>
      </c>
      <c r="Q90" t="s" s="0">
        <v>90</v>
      </c>
      <c r="R90" t="s" s="0">
        <v>81</v>
      </c>
      <c r="S90" t="s" s="0">
        <v>81</v>
      </c>
      <c r="T90" t="s" s="0">
        <v>81</v>
      </c>
      <c r="U90" t="s" s="0">
        <v>81</v>
      </c>
      <c r="V90" t="s" s="0">
        <v>2307</v>
      </c>
      <c r="W90" t="s" s="0">
        <v>2308</v>
      </c>
      <c r="X90" t="s" s="0">
        <v>81</v>
      </c>
      <c r="Y90" t="s" s="0">
        <v>81</v>
      </c>
      <c r="Z90" t="s" s="0">
        <v>93</v>
      </c>
      <c r="AA90" t="s" s="0">
        <v>94</v>
      </c>
      <c r="AB90" t="s" s="0">
        <v>81</v>
      </c>
      <c r="AC90" t="s" s="0">
        <v>81</v>
      </c>
      <c r="AD90" t="s" s="0">
        <v>81</v>
      </c>
      <c r="AE90" t="s" s="0">
        <v>81</v>
      </c>
      <c r="AF90" t="s" s="0">
        <v>81</v>
      </c>
      <c r="AG90" t="s" s="0">
        <v>2309</v>
      </c>
      <c r="AH90" t="s" s="0">
        <v>81</v>
      </c>
      <c r="AI90" t="s" s="0">
        <v>2310</v>
      </c>
      <c r="AJ90" t="s" s="0">
        <v>2311</v>
      </c>
      <c r="AK90" t="s" s="0">
        <v>81</v>
      </c>
      <c r="AL90" t="s" s="0">
        <v>168</v>
      </c>
      <c r="AM90" t="s" s="0">
        <v>554</v>
      </c>
      <c r="AN90" t="s" s="0">
        <v>554</v>
      </c>
      <c r="AO90" t="s" s="0">
        <v>102</v>
      </c>
      <c r="AP90" t="s" s="0">
        <v>1232</v>
      </c>
      <c r="AQ90" t="s" s="0">
        <v>584</v>
      </c>
      <c r="AR90" t="s" s="0">
        <v>585</v>
      </c>
      <c r="AS90" t="s" s="0">
        <v>586</v>
      </c>
      <c r="AT90" t="s" s="0">
        <v>2312</v>
      </c>
      <c r="AU90" t="s" s="0">
        <v>2313</v>
      </c>
      <c r="AV90" t="s" s="0">
        <v>81</v>
      </c>
      <c r="AW90" t="s" s="0">
        <v>2314</v>
      </c>
      <c r="AX90" t="s" s="0">
        <v>2315</v>
      </c>
      <c r="AY90" t="s" s="0">
        <v>508</v>
      </c>
      <c r="AZ90" t="s" s="0">
        <v>144</v>
      </c>
      <c r="BA90" t="s" s="0">
        <v>2316</v>
      </c>
      <c r="BB90" t="s" s="0">
        <v>81</v>
      </c>
      <c r="BC90" t="s" s="0">
        <v>81</v>
      </c>
      <c r="BD90" t="s" s="0">
        <v>81</v>
      </c>
      <c r="BE90" t="s" s="0">
        <v>81</v>
      </c>
      <c r="BF90" t="s" s="0">
        <v>81</v>
      </c>
      <c r="BG90" t="s" s="0">
        <v>81</v>
      </c>
      <c r="BH90" t="s" s="0">
        <v>81</v>
      </c>
      <c r="BI90" t="s" s="0">
        <v>2317</v>
      </c>
      <c r="BJ90" t="s" s="0">
        <v>2318</v>
      </c>
      <c r="BK90" t="s" s="177">
        <f>HYPERLINK("http://dx.doi.org/10.1016/j.ijmedinf.2025.106136","http://dx.doi.org/10.1016/j.ijmedinf.2025.106136")</f>
        <v>2319</v>
      </c>
      <c r="BL90" t="s" s="0">
        <v>81</v>
      </c>
      <c r="BM90" t="s" s="0">
        <v>238</v>
      </c>
      <c r="BN90" t="s" s="0">
        <v>102</v>
      </c>
      <c r="BO90" t="s" s="0">
        <v>2320</v>
      </c>
      <c r="BP90" t="s" s="0">
        <v>2321</v>
      </c>
      <c r="BQ90" t="s" s="0">
        <v>2322</v>
      </c>
      <c r="BR90" t="s" s="0">
        <v>2323</v>
      </c>
      <c r="BS90" t="s" s="0">
        <v>2324</v>
      </c>
      <c r="BT90" t="s" s="178">
        <f>HYPERLINK("https://www.webofscience.com/wos/woscc/full-record/WOS:001601091300001","View Record in Web of Science")</f>
        <v>120</v>
      </c>
      <c r="BU90" t="s" s="0">
        <v>81</v>
      </c>
      <c r="BV90" t="s" s="0">
        <v>81</v>
      </c>
      <c r="BW90" t="s" s="0">
        <v>81</v>
      </c>
      <c r="BX90" t="s" s="0">
        <v>122</v>
      </c>
    </row>
    <row r="91">
      <c r="A91" t="s" s="0">
        <v>77</v>
      </c>
      <c r="B91" t="s" s="0">
        <v>77</v>
      </c>
      <c r="C91" t="s" s="0">
        <v>77</v>
      </c>
      <c r="D91" t="s" s="0">
        <v>77</v>
      </c>
      <c r="E91" t="s" s="0">
        <v>2325</v>
      </c>
      <c r="F91" t="s" s="0">
        <v>2326</v>
      </c>
      <c r="G91" t="s" s="0">
        <v>2327</v>
      </c>
      <c r="H91" t="s" s="0">
        <v>81</v>
      </c>
      <c r="I91" t="s" s="0">
        <v>82</v>
      </c>
      <c r="J91" t="s" s="0">
        <v>2328</v>
      </c>
      <c r="K91" t="s" s="0">
        <v>2329</v>
      </c>
      <c r="L91" t="s" s="0">
        <v>2330</v>
      </c>
      <c r="M91" t="s" s="0">
        <v>2331</v>
      </c>
      <c r="N91" t="s" s="0">
        <v>2332</v>
      </c>
      <c r="O91" t="s" s="0">
        <v>2333</v>
      </c>
      <c r="P91" t="s" s="0">
        <v>2334</v>
      </c>
      <c r="Q91" t="s" s="0">
        <v>90</v>
      </c>
      <c r="R91" t="s" s="0">
        <v>81</v>
      </c>
      <c r="S91" t="s" s="0">
        <v>81</v>
      </c>
      <c r="T91" t="s" s="0">
        <v>81</v>
      </c>
      <c r="U91" t="s" s="0">
        <v>81</v>
      </c>
      <c r="V91" t="s" s="0">
        <v>2335</v>
      </c>
      <c r="W91" t="s" s="0">
        <v>2336</v>
      </c>
      <c r="X91" t="s" s="0">
        <v>81</v>
      </c>
      <c r="Y91" t="s" s="0">
        <v>81</v>
      </c>
      <c r="Z91" t="s" s="0">
        <v>93</v>
      </c>
      <c r="AA91" t="s" s="0">
        <v>94</v>
      </c>
      <c r="AB91" t="s" s="0">
        <v>81</v>
      </c>
      <c r="AC91" t="s" s="0">
        <v>81</v>
      </c>
      <c r="AD91" t="s" s="0">
        <v>81</v>
      </c>
      <c r="AE91" t="s" s="0">
        <v>81</v>
      </c>
      <c r="AF91" t="s" s="0">
        <v>81</v>
      </c>
      <c r="AG91" t="s" s="0">
        <v>2337</v>
      </c>
      <c r="AH91" t="s" s="0">
        <v>81</v>
      </c>
      <c r="AI91" t="s" s="0">
        <v>81</v>
      </c>
      <c r="AJ91" t="s" s="0">
        <v>81</v>
      </c>
      <c r="AK91" t="s" s="0">
        <v>81</v>
      </c>
      <c r="AL91" t="s" s="0">
        <v>261</v>
      </c>
      <c r="AM91" t="s" s="0">
        <v>77</v>
      </c>
      <c r="AN91" t="s" s="0">
        <v>77</v>
      </c>
      <c r="AO91" t="s" s="0">
        <v>77</v>
      </c>
      <c r="AP91" t="s" s="0">
        <v>77</v>
      </c>
      <c r="AQ91" t="s" s="0">
        <v>2338</v>
      </c>
      <c r="AR91" t="s" s="0">
        <v>2339</v>
      </c>
      <c r="AS91" t="s" s="0">
        <v>2340</v>
      </c>
      <c r="AT91" t="s" s="0">
        <v>2341</v>
      </c>
      <c r="AU91" t="s" s="0">
        <v>81</v>
      </c>
      <c r="AV91" t="s" s="0">
        <v>81</v>
      </c>
      <c r="AW91" t="s" s="0">
        <v>2342</v>
      </c>
      <c r="AX91" t="s" s="0">
        <v>2343</v>
      </c>
      <c r="AY91" t="s" s="0">
        <v>144</v>
      </c>
      <c r="AZ91" t="s" s="0">
        <v>144</v>
      </c>
      <c r="BA91" t="s" s="0">
        <v>526</v>
      </c>
      <c r="BB91" t="s" s="0">
        <v>81</v>
      </c>
      <c r="BC91" t="s" s="0">
        <v>81</v>
      </c>
      <c r="BD91" t="s" s="0">
        <v>81</v>
      </c>
      <c r="BE91" t="s" s="0">
        <v>81</v>
      </c>
      <c r="BF91" t="s" s="0">
        <v>81</v>
      </c>
      <c r="BG91" t="s" s="0">
        <v>81</v>
      </c>
      <c r="BH91" t="s" s="0">
        <v>81</v>
      </c>
      <c r="BI91" t="s" s="0">
        <v>2344</v>
      </c>
      <c r="BJ91" t="s" s="0">
        <v>2345</v>
      </c>
      <c r="BK91" t="s" s="179">
        <f>HYPERLINK("http://dx.doi.org/10.2147/IDR.S593763","http://dx.doi.org/10.2147/IDR.S593763")</f>
        <v>2346</v>
      </c>
      <c r="BL91" t="s" s="0">
        <v>81</v>
      </c>
      <c r="BM91" t="s" s="0">
        <v>81</v>
      </c>
      <c r="BN91" t="s" s="0">
        <v>360</v>
      </c>
      <c r="BO91" t="s" s="0">
        <v>2347</v>
      </c>
      <c r="BP91" t="s" s="0">
        <v>2347</v>
      </c>
      <c r="BQ91" t="s" s="0">
        <v>2348</v>
      </c>
      <c r="BR91" t="s" s="0">
        <v>2349</v>
      </c>
      <c r="BS91" t="s" s="0">
        <v>2350</v>
      </c>
      <c r="BT91" t="s" s="180">
        <f>HYPERLINK("https://www.webofscience.com/wos/woscc/full-record/WOS:001793831700001","View Record in Web of Science")</f>
        <v>120</v>
      </c>
      <c r="BU91" t="s" s="0">
        <v>121</v>
      </c>
      <c r="BV91" t="s" s="0">
        <v>81</v>
      </c>
      <c r="BW91" t="s" s="0">
        <v>81</v>
      </c>
      <c r="BX91" t="s" s="0">
        <v>122</v>
      </c>
    </row>
    <row r="92">
      <c r="A92" t="s" s="0">
        <v>77</v>
      </c>
      <c r="B92" t="s" s="0">
        <v>77</v>
      </c>
      <c r="C92" t="s" s="0">
        <v>101</v>
      </c>
      <c r="D92" t="s" s="0">
        <v>77</v>
      </c>
      <c r="E92" t="s" s="0">
        <v>2351</v>
      </c>
      <c r="F92" t="s" s="0">
        <v>2352</v>
      </c>
      <c r="G92" t="s" s="0">
        <v>2353</v>
      </c>
      <c r="H92" t="s" s="0">
        <v>81</v>
      </c>
      <c r="I92" t="s" s="0">
        <v>82</v>
      </c>
      <c r="J92" t="s" s="0">
        <v>2354</v>
      </c>
      <c r="K92" t="s" s="0">
        <v>2355</v>
      </c>
      <c r="L92" t="s" s="0">
        <v>2356</v>
      </c>
      <c r="M92" t="s" s="0">
        <v>2357</v>
      </c>
      <c r="N92" t="s" s="0">
        <v>2358</v>
      </c>
      <c r="O92" t="s" s="0">
        <v>2359</v>
      </c>
      <c r="P92" t="s" s="0">
        <v>2360</v>
      </c>
      <c r="Q92" t="s" s="0">
        <v>90</v>
      </c>
      <c r="R92" t="s" s="0">
        <v>81</v>
      </c>
      <c r="S92" t="s" s="0">
        <v>81</v>
      </c>
      <c r="T92" t="s" s="0">
        <v>81</v>
      </c>
      <c r="U92" t="s" s="0">
        <v>81</v>
      </c>
      <c r="V92" t="s" s="0">
        <v>2361</v>
      </c>
      <c r="W92" t="s" s="0">
        <v>2362</v>
      </c>
      <c r="X92" t="s" s="0">
        <v>81</v>
      </c>
      <c r="Y92" t="s" s="0">
        <v>81</v>
      </c>
      <c r="Z92" t="s" s="0">
        <v>93</v>
      </c>
      <c r="AA92" t="s" s="0">
        <v>94</v>
      </c>
      <c r="AB92" t="s" s="0">
        <v>81</v>
      </c>
      <c r="AC92" t="s" s="0">
        <v>81</v>
      </c>
      <c r="AD92" t="s" s="0">
        <v>81</v>
      </c>
      <c r="AE92" t="s" s="0">
        <v>81</v>
      </c>
      <c r="AF92" t="s" s="0">
        <v>81</v>
      </c>
      <c r="AG92" t="s" s="0">
        <v>2363</v>
      </c>
      <c r="AH92" t="s" s="0">
        <v>81</v>
      </c>
      <c r="AI92" t="s" s="0">
        <v>2364</v>
      </c>
      <c r="AJ92" t="s" s="0">
        <v>2365</v>
      </c>
      <c r="AK92" t="s" s="0">
        <v>81</v>
      </c>
      <c r="AL92" t="s" s="0">
        <v>1602</v>
      </c>
      <c r="AM92" t="s" s="0">
        <v>360</v>
      </c>
      <c r="AN92" t="s" s="0">
        <v>265</v>
      </c>
      <c r="AO92" t="s" s="0">
        <v>452</v>
      </c>
      <c r="AP92" t="s" s="0">
        <v>671</v>
      </c>
      <c r="AQ92" t="s" s="0">
        <v>2366</v>
      </c>
      <c r="AR92" t="s" s="0">
        <v>2367</v>
      </c>
      <c r="AS92" t="s" s="0">
        <v>2368</v>
      </c>
      <c r="AT92" t="s" s="0">
        <v>2369</v>
      </c>
      <c r="AU92" t="s" s="0">
        <v>2370</v>
      </c>
      <c r="AV92" t="s" s="0">
        <v>81</v>
      </c>
      <c r="AW92" t="s" s="0">
        <v>2371</v>
      </c>
      <c r="AX92" t="s" s="0">
        <v>2372</v>
      </c>
      <c r="AY92" t="s" s="0">
        <v>1855</v>
      </c>
      <c r="AZ92" t="s" s="0">
        <v>110</v>
      </c>
      <c r="BA92" t="s" s="0">
        <v>199</v>
      </c>
      <c r="BB92" t="s" s="0">
        <v>452</v>
      </c>
      <c r="BC92" t="s" s="0">
        <v>81</v>
      </c>
      <c r="BD92" t="s" s="0">
        <v>81</v>
      </c>
      <c r="BE92" t="s" s="0">
        <v>81</v>
      </c>
      <c r="BF92" t="s" s="0">
        <v>81</v>
      </c>
      <c r="BG92" t="s" s="0">
        <v>2373</v>
      </c>
      <c r="BH92" t="s" s="0">
        <v>2374</v>
      </c>
      <c r="BI92" t="s" s="0">
        <v>81</v>
      </c>
      <c r="BJ92" t="s" s="0">
        <v>2375</v>
      </c>
      <c r="BK92" t="s" s="181">
        <f>HYPERLINK("http://dx.doi.org/10.1109/JBHI.2025.3528526","http://dx.doi.org/10.1109/JBHI.2025.3528526")</f>
        <v>2376</v>
      </c>
      <c r="BL92" t="s" s="0">
        <v>81</v>
      </c>
      <c r="BM92" t="s" s="0">
        <v>81</v>
      </c>
      <c r="BN92" t="s" s="0">
        <v>509</v>
      </c>
      <c r="BO92" t="s" s="0">
        <v>2377</v>
      </c>
      <c r="BP92" t="s" s="0">
        <v>2378</v>
      </c>
      <c r="BQ92" t="s" s="0">
        <v>2379</v>
      </c>
      <c r="BR92" t="s" s="0">
        <v>2380</v>
      </c>
      <c r="BS92" t="s" s="0">
        <v>2381</v>
      </c>
      <c r="BT92" t="s" s="182">
        <f>HYPERLINK("https://www.webofscience.com/wos/woscc/full-record/WOS:001504143000048","View Record in Web of Science")</f>
        <v>120</v>
      </c>
      <c r="BU92" t="s" s="0">
        <v>81</v>
      </c>
      <c r="BV92" t="s" s="0">
        <v>81</v>
      </c>
      <c r="BW92" t="s" s="0">
        <v>81</v>
      </c>
      <c r="BX92" t="s" s="0">
        <v>122</v>
      </c>
    </row>
    <row r="93">
      <c r="A93" t="s" s="0">
        <v>77</v>
      </c>
      <c r="B93" t="s" s="0">
        <v>77</v>
      </c>
      <c r="C93" t="s" s="0">
        <v>77</v>
      </c>
      <c r="D93" t="s" s="0">
        <v>77</v>
      </c>
      <c r="E93" t="s" s="0">
        <v>2382</v>
      </c>
      <c r="F93" t="s" s="0">
        <v>2383</v>
      </c>
      <c r="G93" t="s" s="0">
        <v>2384</v>
      </c>
      <c r="H93" t="s" s="0">
        <v>81</v>
      </c>
      <c r="I93" t="s" s="0">
        <v>218</v>
      </c>
      <c r="J93" t="s" s="0">
        <v>2385</v>
      </c>
      <c r="K93" t="s" s="0">
        <v>2386</v>
      </c>
      <c r="L93" t="s" s="0">
        <v>81</v>
      </c>
      <c r="M93" t="s" s="0">
        <v>81</v>
      </c>
      <c r="N93" t="s" s="0">
        <v>81</v>
      </c>
      <c r="O93" t="s" s="0">
        <v>2387</v>
      </c>
      <c r="P93" t="s" s="0">
        <v>2388</v>
      </c>
      <c r="Q93" t="s" s="0">
        <v>90</v>
      </c>
      <c r="R93" t="s" s="0">
        <v>81</v>
      </c>
      <c r="S93" t="s" s="0">
        <v>81</v>
      </c>
      <c r="T93" t="s" s="0">
        <v>81</v>
      </c>
      <c r="U93" t="s" s="0">
        <v>81</v>
      </c>
      <c r="V93" t="s" s="0">
        <v>2389</v>
      </c>
      <c r="W93" t="s" s="0">
        <v>1299</v>
      </c>
      <c r="X93" t="s" s="0">
        <v>81</v>
      </c>
      <c r="Y93" t="s" s="0">
        <v>81</v>
      </c>
      <c r="Z93" t="s" s="0">
        <v>93</v>
      </c>
      <c r="AA93" t="s" s="0">
        <v>94</v>
      </c>
      <c r="AB93" t="s" s="0">
        <v>81</v>
      </c>
      <c r="AC93" t="s" s="0">
        <v>81</v>
      </c>
      <c r="AD93" t="s" s="0">
        <v>81</v>
      </c>
      <c r="AE93" t="s" s="0">
        <v>81</v>
      </c>
      <c r="AF93" t="s" s="0">
        <v>81</v>
      </c>
      <c r="AG93" t="s" s="0">
        <v>2390</v>
      </c>
      <c r="AH93" t="s" s="0">
        <v>81</v>
      </c>
      <c r="AI93" t="s" s="0">
        <v>2391</v>
      </c>
      <c r="AJ93" t="s" s="0">
        <v>2392</v>
      </c>
      <c r="AK93" t="s" s="0">
        <v>81</v>
      </c>
      <c r="AL93" t="s" s="0">
        <v>2026</v>
      </c>
      <c r="AM93" t="s" s="0">
        <v>328</v>
      </c>
      <c r="AN93" t="s" s="0">
        <v>328</v>
      </c>
      <c r="AO93" t="s" s="0">
        <v>169</v>
      </c>
      <c r="AP93" t="s" s="0">
        <v>99</v>
      </c>
      <c r="AQ93" t="s" s="0">
        <v>103</v>
      </c>
      <c r="AR93" t="s" s="0">
        <v>104</v>
      </c>
      <c r="AS93" t="s" s="0">
        <v>105</v>
      </c>
      <c r="AT93" t="s" s="0">
        <v>81</v>
      </c>
      <c r="AU93" t="s" s="0">
        <v>1301</v>
      </c>
      <c r="AV93" t="s" s="0">
        <v>81</v>
      </c>
      <c r="AW93" t="s" s="0">
        <v>1299</v>
      </c>
      <c r="AX93" t="s" s="0">
        <v>1299</v>
      </c>
      <c r="AY93" t="s" s="0">
        <v>110</v>
      </c>
      <c r="AZ93" t="s" s="0">
        <v>110</v>
      </c>
      <c r="BA93" t="s" s="0">
        <v>99</v>
      </c>
      <c r="BB93" t="s" s="0">
        <v>81</v>
      </c>
      <c r="BC93" t="s" s="0">
        <v>81</v>
      </c>
      <c r="BD93" t="s" s="0">
        <v>81</v>
      </c>
      <c r="BE93" t="s" s="0">
        <v>81</v>
      </c>
      <c r="BF93" t="s" s="0">
        <v>81</v>
      </c>
      <c r="BG93" t="s" s="0">
        <v>81</v>
      </c>
      <c r="BH93" t="s" s="0">
        <v>81</v>
      </c>
      <c r="BI93" t="s" s="0">
        <v>2393</v>
      </c>
      <c r="BJ93" t="s" s="0">
        <v>2394</v>
      </c>
      <c r="BK93" t="s" s="183">
        <f>HYPERLINK("http://dx.doi.org/10.2196/72153","http://dx.doi.org/10.2196/72153")</f>
        <v>2395</v>
      </c>
      <c r="BL93" t="s" s="0">
        <v>81</v>
      </c>
      <c r="BM93" t="s" s="0">
        <v>81</v>
      </c>
      <c r="BN93" t="s" s="0">
        <v>946</v>
      </c>
      <c r="BO93" t="s" s="0">
        <v>116</v>
      </c>
      <c r="BP93" t="s" s="0">
        <v>116</v>
      </c>
      <c r="BQ93" t="s" s="0">
        <v>2396</v>
      </c>
      <c r="BR93" t="s" s="0">
        <v>2397</v>
      </c>
      <c r="BS93" t="s" s="0">
        <v>2398</v>
      </c>
      <c r="BT93" t="s" s="184">
        <f>HYPERLINK("https://www.webofscience.com/wos/woscc/full-record/WOS:001637033400004","View Record in Web of Science")</f>
        <v>120</v>
      </c>
      <c r="BU93" t="s" s="0">
        <v>121</v>
      </c>
      <c r="BV93" t="s" s="0">
        <v>81</v>
      </c>
      <c r="BW93" t="s" s="0">
        <v>81</v>
      </c>
      <c r="BX93" t="s" s="0">
        <v>122</v>
      </c>
    </row>
    <row r="94">
      <c r="A94" t="s" s="0">
        <v>77</v>
      </c>
      <c r="B94" t="s" s="0">
        <v>77</v>
      </c>
      <c r="C94" t="s" s="0">
        <v>77</v>
      </c>
      <c r="D94" t="s" s="0">
        <v>77</v>
      </c>
      <c r="E94" t="s" s="0">
        <v>2399</v>
      </c>
      <c r="F94" t="s" s="0">
        <v>2400</v>
      </c>
      <c r="G94" t="s" s="0">
        <v>2401</v>
      </c>
      <c r="H94" t="s" s="0">
        <v>81</v>
      </c>
      <c r="I94" t="s" s="0">
        <v>218</v>
      </c>
      <c r="J94" t="s" s="0">
        <v>2402</v>
      </c>
      <c r="K94" t="s" s="0">
        <v>2403</v>
      </c>
      <c r="L94" t="s" s="0">
        <v>2404</v>
      </c>
      <c r="M94" t="s" s="0">
        <v>2404</v>
      </c>
      <c r="N94" t="s" s="0">
        <v>2405</v>
      </c>
      <c r="O94" t="s" s="0">
        <v>2406</v>
      </c>
      <c r="P94" t="s" s="0">
        <v>2407</v>
      </c>
      <c r="Q94" t="s" s="0">
        <v>90</v>
      </c>
      <c r="R94" t="s" s="0">
        <v>81</v>
      </c>
      <c r="S94" t="s" s="0">
        <v>81</v>
      </c>
      <c r="T94" t="s" s="0">
        <v>81</v>
      </c>
      <c r="U94" t="s" s="0">
        <v>81</v>
      </c>
      <c r="V94" t="s" s="0">
        <v>2408</v>
      </c>
      <c r="W94" t="s" s="0">
        <v>2409</v>
      </c>
      <c r="X94" t="s" s="0">
        <v>81</v>
      </c>
      <c r="Y94" t="s" s="0">
        <v>81</v>
      </c>
      <c r="Z94" t="s" s="0">
        <v>93</v>
      </c>
      <c r="AA94" t="s" s="0">
        <v>94</v>
      </c>
      <c r="AB94" t="s" s="0">
        <v>81</v>
      </c>
      <c r="AC94" t="s" s="0">
        <v>81</v>
      </c>
      <c r="AD94" t="s" s="0">
        <v>81</v>
      </c>
      <c r="AE94" t="s" s="0">
        <v>81</v>
      </c>
      <c r="AF94" t="s" s="0">
        <v>81</v>
      </c>
      <c r="AG94" t="s" s="0">
        <v>2410</v>
      </c>
      <c r="AH94" t="s" s="0">
        <v>2411</v>
      </c>
      <c r="AI94" t="s" s="0">
        <v>81</v>
      </c>
      <c r="AJ94" t="s" s="0">
        <v>81</v>
      </c>
      <c r="AK94" t="s" s="0">
        <v>81</v>
      </c>
      <c r="AL94" t="s" s="0">
        <v>509</v>
      </c>
      <c r="AM94" t="s" s="0">
        <v>99</v>
      </c>
      <c r="AN94" t="s" s="0">
        <v>99</v>
      </c>
      <c r="AO94" t="s" s="0">
        <v>77</v>
      </c>
      <c r="AP94" t="s" s="0">
        <v>77</v>
      </c>
      <c r="AQ94" t="s" s="0">
        <v>2412</v>
      </c>
      <c r="AR94" t="s" s="0">
        <v>2413</v>
      </c>
      <c r="AS94" t="s" s="0">
        <v>2414</v>
      </c>
      <c r="AT94" t="s" s="0">
        <v>2415</v>
      </c>
      <c r="AU94" t="s" s="0">
        <v>2416</v>
      </c>
      <c r="AV94" t="s" s="0">
        <v>81</v>
      </c>
      <c r="AW94" t="s" s="0">
        <v>2417</v>
      </c>
      <c r="AX94" t="s" s="0">
        <v>2418</v>
      </c>
      <c r="AY94" t="s" s="0">
        <v>774</v>
      </c>
      <c r="AZ94" t="s" s="0">
        <v>110</v>
      </c>
      <c r="BA94" t="s" s="0">
        <v>554</v>
      </c>
      <c r="BB94" t="s" s="0">
        <v>554</v>
      </c>
      <c r="BC94" t="s" s="0">
        <v>81</v>
      </c>
      <c r="BD94" t="s" s="0">
        <v>81</v>
      </c>
      <c r="BE94" t="s" s="0">
        <v>81</v>
      </c>
      <c r="BF94" t="s" s="0">
        <v>81</v>
      </c>
      <c r="BG94" t="s" s="0">
        <v>711</v>
      </c>
      <c r="BH94" t="s" s="0">
        <v>2056</v>
      </c>
      <c r="BI94" t="s" s="0">
        <v>81</v>
      </c>
      <c r="BJ94" t="s" s="0">
        <v>2419</v>
      </c>
      <c r="BK94" t="s" s="185">
        <f>HYPERLINK("http://dx.doi.org/10.1089/aipo.2024.0043","http://dx.doi.org/10.1089/aipo.2024.0043")</f>
        <v>2420</v>
      </c>
      <c r="BL94" t="s" s="0">
        <v>81</v>
      </c>
      <c r="BM94" t="s" s="0">
        <v>81</v>
      </c>
      <c r="BN94" t="s" s="0">
        <v>210</v>
      </c>
      <c r="BO94" t="s" s="0">
        <v>2421</v>
      </c>
      <c r="BP94" t="s" s="0">
        <v>2421</v>
      </c>
      <c r="BQ94" t="s" s="0">
        <v>2422</v>
      </c>
      <c r="BR94" t="s" s="0">
        <v>81</v>
      </c>
      <c r="BS94" t="s" s="0">
        <v>2423</v>
      </c>
      <c r="BT94" t="s" s="186">
        <f>HYPERLINK("https://www.webofscience.com/wos/woscc/full-record/WOS:001763258900003","View Record in Web of Science")</f>
        <v>120</v>
      </c>
      <c r="BU94" t="s" s="0">
        <v>306</v>
      </c>
      <c r="BV94" t="s" s="0">
        <v>81</v>
      </c>
      <c r="BW94" t="s" s="0">
        <v>81</v>
      </c>
      <c r="BX94" t="s" s="0">
        <v>122</v>
      </c>
    </row>
    <row r="95">
      <c r="A95" t="s" s="0">
        <v>77</v>
      </c>
      <c r="B95" t="s" s="0">
        <v>77</v>
      </c>
      <c r="C95" t="s" s="0">
        <v>77</v>
      </c>
      <c r="D95" t="s" s="0">
        <v>77</v>
      </c>
      <c r="E95" t="s" s="0">
        <v>2424</v>
      </c>
      <c r="F95" t="s" s="0">
        <v>2425</v>
      </c>
      <c r="G95" t="s" s="0">
        <v>2426</v>
      </c>
      <c r="H95" t="s" s="0">
        <v>81</v>
      </c>
      <c r="I95" t="s" s="0">
        <v>218</v>
      </c>
      <c r="J95" t="s" s="0">
        <v>2427</v>
      </c>
      <c r="K95" t="s" s="0">
        <v>2428</v>
      </c>
      <c r="L95" t="s" s="0">
        <v>2429</v>
      </c>
      <c r="M95" t="s" s="0">
        <v>2430</v>
      </c>
      <c r="N95" t="s" s="0">
        <v>2431</v>
      </c>
      <c r="O95" t="s" s="0">
        <v>2432</v>
      </c>
      <c r="P95" t="s" s="0">
        <v>2433</v>
      </c>
      <c r="Q95" t="s" s="0">
        <v>90</v>
      </c>
      <c r="R95" t="s" s="0">
        <v>81</v>
      </c>
      <c r="S95" t="s" s="0">
        <v>81</v>
      </c>
      <c r="T95" t="s" s="0">
        <v>81</v>
      </c>
      <c r="U95" t="s" s="0">
        <v>81</v>
      </c>
      <c r="V95" t="s" s="0">
        <v>2434</v>
      </c>
      <c r="W95" t="s" s="0">
        <v>2435</v>
      </c>
      <c r="X95" t="s" s="0">
        <v>81</v>
      </c>
      <c r="Y95" t="s" s="0">
        <v>81</v>
      </c>
      <c r="Z95" t="s" s="0">
        <v>93</v>
      </c>
      <c r="AA95" t="s" s="0">
        <v>94</v>
      </c>
      <c r="AB95" t="s" s="0">
        <v>81</v>
      </c>
      <c r="AC95" t="s" s="0">
        <v>81</v>
      </c>
      <c r="AD95" t="s" s="0">
        <v>81</v>
      </c>
      <c r="AE95" t="s" s="0">
        <v>81</v>
      </c>
      <c r="AF95" t="s" s="0">
        <v>81</v>
      </c>
      <c r="AG95" t="s" s="0">
        <v>2436</v>
      </c>
      <c r="AH95" t="s" s="0">
        <v>2437</v>
      </c>
      <c r="AI95" t="s" s="0">
        <v>2438</v>
      </c>
      <c r="AJ95" t="s" s="0">
        <v>2439</v>
      </c>
      <c r="AK95" t="s" s="0">
        <v>81</v>
      </c>
      <c r="AL95" t="s" s="0">
        <v>553</v>
      </c>
      <c r="AM95" t="s" s="0">
        <v>554</v>
      </c>
      <c r="AN95" t="s" s="0">
        <v>554</v>
      </c>
      <c r="AO95" t="s" s="0">
        <v>554</v>
      </c>
      <c r="AP95" t="s" s="0">
        <v>554</v>
      </c>
      <c r="AQ95" t="s" s="0">
        <v>200</v>
      </c>
      <c r="AR95" t="s" s="0">
        <v>201</v>
      </c>
      <c r="AS95" t="s" s="0">
        <v>202</v>
      </c>
      <c r="AT95" t="s" s="0">
        <v>81</v>
      </c>
      <c r="AU95" t="s" s="0">
        <v>2440</v>
      </c>
      <c r="AV95" t="s" s="0">
        <v>81</v>
      </c>
      <c r="AW95" t="s" s="0">
        <v>2441</v>
      </c>
      <c r="AX95" t="s" s="0">
        <v>2442</v>
      </c>
      <c r="AY95" t="s" s="0">
        <v>2443</v>
      </c>
      <c r="AZ95" t="s" s="0">
        <v>144</v>
      </c>
      <c r="BA95" t="s" s="0">
        <v>583</v>
      </c>
      <c r="BB95" t="s" s="0">
        <v>169</v>
      </c>
      <c r="BC95" t="s" s="0">
        <v>81</v>
      </c>
      <c r="BD95" t="s" s="0">
        <v>81</v>
      </c>
      <c r="BE95" t="s" s="0">
        <v>81</v>
      </c>
      <c r="BF95" t="s" s="0">
        <v>81</v>
      </c>
      <c r="BG95" t="s" s="0">
        <v>81</v>
      </c>
      <c r="BH95" t="s" s="0">
        <v>81</v>
      </c>
      <c r="BI95" t="s" s="0">
        <v>2444</v>
      </c>
      <c r="BJ95" t="s" s="0">
        <v>2445</v>
      </c>
      <c r="BK95" t="s" s="187">
        <f>HYPERLINK("http://dx.doi.org/10.1136/bmjhci-2025-101959","http://dx.doi.org/10.1136/bmjhci-2025-101959")</f>
        <v>2446</v>
      </c>
      <c r="BL95" t="s" s="0">
        <v>81</v>
      </c>
      <c r="BM95" t="s" s="0">
        <v>81</v>
      </c>
      <c r="BN95" t="s" s="0">
        <v>210</v>
      </c>
      <c r="BO95" t="s" s="0">
        <v>116</v>
      </c>
      <c r="BP95" t="s" s="0">
        <v>116</v>
      </c>
      <c r="BQ95" t="s" s="0">
        <v>2447</v>
      </c>
      <c r="BR95" t="s" s="0">
        <v>2448</v>
      </c>
      <c r="BS95" t="s" s="0">
        <v>2449</v>
      </c>
      <c r="BT95" t="s" s="188">
        <f>HYPERLINK("https://www.webofscience.com/wos/woscc/full-record/WOS:001749114200001","View Record in Web of Science")</f>
        <v>120</v>
      </c>
      <c r="BU95" t="s" s="0">
        <v>121</v>
      </c>
      <c r="BV95" t="s" s="0">
        <v>81</v>
      </c>
      <c r="BW95" t="s" s="0">
        <v>81</v>
      </c>
      <c r="BX95" t="s" s="0">
        <v>122</v>
      </c>
    </row>
    <row r="96">
      <c r="A96" t="s" s="0">
        <v>77</v>
      </c>
      <c r="B96" t="s" s="0">
        <v>77</v>
      </c>
      <c r="C96" t="s" s="0">
        <v>77</v>
      </c>
      <c r="D96" t="s" s="0">
        <v>77</v>
      </c>
      <c r="E96" t="s" s="0">
        <v>2450</v>
      </c>
      <c r="F96" t="s" s="0">
        <v>2451</v>
      </c>
      <c r="G96" t="s" s="0">
        <v>2452</v>
      </c>
      <c r="H96" t="s" s="0">
        <v>81</v>
      </c>
      <c r="I96" t="s" s="0">
        <v>82</v>
      </c>
      <c r="J96" t="s" s="0">
        <v>2453</v>
      </c>
      <c r="K96" t="s" s="0">
        <v>2454</v>
      </c>
      <c r="L96" t="s" s="0">
        <v>2455</v>
      </c>
      <c r="M96" t="s" s="0">
        <v>2456</v>
      </c>
      <c r="N96" t="s" s="0">
        <v>2457</v>
      </c>
      <c r="O96" t="s" s="0">
        <v>2458</v>
      </c>
      <c r="P96" t="s" s="0">
        <v>2459</v>
      </c>
      <c r="Q96" t="s" s="0">
        <v>90</v>
      </c>
      <c r="R96" t="s" s="0">
        <v>81</v>
      </c>
      <c r="S96" t="s" s="0">
        <v>81</v>
      </c>
      <c r="T96" t="s" s="0">
        <v>81</v>
      </c>
      <c r="U96" t="s" s="0">
        <v>81</v>
      </c>
      <c r="V96" t="s" s="0">
        <v>2460</v>
      </c>
      <c r="W96" t="s" s="0">
        <v>2461</v>
      </c>
      <c r="X96" t="s" s="0">
        <v>81</v>
      </c>
      <c r="Y96" t="s" s="0">
        <v>81</v>
      </c>
      <c r="Z96" t="s" s="0">
        <v>93</v>
      </c>
      <c r="AA96" t="s" s="0">
        <v>94</v>
      </c>
      <c r="AB96" t="s" s="0">
        <v>81</v>
      </c>
      <c r="AC96" t="s" s="0">
        <v>81</v>
      </c>
      <c r="AD96" t="s" s="0">
        <v>81</v>
      </c>
      <c r="AE96" t="s" s="0">
        <v>81</v>
      </c>
      <c r="AF96" t="s" s="0">
        <v>81</v>
      </c>
      <c r="AG96" t="s" s="0">
        <v>2462</v>
      </c>
      <c r="AH96" t="s" s="0">
        <v>81</v>
      </c>
      <c r="AI96" t="s" s="0">
        <v>2463</v>
      </c>
      <c r="AJ96" t="s" s="0">
        <v>2464</v>
      </c>
      <c r="AK96" t="s" s="0">
        <v>81</v>
      </c>
      <c r="AL96" t="s" s="0">
        <v>658</v>
      </c>
      <c r="AM96" t="s" s="0">
        <v>554</v>
      </c>
      <c r="AN96" t="s" s="0">
        <v>101</v>
      </c>
      <c r="AO96" t="s" s="0">
        <v>554</v>
      </c>
      <c r="AP96" t="s" s="0">
        <v>101</v>
      </c>
      <c r="AQ96" t="s" s="0">
        <v>137</v>
      </c>
      <c r="AR96" t="s" s="0">
        <v>138</v>
      </c>
      <c r="AS96" t="s" s="0">
        <v>139</v>
      </c>
      <c r="AT96" t="s" s="0">
        <v>81</v>
      </c>
      <c r="AU96" t="s" s="0">
        <v>2465</v>
      </c>
      <c r="AV96" t="s" s="0">
        <v>81</v>
      </c>
      <c r="AW96" t="s" s="0">
        <v>2461</v>
      </c>
      <c r="AX96" t="s" s="0">
        <v>2466</v>
      </c>
      <c r="AY96" t="s" s="0">
        <v>2467</v>
      </c>
      <c r="AZ96" t="s" s="0">
        <v>110</v>
      </c>
      <c r="BA96" t="s" s="0">
        <v>360</v>
      </c>
      <c r="BB96" t="s" s="0">
        <v>360</v>
      </c>
      <c r="BC96" t="s" s="0">
        <v>81</v>
      </c>
      <c r="BD96" t="s" s="0">
        <v>81</v>
      </c>
      <c r="BE96" t="s" s="0">
        <v>81</v>
      </c>
      <c r="BF96" t="s" s="0">
        <v>81</v>
      </c>
      <c r="BG96" t="s" s="0">
        <v>81</v>
      </c>
      <c r="BH96" t="s" s="0">
        <v>81</v>
      </c>
      <c r="BI96" t="s" s="0">
        <v>2468</v>
      </c>
      <c r="BJ96" t="s" s="0">
        <v>2469</v>
      </c>
      <c r="BK96" t="s" s="189">
        <f>HYPERLINK("http://dx.doi.org/10.3390/bioengineering12121330","http://dx.doi.org/10.3390/bioengineering12121330")</f>
        <v>2470</v>
      </c>
      <c r="BL96" t="s" s="0">
        <v>81</v>
      </c>
      <c r="BM96" t="s" s="0">
        <v>81</v>
      </c>
      <c r="BN96" t="s" s="0">
        <v>199</v>
      </c>
      <c r="BO96" t="s" s="0">
        <v>2471</v>
      </c>
      <c r="BP96" t="s" s="0">
        <v>2472</v>
      </c>
      <c r="BQ96" t="s" s="0">
        <v>2473</v>
      </c>
      <c r="BR96" t="s" s="0">
        <v>2474</v>
      </c>
      <c r="BS96" t="s" s="0">
        <v>2475</v>
      </c>
      <c r="BT96" t="s" s="190">
        <f>HYPERLINK("https://www.webofscience.com/wos/woscc/full-record/WOS:001646886000001","View Record in Web of Science")</f>
        <v>120</v>
      </c>
      <c r="BU96" t="s" s="0">
        <v>121</v>
      </c>
      <c r="BV96" t="s" s="0">
        <v>81</v>
      </c>
      <c r="BW96" t="s" s="0">
        <v>81</v>
      </c>
      <c r="BX96" t="s" s="0">
        <v>122</v>
      </c>
    </row>
    <row r="97">
      <c r="A97" t="s" s="0">
        <v>77</v>
      </c>
      <c r="B97" t="s" s="0">
        <v>77</v>
      </c>
      <c r="C97" t="s" s="0">
        <v>77</v>
      </c>
      <c r="D97" t="s" s="0">
        <v>77</v>
      </c>
      <c r="E97" t="s" s="0">
        <v>2476</v>
      </c>
      <c r="F97" t="s" s="0">
        <v>2477</v>
      </c>
      <c r="G97" t="s" s="0">
        <v>2478</v>
      </c>
      <c r="H97" t="s" s="0">
        <v>81</v>
      </c>
      <c r="I97" t="s" s="0">
        <v>82</v>
      </c>
      <c r="J97" t="s" s="0">
        <v>2479</v>
      </c>
      <c r="K97" t="s" s="0">
        <v>2480</v>
      </c>
      <c r="L97" t="s" s="0">
        <v>2481</v>
      </c>
      <c r="M97" t="s" s="0">
        <v>2482</v>
      </c>
      <c r="N97" t="s" s="0">
        <v>2483</v>
      </c>
      <c r="O97" t="s" s="0">
        <v>2484</v>
      </c>
      <c r="P97" t="s" s="0">
        <v>2485</v>
      </c>
      <c r="Q97" t="s" s="0">
        <v>90</v>
      </c>
      <c r="R97" t="s" s="0">
        <v>81</v>
      </c>
      <c r="S97" t="s" s="0">
        <v>81</v>
      </c>
      <c r="T97" t="s" s="0">
        <v>81</v>
      </c>
      <c r="U97" t="s" s="0">
        <v>81</v>
      </c>
      <c r="V97" t="s" s="0">
        <v>2486</v>
      </c>
      <c r="W97" t="s" s="0">
        <v>2487</v>
      </c>
      <c r="X97" t="s" s="0">
        <v>81</v>
      </c>
      <c r="Y97" t="s" s="0">
        <v>81</v>
      </c>
      <c r="Z97" t="s" s="0">
        <v>93</v>
      </c>
      <c r="AA97" t="s" s="0">
        <v>94</v>
      </c>
      <c r="AB97" t="s" s="0">
        <v>81</v>
      </c>
      <c r="AC97" t="s" s="0">
        <v>81</v>
      </c>
      <c r="AD97" t="s" s="0">
        <v>81</v>
      </c>
      <c r="AE97" t="s" s="0">
        <v>81</v>
      </c>
      <c r="AF97" t="s" s="0">
        <v>81</v>
      </c>
      <c r="AG97" t="s" s="0">
        <v>2488</v>
      </c>
      <c r="AH97" t="s" s="0">
        <v>2489</v>
      </c>
      <c r="AI97" t="s" s="0">
        <v>81</v>
      </c>
      <c r="AJ97" t="s" s="0">
        <v>2490</v>
      </c>
      <c r="AK97" t="s" s="0">
        <v>81</v>
      </c>
      <c r="AL97" t="s" s="0">
        <v>168</v>
      </c>
      <c r="AM97" t="s" s="0">
        <v>77</v>
      </c>
      <c r="AN97" t="s" s="0">
        <v>77</v>
      </c>
      <c r="AO97" t="s" s="0">
        <v>77</v>
      </c>
      <c r="AP97" t="s" s="0">
        <v>210</v>
      </c>
      <c r="AQ97" t="s" s="0">
        <v>137</v>
      </c>
      <c r="AR97" t="s" s="0">
        <v>138</v>
      </c>
      <c r="AS97" t="s" s="0">
        <v>139</v>
      </c>
      <c r="AT97" t="s" s="0">
        <v>2491</v>
      </c>
      <c r="AU97" t="s" s="0">
        <v>81</v>
      </c>
      <c r="AV97" t="s" s="0">
        <v>81</v>
      </c>
      <c r="AW97" t="s" s="0">
        <v>2492</v>
      </c>
      <c r="AX97" t="s" s="0">
        <v>2493</v>
      </c>
      <c r="AY97" t="s" s="0">
        <v>2494</v>
      </c>
      <c r="AZ97" t="s" s="0">
        <v>110</v>
      </c>
      <c r="BA97" t="s" s="0">
        <v>509</v>
      </c>
      <c r="BB97" t="s" s="0">
        <v>320</v>
      </c>
      <c r="BC97" t="s" s="0">
        <v>81</v>
      </c>
      <c r="BD97" t="s" s="0">
        <v>81</v>
      </c>
      <c r="BE97" t="s" s="0">
        <v>81</v>
      </c>
      <c r="BF97" t="s" s="0">
        <v>81</v>
      </c>
      <c r="BG97" t="s" s="0">
        <v>81</v>
      </c>
      <c r="BH97" t="s" s="0">
        <v>81</v>
      </c>
      <c r="BI97" t="s" s="0">
        <v>2495</v>
      </c>
      <c r="BJ97" t="s" s="0">
        <v>2496</v>
      </c>
      <c r="BK97" t="s" s="191">
        <f>HYPERLINK("http://dx.doi.org/10.3390/electronics14112164","http://dx.doi.org/10.3390/electronics14112164")</f>
        <v>2497</v>
      </c>
      <c r="BL97" t="s" s="0">
        <v>81</v>
      </c>
      <c r="BM97" t="s" s="0">
        <v>81</v>
      </c>
      <c r="BN97" t="s" s="0">
        <v>111</v>
      </c>
      <c r="BO97" t="s" s="0">
        <v>2498</v>
      </c>
      <c r="BP97" t="s" s="0">
        <v>2499</v>
      </c>
      <c r="BQ97" t="s" s="0">
        <v>2500</v>
      </c>
      <c r="BR97" t="s" s="0">
        <v>81</v>
      </c>
      <c r="BS97" t="s" s="0">
        <v>2501</v>
      </c>
      <c r="BT97" t="s" s="192">
        <f>HYPERLINK("https://www.webofscience.com/wos/woscc/full-record/WOS:001505890500001","View Record in Web of Science")</f>
        <v>120</v>
      </c>
      <c r="BU97" t="s" s="0">
        <v>1216</v>
      </c>
      <c r="BV97" t="s" s="0">
        <v>81</v>
      </c>
      <c r="BW97" t="s" s="0">
        <v>81</v>
      </c>
      <c r="BX97" t="s" s="0">
        <v>122</v>
      </c>
    </row>
    <row r="98">
      <c r="A98" t="s" s="0">
        <v>77</v>
      </c>
      <c r="B98" t="s" s="0">
        <v>77</v>
      </c>
      <c r="C98" t="s" s="0">
        <v>77</v>
      </c>
      <c r="D98" t="s" s="0">
        <v>77</v>
      </c>
      <c r="E98" t="s" s="0">
        <v>2502</v>
      </c>
      <c r="F98" t="s" s="0">
        <v>2503</v>
      </c>
      <c r="G98" t="s" s="0">
        <v>2504</v>
      </c>
      <c r="H98" t="s" s="0">
        <v>81</v>
      </c>
      <c r="I98" t="s" s="0">
        <v>82</v>
      </c>
      <c r="J98" t="s" s="0">
        <v>2505</v>
      </c>
      <c r="K98" t="s" s="0">
        <v>2506</v>
      </c>
      <c r="L98" t="s" s="0">
        <v>2507</v>
      </c>
      <c r="M98" t="s" s="0">
        <v>2508</v>
      </c>
      <c r="N98" t="s" s="0">
        <v>2509</v>
      </c>
      <c r="O98" t="s" s="0">
        <v>2510</v>
      </c>
      <c r="P98" t="s" s="0">
        <v>2511</v>
      </c>
      <c r="Q98" t="s" s="0">
        <v>90</v>
      </c>
      <c r="R98" t="s" s="0">
        <v>81</v>
      </c>
      <c r="S98" t="s" s="0">
        <v>81</v>
      </c>
      <c r="T98" t="s" s="0">
        <v>81</v>
      </c>
      <c r="U98" t="s" s="0">
        <v>81</v>
      </c>
      <c r="V98" t="s" s="0">
        <v>2512</v>
      </c>
      <c r="W98" t="s" s="0">
        <v>2513</v>
      </c>
      <c r="X98" t="s" s="0">
        <v>81</v>
      </c>
      <c r="Y98" t="s" s="0">
        <v>81</v>
      </c>
      <c r="Z98" t="s" s="0">
        <v>93</v>
      </c>
      <c r="AA98" t="s" s="0">
        <v>94</v>
      </c>
      <c r="AB98" t="s" s="0">
        <v>81</v>
      </c>
      <c r="AC98" t="s" s="0">
        <v>81</v>
      </c>
      <c r="AD98" t="s" s="0">
        <v>81</v>
      </c>
      <c r="AE98" t="s" s="0">
        <v>81</v>
      </c>
      <c r="AF98" t="s" s="0">
        <v>81</v>
      </c>
      <c r="AG98" t="s" s="0">
        <v>2514</v>
      </c>
      <c r="AH98" t="s" s="0">
        <v>81</v>
      </c>
      <c r="AI98" t="s" s="0">
        <v>2515</v>
      </c>
      <c r="AJ98" t="s" s="0">
        <v>81</v>
      </c>
      <c r="AK98" t="s" s="0">
        <v>81</v>
      </c>
      <c r="AL98" t="s" s="0">
        <v>111</v>
      </c>
      <c r="AM98" t="s" s="0">
        <v>77</v>
      </c>
      <c r="AN98" t="s" s="0">
        <v>77</v>
      </c>
      <c r="AO98" t="s" s="0">
        <v>169</v>
      </c>
      <c r="AP98" t="s" s="0">
        <v>99</v>
      </c>
      <c r="AQ98" t="s" s="0">
        <v>288</v>
      </c>
      <c r="AR98" t="s" s="0">
        <v>289</v>
      </c>
      <c r="AS98" t="s" s="0">
        <v>290</v>
      </c>
      <c r="AT98" t="s" s="0">
        <v>2516</v>
      </c>
      <c r="AU98" t="s" s="0">
        <v>2517</v>
      </c>
      <c r="AV98" t="s" s="0">
        <v>81</v>
      </c>
      <c r="AW98" t="s" s="0">
        <v>2518</v>
      </c>
      <c r="AX98" t="s" s="0">
        <v>2519</v>
      </c>
      <c r="AY98" t="s" s="0">
        <v>801</v>
      </c>
      <c r="AZ98" t="s" s="0">
        <v>110</v>
      </c>
      <c r="BA98" t="s" s="0">
        <v>136</v>
      </c>
      <c r="BB98" t="s" s="0">
        <v>452</v>
      </c>
      <c r="BC98" t="s" s="0">
        <v>81</v>
      </c>
      <c r="BD98" t="s" s="0">
        <v>81</v>
      </c>
      <c r="BE98" t="s" s="0">
        <v>81</v>
      </c>
      <c r="BF98" t="s" s="0">
        <v>81</v>
      </c>
      <c r="BG98" t="s" s="0">
        <v>2520</v>
      </c>
      <c r="BH98" t="s" s="0">
        <v>2521</v>
      </c>
      <c r="BI98" t="s" s="0">
        <v>81</v>
      </c>
      <c r="BJ98" t="s" s="0">
        <v>2522</v>
      </c>
      <c r="BK98" t="s" s="193">
        <f>HYPERLINK("http://dx.doi.org/10.1016/j.jos.2025.03.003","http://dx.doi.org/10.1016/j.jos.2025.03.003")</f>
        <v>2523</v>
      </c>
      <c r="BL98" t="s" s="0">
        <v>81</v>
      </c>
      <c r="BM98" t="s" s="0">
        <v>801</v>
      </c>
      <c r="BN98" t="s" s="0">
        <v>452</v>
      </c>
      <c r="BO98" t="s" s="0">
        <v>2524</v>
      </c>
      <c r="BP98" t="s" s="0">
        <v>2524</v>
      </c>
      <c r="BQ98" t="s" s="0">
        <v>2525</v>
      </c>
      <c r="BR98" t="s" s="0">
        <v>2526</v>
      </c>
      <c r="BS98" t="s" s="0">
        <v>2527</v>
      </c>
      <c r="BT98" t="s" s="194">
        <f>HYPERLINK("https://www.webofscience.com/wos/woscc/full-record/WOS:001627207100025","View Record in Web of Science")</f>
        <v>120</v>
      </c>
      <c r="BU98" t="s" s="0">
        <v>81</v>
      </c>
      <c r="BV98" t="s" s="0">
        <v>81</v>
      </c>
      <c r="BW98" t="s" s="0">
        <v>81</v>
      </c>
      <c r="BX98" t="s" s="0">
        <v>122</v>
      </c>
    </row>
    <row r="99">
      <c r="A99" t="s" s="0">
        <v>77</v>
      </c>
      <c r="B99" t="s" s="0">
        <v>77</v>
      </c>
      <c r="C99" t="s" s="0">
        <v>77</v>
      </c>
      <c r="D99" t="s" s="0">
        <v>77</v>
      </c>
      <c r="E99" t="s" s="0">
        <v>2528</v>
      </c>
      <c r="F99" t="s" s="0">
        <v>2529</v>
      </c>
      <c r="G99" t="s" s="0">
        <v>2530</v>
      </c>
      <c r="H99" t="s" s="0">
        <v>81</v>
      </c>
      <c r="I99" t="s" s="0">
        <v>82</v>
      </c>
      <c r="J99" t="s" s="0">
        <v>2531</v>
      </c>
      <c r="K99" t="s" s="0">
        <v>2532</v>
      </c>
      <c r="L99" t="s" s="0">
        <v>2533</v>
      </c>
      <c r="M99" t="s" s="0">
        <v>2534</v>
      </c>
      <c r="N99" t="s" s="0">
        <v>2535</v>
      </c>
      <c r="O99" t="s" s="0">
        <v>2536</v>
      </c>
      <c r="P99" t="s" s="0">
        <v>2537</v>
      </c>
      <c r="Q99" t="s" s="0">
        <v>90</v>
      </c>
      <c r="R99" t="s" s="0">
        <v>81</v>
      </c>
      <c r="S99" t="s" s="0">
        <v>81</v>
      </c>
      <c r="T99" t="s" s="0">
        <v>81</v>
      </c>
      <c r="U99" t="s" s="0">
        <v>81</v>
      </c>
      <c r="V99" t="s" s="0">
        <v>2538</v>
      </c>
      <c r="W99" t="s" s="0">
        <v>2539</v>
      </c>
      <c r="X99" t="s" s="0">
        <v>81</v>
      </c>
      <c r="Y99" t="s" s="0">
        <v>81</v>
      </c>
      <c r="Z99" t="s" s="0">
        <v>93</v>
      </c>
      <c r="AA99" t="s" s="0">
        <v>94</v>
      </c>
      <c r="AB99" t="s" s="0">
        <v>81</v>
      </c>
      <c r="AC99" t="s" s="0">
        <v>81</v>
      </c>
      <c r="AD99" t="s" s="0">
        <v>81</v>
      </c>
      <c r="AE99" t="s" s="0">
        <v>81</v>
      </c>
      <c r="AF99" t="s" s="0">
        <v>81</v>
      </c>
      <c r="AG99" t="s" s="0">
        <v>2540</v>
      </c>
      <c r="AH99" t="s" s="0">
        <v>81</v>
      </c>
      <c r="AI99" t="s" s="0">
        <v>81</v>
      </c>
      <c r="AJ99" t="s" s="0">
        <v>81</v>
      </c>
      <c r="AK99" t="s" s="0">
        <v>81</v>
      </c>
      <c r="AL99" t="s" s="0">
        <v>287</v>
      </c>
      <c r="AM99" t="s" s="0">
        <v>100</v>
      </c>
      <c r="AN99" t="s" s="0">
        <v>452</v>
      </c>
      <c r="AO99" t="s" s="0">
        <v>210</v>
      </c>
      <c r="AP99" t="s" s="0">
        <v>210</v>
      </c>
      <c r="AQ99" t="s" s="0">
        <v>353</v>
      </c>
      <c r="AR99" t="s" s="0">
        <v>354</v>
      </c>
      <c r="AS99" t="s" s="0">
        <v>355</v>
      </c>
      <c r="AT99" t="s" s="0">
        <v>2541</v>
      </c>
      <c r="AU99" t="s" s="0">
        <v>81</v>
      </c>
      <c r="AV99" t="s" s="0">
        <v>81</v>
      </c>
      <c r="AW99" t="s" s="0">
        <v>2542</v>
      </c>
      <c r="AX99" t="s" s="0">
        <v>2543</v>
      </c>
      <c r="AY99" t="s" s="0">
        <v>2544</v>
      </c>
      <c r="AZ99" t="s" s="0">
        <v>144</v>
      </c>
      <c r="BA99" t="s" s="0">
        <v>509</v>
      </c>
      <c r="BB99" t="s" s="0">
        <v>81</v>
      </c>
      <c r="BC99" t="s" s="0">
        <v>81</v>
      </c>
      <c r="BD99" t="s" s="0">
        <v>81</v>
      </c>
      <c r="BE99" t="s" s="0">
        <v>81</v>
      </c>
      <c r="BF99" t="s" s="0">
        <v>81</v>
      </c>
      <c r="BG99" t="s" s="0">
        <v>81</v>
      </c>
      <c r="BH99" t="s" s="0">
        <v>81</v>
      </c>
      <c r="BI99" t="s" s="0">
        <v>2545</v>
      </c>
      <c r="BJ99" t="s" s="0">
        <v>2546</v>
      </c>
      <c r="BK99" t="s" s="195">
        <f>HYPERLINK("http://dx.doi.org/10.3389/fcell.2026.1754221","http://dx.doi.org/10.3389/fcell.2026.1754221")</f>
        <v>2547</v>
      </c>
      <c r="BL99" t="s" s="0">
        <v>81</v>
      </c>
      <c r="BM99" t="s" s="0">
        <v>177</v>
      </c>
      <c r="BN99" t="s" s="0">
        <v>360</v>
      </c>
      <c r="BO99" t="s" s="0">
        <v>2548</v>
      </c>
      <c r="BP99" t="s" s="0">
        <v>2548</v>
      </c>
      <c r="BQ99" t="s" s="0">
        <v>2549</v>
      </c>
      <c r="BR99" t="s" s="0">
        <v>2550</v>
      </c>
      <c r="BS99" t="s" s="0">
        <v>2551</v>
      </c>
      <c r="BT99" t="s" s="196">
        <f>HYPERLINK("https://www.webofscience.com/wos/woscc/full-record/WOS:001735083100001","View Record in Web of Science")</f>
        <v>120</v>
      </c>
      <c r="BU99" t="s" s="0">
        <v>121</v>
      </c>
      <c r="BV99" t="s" s="0">
        <v>81</v>
      </c>
      <c r="BW99" t="s" s="0">
        <v>81</v>
      </c>
      <c r="BX99" t="s" s="0">
        <v>122</v>
      </c>
    </row>
    <row r="100">
      <c r="A100" t="s" s="0">
        <v>77</v>
      </c>
      <c r="B100" t="s" s="0">
        <v>77</v>
      </c>
      <c r="C100" t="s" s="0">
        <v>77</v>
      </c>
      <c r="D100" t="s" s="0">
        <v>77</v>
      </c>
      <c r="E100" t="s" s="0">
        <v>2552</v>
      </c>
      <c r="F100" t="s" s="0">
        <v>2553</v>
      </c>
      <c r="G100" t="s" s="0">
        <v>2554</v>
      </c>
      <c r="H100" t="s" s="0">
        <v>81</v>
      </c>
      <c r="I100" t="s" s="0">
        <v>82</v>
      </c>
      <c r="J100" t="s" s="0">
        <v>2555</v>
      </c>
      <c r="K100" t="s" s="0">
        <v>2556</v>
      </c>
      <c r="L100" t="s" s="0">
        <v>2557</v>
      </c>
      <c r="M100" t="s" s="0">
        <v>2557</v>
      </c>
      <c r="N100" t="s" s="0">
        <v>2558</v>
      </c>
      <c r="O100" t="s" s="0">
        <v>2559</v>
      </c>
      <c r="P100" t="s" s="0">
        <v>2560</v>
      </c>
      <c r="Q100" t="s" s="0">
        <v>90</v>
      </c>
      <c r="R100" t="s" s="0">
        <v>81</v>
      </c>
      <c r="S100" t="s" s="0">
        <v>81</v>
      </c>
      <c r="T100" t="s" s="0">
        <v>81</v>
      </c>
      <c r="U100" t="s" s="0">
        <v>81</v>
      </c>
      <c r="V100" t="s" s="0">
        <v>2561</v>
      </c>
      <c r="W100" t="s" s="0">
        <v>2562</v>
      </c>
      <c r="X100" t="s" s="0">
        <v>81</v>
      </c>
      <c r="Y100" t="s" s="0">
        <v>81</v>
      </c>
      <c r="Z100" t="s" s="0">
        <v>93</v>
      </c>
      <c r="AA100" t="s" s="0">
        <v>94</v>
      </c>
      <c r="AB100" t="s" s="0">
        <v>81</v>
      </c>
      <c r="AC100" t="s" s="0">
        <v>81</v>
      </c>
      <c r="AD100" t="s" s="0">
        <v>81</v>
      </c>
      <c r="AE100" t="s" s="0">
        <v>81</v>
      </c>
      <c r="AF100" t="s" s="0">
        <v>81</v>
      </c>
      <c r="AG100" t="s" s="0">
        <v>2563</v>
      </c>
      <c r="AH100" t="s" s="0">
        <v>2564</v>
      </c>
      <c r="AI100" t="s" s="0">
        <v>2565</v>
      </c>
      <c r="AJ100" t="s" s="0">
        <v>2566</v>
      </c>
      <c r="AK100" t="s" s="0">
        <v>81</v>
      </c>
      <c r="AL100" t="s" s="0">
        <v>2098</v>
      </c>
      <c r="AM100" t="s" s="0">
        <v>77</v>
      </c>
      <c r="AN100" t="s" s="0">
        <v>77</v>
      </c>
      <c r="AO100" t="s" s="0">
        <v>554</v>
      </c>
      <c r="AP100" t="s" s="0">
        <v>452</v>
      </c>
      <c r="AQ100" t="s" s="0">
        <v>2567</v>
      </c>
      <c r="AR100" t="s" s="0">
        <v>2568</v>
      </c>
      <c r="AS100" t="s" s="0">
        <v>2569</v>
      </c>
      <c r="AT100" t="s" s="0">
        <v>2570</v>
      </c>
      <c r="AU100" t="s" s="0">
        <v>2571</v>
      </c>
      <c r="AV100" t="s" s="0">
        <v>81</v>
      </c>
      <c r="AW100" t="s" s="0">
        <v>2572</v>
      </c>
      <c r="AX100" t="s" s="0">
        <v>2573</v>
      </c>
      <c r="AY100" t="s" s="0">
        <v>2055</v>
      </c>
      <c r="AZ100" t="s" s="0">
        <v>144</v>
      </c>
      <c r="BA100" t="s" s="0">
        <v>2574</v>
      </c>
      <c r="BB100" t="s" s="0">
        <v>2575</v>
      </c>
      <c r="BC100" t="s" s="0">
        <v>81</v>
      </c>
      <c r="BD100" t="s" s="0">
        <v>81</v>
      </c>
      <c r="BE100" t="s" s="0">
        <v>81</v>
      </c>
      <c r="BF100" t="s" s="0">
        <v>81</v>
      </c>
      <c r="BG100" t="s" s="0">
        <v>975</v>
      </c>
      <c r="BH100" t="s" s="0">
        <v>2163</v>
      </c>
      <c r="BI100" t="s" s="0">
        <v>81</v>
      </c>
      <c r="BJ100" t="s" s="0">
        <v>2576</v>
      </c>
      <c r="BK100" t="s" s="197">
        <f>HYPERLINK("http://dx.doi.org/10.1055/a-2641-3059","http://dx.doi.org/10.1055/a-2641-3059")</f>
        <v>2577</v>
      </c>
      <c r="BL100" t="s" s="0">
        <v>81</v>
      </c>
      <c r="BM100" t="s" s="0">
        <v>1056</v>
      </c>
      <c r="BN100" t="s" s="0">
        <v>328</v>
      </c>
      <c r="BO100" t="s" s="0">
        <v>182</v>
      </c>
      <c r="BP100" t="s" s="0">
        <v>182</v>
      </c>
      <c r="BQ100" t="s" s="0">
        <v>2578</v>
      </c>
      <c r="BR100" t="s" s="0">
        <v>2579</v>
      </c>
      <c r="BS100" t="s" s="0">
        <v>2580</v>
      </c>
      <c r="BT100" t="s" s="198">
        <f>HYPERLINK("https://www.webofscience.com/wos/woscc/full-record/WOS:001530303600001","View Record in Web of Science")</f>
        <v>120</v>
      </c>
      <c r="BU100" t="s" s="0">
        <v>81</v>
      </c>
      <c r="BV100" t="s" s="0">
        <v>81</v>
      </c>
      <c r="BW100" t="s" s="0">
        <v>81</v>
      </c>
      <c r="BX100" t="s" s="0">
        <v>122</v>
      </c>
    </row>
    <row r="101">
      <c r="A101" t="s" s="0">
        <v>77</v>
      </c>
      <c r="B101" t="s" s="0">
        <v>77</v>
      </c>
      <c r="C101" t="s" s="0">
        <v>77</v>
      </c>
      <c r="D101" t="s" s="0">
        <v>77</v>
      </c>
      <c r="E101" t="s" s="0">
        <v>2581</v>
      </c>
      <c r="F101" t="s" s="0">
        <v>2582</v>
      </c>
      <c r="G101" t="s" s="0">
        <v>2583</v>
      </c>
      <c r="H101" t="s" s="0">
        <v>81</v>
      </c>
      <c r="I101" t="s" s="0">
        <v>82</v>
      </c>
      <c r="J101" t="s" s="0">
        <v>2584</v>
      </c>
      <c r="K101" t="s" s="0">
        <v>2585</v>
      </c>
      <c r="L101" t="s" s="0">
        <v>2586</v>
      </c>
      <c r="M101" t="s" s="0">
        <v>2587</v>
      </c>
      <c r="N101" t="s" s="0">
        <v>1622</v>
      </c>
      <c r="O101" t="s" s="0">
        <v>2588</v>
      </c>
      <c r="P101" t="s" s="0">
        <v>2589</v>
      </c>
      <c r="Q101" t="s" s="0">
        <v>90</v>
      </c>
      <c r="R101" t="s" s="0">
        <v>81</v>
      </c>
      <c r="S101" t="s" s="0">
        <v>81</v>
      </c>
      <c r="T101" t="s" s="0">
        <v>81</v>
      </c>
      <c r="U101" t="s" s="0">
        <v>81</v>
      </c>
      <c r="V101" t="s" s="0">
        <v>2590</v>
      </c>
      <c r="W101" t="s" s="0">
        <v>2591</v>
      </c>
      <c r="X101" t="s" s="0">
        <v>81</v>
      </c>
      <c r="Y101" t="s" s="0">
        <v>81</v>
      </c>
      <c r="Z101" t="s" s="0">
        <v>93</v>
      </c>
      <c r="AA101" t="s" s="0">
        <v>94</v>
      </c>
      <c r="AB101" t="s" s="0">
        <v>81</v>
      </c>
      <c r="AC101" t="s" s="0">
        <v>81</v>
      </c>
      <c r="AD101" t="s" s="0">
        <v>81</v>
      </c>
      <c r="AE101" t="s" s="0">
        <v>81</v>
      </c>
      <c r="AF101" t="s" s="0">
        <v>81</v>
      </c>
      <c r="AG101" t="s" s="0">
        <v>2592</v>
      </c>
      <c r="AH101" t="s" s="0">
        <v>81</v>
      </c>
      <c r="AI101" t="s" s="0">
        <v>2593</v>
      </c>
      <c r="AJ101" t="s" s="0">
        <v>2594</v>
      </c>
      <c r="AK101" t="s" s="0">
        <v>81</v>
      </c>
      <c r="AL101" t="s" s="0">
        <v>199</v>
      </c>
      <c r="AM101" t="s" s="0">
        <v>554</v>
      </c>
      <c r="AN101" t="s" s="0">
        <v>554</v>
      </c>
      <c r="AO101" t="s" s="0">
        <v>77</v>
      </c>
      <c r="AP101" t="s" s="0">
        <v>169</v>
      </c>
      <c r="AQ101" t="s" s="0">
        <v>2595</v>
      </c>
      <c r="AR101" t="s" s="0">
        <v>2596</v>
      </c>
      <c r="AS101" t="s" s="0">
        <v>2597</v>
      </c>
      <c r="AT101" t="s" s="0">
        <v>2598</v>
      </c>
      <c r="AU101" t="s" s="0">
        <v>2599</v>
      </c>
      <c r="AV101" t="s" s="0">
        <v>81</v>
      </c>
      <c r="AW101" t="s" s="0">
        <v>2600</v>
      </c>
      <c r="AX101" t="s" s="0">
        <v>2601</v>
      </c>
      <c r="AY101" t="s" s="0">
        <v>2602</v>
      </c>
      <c r="AZ101" t="s" s="0">
        <v>110</v>
      </c>
      <c r="BA101" t="s" s="0">
        <v>2603</v>
      </c>
      <c r="BB101" t="s" s="0">
        <v>169</v>
      </c>
      <c r="BC101" t="s" s="0">
        <v>81</v>
      </c>
      <c r="BD101" t="s" s="0">
        <v>81</v>
      </c>
      <c r="BE101" t="s" s="0">
        <v>81</v>
      </c>
      <c r="BF101" t="s" s="0">
        <v>81</v>
      </c>
      <c r="BG101" t="s" s="0">
        <v>81</v>
      </c>
      <c r="BH101" t="s" s="0">
        <v>81</v>
      </c>
      <c r="BI101" t="s" s="0">
        <v>2604</v>
      </c>
      <c r="BJ101" t="s" s="0">
        <v>2605</v>
      </c>
      <c r="BK101" t="s" s="199">
        <f>HYPERLINK("http://dx.doi.org/10.1007/s00701-025-06631-3","http://dx.doi.org/10.1007/s00701-025-06631-3")</f>
        <v>2606</v>
      </c>
      <c r="BL101" t="s" s="0">
        <v>81</v>
      </c>
      <c r="BM101" t="s" s="0">
        <v>81</v>
      </c>
      <c r="BN101" t="s" s="0">
        <v>386</v>
      </c>
      <c r="BO101" t="s" s="0">
        <v>2607</v>
      </c>
      <c r="BP101" t="s" s="0">
        <v>2608</v>
      </c>
      <c r="BQ101" t="s" s="0">
        <v>2609</v>
      </c>
      <c r="BR101" t="s" s="0">
        <v>2610</v>
      </c>
      <c r="BS101" t="s" s="0">
        <v>2611</v>
      </c>
      <c r="BT101" t="s" s="200">
        <f>HYPERLINK("https://www.webofscience.com/wos/woscc/full-record/WOS:001542024200002","View Record in Web of Science")</f>
        <v>120</v>
      </c>
      <c r="BU101" t="s" s="0">
        <v>121</v>
      </c>
      <c r="BV101" t="s" s="0">
        <v>81</v>
      </c>
      <c r="BW101" t="s" s="0">
        <v>81</v>
      </c>
      <c r="BX101" t="s" s="0">
        <v>122</v>
      </c>
    </row>
    <row r="102">
      <c r="A102" t="s" s="0">
        <v>77</v>
      </c>
      <c r="B102" t="s" s="0">
        <v>77</v>
      </c>
      <c r="C102" t="s" s="0">
        <v>554</v>
      </c>
      <c r="D102" t="s" s="0">
        <v>77</v>
      </c>
      <c r="E102" t="s" s="0">
        <v>2612</v>
      </c>
      <c r="F102" t="s" s="0">
        <v>2613</v>
      </c>
      <c r="G102" t="s" s="0">
        <v>2614</v>
      </c>
      <c r="H102" t="s" s="0">
        <v>81</v>
      </c>
      <c r="I102" t="s" s="0">
        <v>82</v>
      </c>
      <c r="J102" t="s" s="0">
        <v>2615</v>
      </c>
      <c r="K102" t="s" s="0">
        <v>2616</v>
      </c>
      <c r="L102" t="s" s="0">
        <v>2586</v>
      </c>
      <c r="M102" t="s" s="0">
        <v>2587</v>
      </c>
      <c r="N102" t="s" s="0">
        <v>1622</v>
      </c>
      <c r="O102" t="s" s="0">
        <v>2617</v>
      </c>
      <c r="P102" t="s" s="0">
        <v>2618</v>
      </c>
      <c r="Q102" t="s" s="0">
        <v>90</v>
      </c>
      <c r="R102" t="s" s="0">
        <v>81</v>
      </c>
      <c r="S102" t="s" s="0">
        <v>81</v>
      </c>
      <c r="T102" t="s" s="0">
        <v>81</v>
      </c>
      <c r="U102" t="s" s="0">
        <v>81</v>
      </c>
      <c r="V102" t="s" s="0">
        <v>2619</v>
      </c>
      <c r="W102" t="s" s="0">
        <v>1228</v>
      </c>
      <c r="X102" t="s" s="0">
        <v>81</v>
      </c>
      <c r="Y102" t="s" s="0">
        <v>81</v>
      </c>
      <c r="Z102" t="s" s="0">
        <v>93</v>
      </c>
      <c r="AA102" t="s" s="0">
        <v>94</v>
      </c>
      <c r="AB102" t="s" s="0">
        <v>81</v>
      </c>
      <c r="AC102" t="s" s="0">
        <v>81</v>
      </c>
      <c r="AD102" t="s" s="0">
        <v>81</v>
      </c>
      <c r="AE102" t="s" s="0">
        <v>81</v>
      </c>
      <c r="AF102" t="s" s="0">
        <v>81</v>
      </c>
      <c r="AG102" t="s" s="0">
        <v>2620</v>
      </c>
      <c r="AH102" t="s" s="0">
        <v>81</v>
      </c>
      <c r="AI102" t="s" s="0">
        <v>2621</v>
      </c>
      <c r="AJ102" t="s" s="0">
        <v>2622</v>
      </c>
      <c r="AK102" t="s" s="0">
        <v>81</v>
      </c>
      <c r="AL102" t="s" s="0">
        <v>319</v>
      </c>
      <c r="AM102" t="s" s="0">
        <v>352</v>
      </c>
      <c r="AN102" t="s" s="0">
        <v>1232</v>
      </c>
      <c r="AO102" t="s" s="0">
        <v>320</v>
      </c>
      <c r="AP102" t="s" s="0">
        <v>797</v>
      </c>
      <c r="AQ102" t="s" s="0">
        <v>499</v>
      </c>
      <c r="AR102" t="s" s="0">
        <v>500</v>
      </c>
      <c r="AS102" t="s" s="0">
        <v>501</v>
      </c>
      <c r="AT102" t="s" s="0">
        <v>1233</v>
      </c>
      <c r="AU102" t="s" s="0">
        <v>1234</v>
      </c>
      <c r="AV102" t="s" s="0">
        <v>81</v>
      </c>
      <c r="AW102" t="s" s="0">
        <v>1235</v>
      </c>
      <c r="AX102" t="s" s="0">
        <v>1236</v>
      </c>
      <c r="AY102" t="s" s="0">
        <v>666</v>
      </c>
      <c r="AZ102" t="s" s="0">
        <v>110</v>
      </c>
      <c r="BA102" t="s" s="0">
        <v>168</v>
      </c>
      <c r="BB102" t="s" s="0">
        <v>328</v>
      </c>
      <c r="BC102" t="s" s="0">
        <v>81</v>
      </c>
      <c r="BD102" t="s" s="0">
        <v>81</v>
      </c>
      <c r="BE102" t="s" s="0">
        <v>81</v>
      </c>
      <c r="BF102" t="s" s="0">
        <v>81</v>
      </c>
      <c r="BG102" t="s" s="0">
        <v>2623</v>
      </c>
      <c r="BH102" t="s" s="0">
        <v>2624</v>
      </c>
      <c r="BI102" t="s" s="0">
        <v>81</v>
      </c>
      <c r="BJ102" t="s" s="0">
        <v>2625</v>
      </c>
      <c r="BK102" t="s" s="201">
        <f>HYPERLINK("http://dx.doi.org/10.1007/s00330-025-11484-6","http://dx.doi.org/10.1007/s00330-025-11484-6")</f>
        <v>2626</v>
      </c>
      <c r="BL102" t="s" s="0">
        <v>81</v>
      </c>
      <c r="BM102" t="s" s="0">
        <v>2627</v>
      </c>
      <c r="BN102" t="s" s="0">
        <v>360</v>
      </c>
      <c r="BO102" t="s" s="0">
        <v>182</v>
      </c>
      <c r="BP102" t="s" s="0">
        <v>182</v>
      </c>
      <c r="BQ102" t="s" s="0">
        <v>2628</v>
      </c>
      <c r="BR102" t="s" s="0">
        <v>2629</v>
      </c>
      <c r="BS102" t="s" s="0">
        <v>2630</v>
      </c>
      <c r="BT102" t="s" s="202">
        <f>HYPERLINK("https://www.webofscience.com/wos/woscc/full-record/WOS:001439071600001","View Record in Web of Science")</f>
        <v>120</v>
      </c>
      <c r="BU102" t="s" s="0">
        <v>186</v>
      </c>
      <c r="BV102" t="s" s="0">
        <v>81</v>
      </c>
      <c r="BW102" t="s" s="0">
        <v>81</v>
      </c>
      <c r="BX102" t="s" s="0">
        <v>122</v>
      </c>
    </row>
    <row r="103">
      <c r="A103" t="s" s="0">
        <v>77</v>
      </c>
      <c r="B103" t="s" s="0">
        <v>77</v>
      </c>
      <c r="C103" t="s" s="0">
        <v>169</v>
      </c>
      <c r="D103" t="s" s="0">
        <v>77</v>
      </c>
      <c r="E103" t="s" s="0">
        <v>2631</v>
      </c>
      <c r="F103" t="s" s="0">
        <v>2632</v>
      </c>
      <c r="G103" t="s" s="0">
        <v>2633</v>
      </c>
      <c r="H103" t="s" s="0">
        <v>81</v>
      </c>
      <c r="I103" t="s" s="0">
        <v>82</v>
      </c>
      <c r="J103" t="s" s="0">
        <v>2634</v>
      </c>
      <c r="K103" t="s" s="0">
        <v>2635</v>
      </c>
      <c r="L103" t="s" s="0">
        <v>2636</v>
      </c>
      <c r="M103" t="s" s="0">
        <v>2637</v>
      </c>
      <c r="N103" t="s" s="0">
        <v>81</v>
      </c>
      <c r="O103" t="s" s="0">
        <v>2638</v>
      </c>
      <c r="P103" t="s" s="0">
        <v>2639</v>
      </c>
      <c r="Q103" t="s" s="0">
        <v>90</v>
      </c>
      <c r="R103" t="s" s="0">
        <v>81</v>
      </c>
      <c r="S103" t="s" s="0">
        <v>81</v>
      </c>
      <c r="T103" t="s" s="0">
        <v>81</v>
      </c>
      <c r="U103" t="s" s="0">
        <v>81</v>
      </c>
      <c r="V103" t="s" s="0">
        <v>2640</v>
      </c>
      <c r="W103" t="s" s="0">
        <v>2461</v>
      </c>
      <c r="X103" t="s" s="0">
        <v>81</v>
      </c>
      <c r="Y103" t="s" s="0">
        <v>81</v>
      </c>
      <c r="Z103" t="s" s="0">
        <v>93</v>
      </c>
      <c r="AA103" t="s" s="0">
        <v>94</v>
      </c>
      <c r="AB103" t="s" s="0">
        <v>81</v>
      </c>
      <c r="AC103" t="s" s="0">
        <v>81</v>
      </c>
      <c r="AD103" t="s" s="0">
        <v>81</v>
      </c>
      <c r="AE103" t="s" s="0">
        <v>81</v>
      </c>
      <c r="AF103" t="s" s="0">
        <v>81</v>
      </c>
      <c r="AG103" t="s" s="0">
        <v>2641</v>
      </c>
      <c r="AH103" t="s" s="0">
        <v>81</v>
      </c>
      <c r="AI103" t="s" s="0">
        <v>2642</v>
      </c>
      <c r="AJ103" t="s" s="0">
        <v>2643</v>
      </c>
      <c r="AK103" t="s" s="0">
        <v>81</v>
      </c>
      <c r="AL103" t="s" s="0">
        <v>604</v>
      </c>
      <c r="AM103" t="s" s="0">
        <v>265</v>
      </c>
      <c r="AN103" t="s" s="0">
        <v>265</v>
      </c>
      <c r="AO103" t="s" s="0">
        <v>328</v>
      </c>
      <c r="AP103" t="s" s="0">
        <v>946</v>
      </c>
      <c r="AQ103" t="s" s="0">
        <v>137</v>
      </c>
      <c r="AR103" t="s" s="0">
        <v>138</v>
      </c>
      <c r="AS103" t="s" s="0">
        <v>139</v>
      </c>
      <c r="AT103" t="s" s="0">
        <v>81</v>
      </c>
      <c r="AU103" t="s" s="0">
        <v>2465</v>
      </c>
      <c r="AV103" t="s" s="0">
        <v>81</v>
      </c>
      <c r="AW103" t="s" s="0">
        <v>2461</v>
      </c>
      <c r="AX103" t="s" s="0">
        <v>2466</v>
      </c>
      <c r="AY103" t="s" s="0">
        <v>1256</v>
      </c>
      <c r="AZ103" t="s" s="0">
        <v>110</v>
      </c>
      <c r="BA103" t="s" s="0">
        <v>360</v>
      </c>
      <c r="BB103" t="s" s="0">
        <v>210</v>
      </c>
      <c r="BC103" t="s" s="0">
        <v>81</v>
      </c>
      <c r="BD103" t="s" s="0">
        <v>81</v>
      </c>
      <c r="BE103" t="s" s="0">
        <v>81</v>
      </c>
      <c r="BF103" t="s" s="0">
        <v>81</v>
      </c>
      <c r="BG103" t="s" s="0">
        <v>81</v>
      </c>
      <c r="BH103" t="s" s="0">
        <v>81</v>
      </c>
      <c r="BI103" t="s" s="0">
        <v>1058</v>
      </c>
      <c r="BJ103" t="s" s="0">
        <v>2644</v>
      </c>
      <c r="BK103" t="s" s="203">
        <f>HYPERLINK("http://dx.doi.org/10.3390/bioengineering12080818","http://dx.doi.org/10.3390/bioengineering12080818")</f>
        <v>2645</v>
      </c>
      <c r="BL103" t="s" s="0">
        <v>81</v>
      </c>
      <c r="BM103" t="s" s="0">
        <v>81</v>
      </c>
      <c r="BN103" t="s" s="0">
        <v>136</v>
      </c>
      <c r="BO103" t="s" s="0">
        <v>2471</v>
      </c>
      <c r="BP103" t="s" s="0">
        <v>2472</v>
      </c>
      <c r="BQ103" t="s" s="0">
        <v>2646</v>
      </c>
      <c r="BR103" t="s" s="0">
        <v>2647</v>
      </c>
      <c r="BS103" t="s" s="0">
        <v>2648</v>
      </c>
      <c r="BT103" t="s" s="204">
        <f>HYPERLINK("https://www.webofscience.com/wos/woscc/full-record/WOS:001557822400001","View Record in Web of Science")</f>
        <v>120</v>
      </c>
      <c r="BU103" t="s" s="0">
        <v>121</v>
      </c>
      <c r="BV103" t="s" s="0">
        <v>81</v>
      </c>
      <c r="BW103" t="s" s="0">
        <v>81</v>
      </c>
      <c r="BX103" t="s" s="0">
        <v>122</v>
      </c>
    </row>
    <row r="104">
      <c r="A104" t="s" s="0">
        <v>77</v>
      </c>
      <c r="B104" t="s" s="0">
        <v>77</v>
      </c>
      <c r="C104" t="s" s="0">
        <v>77</v>
      </c>
      <c r="D104" t="s" s="0">
        <v>77</v>
      </c>
      <c r="E104" t="s" s="0">
        <v>2649</v>
      </c>
      <c r="F104" t="s" s="0">
        <v>2650</v>
      </c>
      <c r="G104" t="s" s="0">
        <v>2651</v>
      </c>
      <c r="H104" t="s" s="0">
        <v>81</v>
      </c>
      <c r="I104" t="s" s="0">
        <v>218</v>
      </c>
      <c r="J104" t="s" s="0">
        <v>2652</v>
      </c>
      <c r="K104" t="s" s="0">
        <v>2653</v>
      </c>
      <c r="L104" t="s" s="0">
        <v>81</v>
      </c>
      <c r="M104" t="s" s="0">
        <v>81</v>
      </c>
      <c r="N104" t="s" s="0">
        <v>81</v>
      </c>
      <c r="O104" t="s" s="0">
        <v>2654</v>
      </c>
      <c r="P104" t="s" s="0">
        <v>2655</v>
      </c>
      <c r="Q104" t="s" s="0">
        <v>90</v>
      </c>
      <c r="R104" t="s" s="0">
        <v>81</v>
      </c>
      <c r="S104" t="s" s="0">
        <v>81</v>
      </c>
      <c r="T104" t="s" s="0">
        <v>81</v>
      </c>
      <c r="U104" t="s" s="0">
        <v>81</v>
      </c>
      <c r="V104" t="s" s="0">
        <v>2656</v>
      </c>
      <c r="W104" t="s" s="0">
        <v>1299</v>
      </c>
      <c r="X104" t="s" s="0">
        <v>81</v>
      </c>
      <c r="Y104" t="s" s="0">
        <v>81</v>
      </c>
      <c r="Z104" t="s" s="0">
        <v>93</v>
      </c>
      <c r="AA104" t="s" s="0">
        <v>94</v>
      </c>
      <c r="AB104" t="s" s="0">
        <v>81</v>
      </c>
      <c r="AC104" t="s" s="0">
        <v>81</v>
      </c>
      <c r="AD104" t="s" s="0">
        <v>81</v>
      </c>
      <c r="AE104" t="s" s="0">
        <v>81</v>
      </c>
      <c r="AF104" t="s" s="0">
        <v>81</v>
      </c>
      <c r="AG104" t="s" s="0">
        <v>2657</v>
      </c>
      <c r="AH104" t="s" s="0">
        <v>81</v>
      </c>
      <c r="AI104" t="s" s="0">
        <v>81</v>
      </c>
      <c r="AJ104" t="s" s="0">
        <v>2658</v>
      </c>
      <c r="AK104" t="s" s="0">
        <v>81</v>
      </c>
      <c r="AL104" t="s" s="0">
        <v>1580</v>
      </c>
      <c r="AM104" t="s" s="0">
        <v>77</v>
      </c>
      <c r="AN104" t="s" s="0">
        <v>77</v>
      </c>
      <c r="AO104" t="s" s="0">
        <v>77</v>
      </c>
      <c r="AP104" t="s" s="0">
        <v>77</v>
      </c>
      <c r="AQ104" t="s" s="0">
        <v>103</v>
      </c>
      <c r="AR104" t="s" s="0">
        <v>104</v>
      </c>
      <c r="AS104" t="s" s="0">
        <v>105</v>
      </c>
      <c r="AT104" t="s" s="0">
        <v>81</v>
      </c>
      <c r="AU104" t="s" s="0">
        <v>1301</v>
      </c>
      <c r="AV104" t="s" s="0">
        <v>81</v>
      </c>
      <c r="AW104" t="s" s="0">
        <v>1299</v>
      </c>
      <c r="AX104" t="s" s="0">
        <v>1299</v>
      </c>
      <c r="AY104" t="s" s="0">
        <v>144</v>
      </c>
      <c r="AZ104" t="s" s="0">
        <v>144</v>
      </c>
      <c r="BA104" t="s" s="0">
        <v>100</v>
      </c>
      <c r="BB104" t="s" s="0">
        <v>81</v>
      </c>
      <c r="BC104" t="s" s="0">
        <v>81</v>
      </c>
      <c r="BD104" t="s" s="0">
        <v>81</v>
      </c>
      <c r="BE104" t="s" s="0">
        <v>81</v>
      </c>
      <c r="BF104" t="s" s="0">
        <v>81</v>
      </c>
      <c r="BG104" t="s" s="0">
        <v>81</v>
      </c>
      <c r="BH104" t="s" s="0">
        <v>81</v>
      </c>
      <c r="BI104" t="s" s="0">
        <v>2659</v>
      </c>
      <c r="BJ104" t="s" s="0">
        <v>2660</v>
      </c>
      <c r="BK104" t="s" s="205">
        <f>HYPERLINK("http://dx.doi.org/10.2196/86864","http://dx.doi.org/10.2196/86864")</f>
        <v>2661</v>
      </c>
      <c r="BL104" t="s" s="0">
        <v>81</v>
      </c>
      <c r="BM104" t="s" s="0">
        <v>81</v>
      </c>
      <c r="BN104" t="s" s="0">
        <v>509</v>
      </c>
      <c r="BO104" t="s" s="0">
        <v>116</v>
      </c>
      <c r="BP104" t="s" s="0">
        <v>116</v>
      </c>
      <c r="BQ104" t="s" s="0">
        <v>2662</v>
      </c>
      <c r="BR104" t="s" s="0">
        <v>2663</v>
      </c>
      <c r="BS104" t="s" s="0">
        <v>2664</v>
      </c>
      <c r="BT104" t="s" s="206">
        <f>HYPERLINK("https://www.webofscience.com/wos/woscc/full-record/WOS:001828713200002","View Record in Web of Science")</f>
        <v>120</v>
      </c>
      <c r="BU104" t="s" s="0">
        <v>121</v>
      </c>
      <c r="BV104" t="s" s="0">
        <v>81</v>
      </c>
      <c r="BW104" t="s" s="0">
        <v>81</v>
      </c>
      <c r="BX104" t="s" s="0">
        <v>122</v>
      </c>
    </row>
    <row r="105">
      <c r="A105" t="s" s="0">
        <v>77</v>
      </c>
      <c r="B105" t="s" s="0">
        <v>77</v>
      </c>
      <c r="C105" t="s" s="0">
        <v>169</v>
      </c>
      <c r="D105" t="s" s="0">
        <v>77</v>
      </c>
      <c r="E105" t="s" s="0">
        <v>2665</v>
      </c>
      <c r="F105" t="s" s="0">
        <v>2666</v>
      </c>
      <c r="G105" t="s" s="0">
        <v>2667</v>
      </c>
      <c r="H105" t="s" s="0">
        <v>81</v>
      </c>
      <c r="I105" t="s" s="0">
        <v>82</v>
      </c>
      <c r="J105" t="s" s="0">
        <v>2668</v>
      </c>
      <c r="K105" t="s" s="0">
        <v>2669</v>
      </c>
      <c r="L105" t="s" s="0">
        <v>81</v>
      </c>
      <c r="M105" t="s" s="0">
        <v>81</v>
      </c>
      <c r="N105" t="s" s="0">
        <v>81</v>
      </c>
      <c r="O105" t="s" s="0">
        <v>2670</v>
      </c>
      <c r="P105" t="s" s="0">
        <v>2671</v>
      </c>
      <c r="Q105" t="s" s="0">
        <v>90</v>
      </c>
      <c r="R105" t="s" s="0">
        <v>81</v>
      </c>
      <c r="S105" t="s" s="0">
        <v>81</v>
      </c>
      <c r="T105" t="s" s="0">
        <v>81</v>
      </c>
      <c r="U105" t="s" s="0">
        <v>81</v>
      </c>
      <c r="V105" t="s" s="0">
        <v>2672</v>
      </c>
      <c r="W105" t="s" s="0">
        <v>654</v>
      </c>
      <c r="X105" t="s" s="0">
        <v>81</v>
      </c>
      <c r="Y105" t="s" s="0">
        <v>81</v>
      </c>
      <c r="Z105" t="s" s="0">
        <v>93</v>
      </c>
      <c r="AA105" t="s" s="0">
        <v>94</v>
      </c>
      <c r="AB105" t="s" s="0">
        <v>81</v>
      </c>
      <c r="AC105" t="s" s="0">
        <v>81</v>
      </c>
      <c r="AD105" t="s" s="0">
        <v>81</v>
      </c>
      <c r="AE105" t="s" s="0">
        <v>81</v>
      </c>
      <c r="AF105" t="s" s="0">
        <v>81</v>
      </c>
      <c r="AG105" t="s" s="0">
        <v>2673</v>
      </c>
      <c r="AH105" t="s" s="0">
        <v>81</v>
      </c>
      <c r="AI105" t="s" s="0">
        <v>2674</v>
      </c>
      <c r="AJ105" t="s" s="0">
        <v>2675</v>
      </c>
      <c r="AK105" t="s" s="0">
        <v>81</v>
      </c>
      <c r="AL105" t="s" s="0">
        <v>1118</v>
      </c>
      <c r="AM105" t="s" s="0">
        <v>210</v>
      </c>
      <c r="AN105" t="s" s="0">
        <v>210</v>
      </c>
      <c r="AO105" t="s" s="0">
        <v>438</v>
      </c>
      <c r="AP105" t="s" s="0">
        <v>1232</v>
      </c>
      <c r="AQ105" t="s" s="0">
        <v>659</v>
      </c>
      <c r="AR105" t="s" s="0">
        <v>660</v>
      </c>
      <c r="AS105" t="s" s="0">
        <v>661</v>
      </c>
      <c r="AT105" t="s" s="0">
        <v>662</v>
      </c>
      <c r="AU105" t="s" s="0">
        <v>663</v>
      </c>
      <c r="AV105" t="s" s="0">
        <v>81</v>
      </c>
      <c r="AW105" t="s" s="0">
        <v>664</v>
      </c>
      <c r="AX105" t="s" s="0">
        <v>665</v>
      </c>
      <c r="AY105" t="s" s="0">
        <v>177</v>
      </c>
      <c r="AZ105" t="s" s="0">
        <v>144</v>
      </c>
      <c r="BA105" t="s" s="0">
        <v>2676</v>
      </c>
      <c r="BB105" t="s" s="0">
        <v>81</v>
      </c>
      <c r="BC105" t="s" s="0">
        <v>81</v>
      </c>
      <c r="BD105" t="s" s="0">
        <v>81</v>
      </c>
      <c r="BE105" t="s" s="0">
        <v>81</v>
      </c>
      <c r="BF105" t="s" s="0">
        <v>81</v>
      </c>
      <c r="BG105" t="s" s="0">
        <v>81</v>
      </c>
      <c r="BH105" t="s" s="0">
        <v>81</v>
      </c>
      <c r="BI105" t="s" s="0">
        <v>2677</v>
      </c>
      <c r="BJ105" t="s" s="0">
        <v>2678</v>
      </c>
      <c r="BK105" t="s" s="207">
        <f>HYPERLINK("http://dx.doi.org/10.1016/j.jbi.2026.104993","http://dx.doi.org/10.1016/j.jbi.2026.104993")</f>
        <v>2679</v>
      </c>
      <c r="BL105" t="s" s="0">
        <v>81</v>
      </c>
      <c r="BM105" t="s" s="0">
        <v>2055</v>
      </c>
      <c r="BN105" t="s" s="0">
        <v>210</v>
      </c>
      <c r="BO105" t="s" s="0">
        <v>672</v>
      </c>
      <c r="BP105" t="s" s="0">
        <v>673</v>
      </c>
      <c r="BQ105" t="s" s="0">
        <v>2680</v>
      </c>
      <c r="BR105" t="s" s="0">
        <v>2681</v>
      </c>
      <c r="BS105" t="s" s="0">
        <v>2682</v>
      </c>
      <c r="BT105" t="s" s="208">
        <f>HYPERLINK("https://www.webofscience.com/wos/woscc/full-record/WOS:001679753700001","View Record in Web of Science")</f>
        <v>120</v>
      </c>
      <c r="BU105" t="s" s="0">
        <v>81</v>
      </c>
      <c r="BV105" t="s" s="0">
        <v>81</v>
      </c>
      <c r="BW105" t="s" s="0">
        <v>81</v>
      </c>
      <c r="BX105" t="s" s="0">
        <v>122</v>
      </c>
    </row>
    <row r="106">
      <c r="A106" t="s" s="0">
        <v>77</v>
      </c>
      <c r="B106" t="s" s="0">
        <v>77</v>
      </c>
      <c r="C106" t="s" s="0">
        <v>210</v>
      </c>
      <c r="D106" t="s" s="0">
        <v>77</v>
      </c>
      <c r="E106" t="s" s="0">
        <v>2683</v>
      </c>
      <c r="F106" t="s" s="0">
        <v>2684</v>
      </c>
      <c r="G106" t="s" s="0">
        <v>2685</v>
      </c>
      <c r="H106" t="s" s="0">
        <v>81</v>
      </c>
      <c r="I106" t="s" s="0">
        <v>82</v>
      </c>
      <c r="J106" t="s" s="0">
        <v>2686</v>
      </c>
      <c r="K106" t="s" s="0">
        <v>2687</v>
      </c>
      <c r="L106" t="s" s="0">
        <v>81</v>
      </c>
      <c r="M106" t="s" s="0">
        <v>81</v>
      </c>
      <c r="N106" t="s" s="0">
        <v>81</v>
      </c>
      <c r="O106" t="s" s="0">
        <v>2688</v>
      </c>
      <c r="P106" t="s" s="0">
        <v>2689</v>
      </c>
      <c r="Q106" t="s" s="0">
        <v>90</v>
      </c>
      <c r="R106" t="s" s="0">
        <v>81</v>
      </c>
      <c r="S106" t="s" s="0">
        <v>81</v>
      </c>
      <c r="T106" t="s" s="0">
        <v>81</v>
      </c>
      <c r="U106" t="s" s="0">
        <v>81</v>
      </c>
      <c r="V106" t="s" s="0">
        <v>2690</v>
      </c>
      <c r="W106" t="s" s="0">
        <v>2691</v>
      </c>
      <c r="X106" t="s" s="0">
        <v>81</v>
      </c>
      <c r="Y106" t="s" s="0">
        <v>81</v>
      </c>
      <c r="Z106" t="s" s="0">
        <v>93</v>
      </c>
      <c r="AA106" t="s" s="0">
        <v>94</v>
      </c>
      <c r="AB106" t="s" s="0">
        <v>81</v>
      </c>
      <c r="AC106" t="s" s="0">
        <v>81</v>
      </c>
      <c r="AD106" t="s" s="0">
        <v>81</v>
      </c>
      <c r="AE106" t="s" s="0">
        <v>81</v>
      </c>
      <c r="AF106" t="s" s="0">
        <v>81</v>
      </c>
      <c r="AG106" t="s" s="0">
        <v>81</v>
      </c>
      <c r="AH106" t="s" s="0">
        <v>2692</v>
      </c>
      <c r="AI106" t="s" s="0">
        <v>2693</v>
      </c>
      <c r="AJ106" t="s" s="0">
        <v>2694</v>
      </c>
      <c r="AK106" t="s" s="0">
        <v>81</v>
      </c>
      <c r="AL106" t="s" s="0">
        <v>553</v>
      </c>
      <c r="AM106" t="s" s="0">
        <v>2026</v>
      </c>
      <c r="AN106" t="s" s="0">
        <v>1543</v>
      </c>
      <c r="AO106" t="s" s="0">
        <v>101</v>
      </c>
      <c r="AP106" t="s" s="0">
        <v>445</v>
      </c>
      <c r="AQ106" t="s" s="0">
        <v>1178</v>
      </c>
      <c r="AR106" t="s" s="0">
        <v>1179</v>
      </c>
      <c r="AS106" t="s" s="0">
        <v>1180</v>
      </c>
      <c r="AT106" t="s" s="0">
        <v>2695</v>
      </c>
      <c r="AU106" t="s" s="0">
        <v>2696</v>
      </c>
      <c r="AV106" t="s" s="0">
        <v>81</v>
      </c>
      <c r="AW106" t="s" s="0">
        <v>2697</v>
      </c>
      <c r="AX106" t="s" s="0">
        <v>2698</v>
      </c>
      <c r="AY106" t="s" s="0">
        <v>2699</v>
      </c>
      <c r="AZ106" t="s" s="0">
        <v>629</v>
      </c>
      <c r="BA106" t="s" s="0">
        <v>2700</v>
      </c>
      <c r="BB106" t="s" s="0">
        <v>946</v>
      </c>
      <c r="BC106" t="s" s="0">
        <v>81</v>
      </c>
      <c r="BD106" t="s" s="0">
        <v>81</v>
      </c>
      <c r="BE106" t="s" s="0">
        <v>81</v>
      </c>
      <c r="BF106" t="s" s="0">
        <v>81</v>
      </c>
      <c r="BG106" t="s" s="0">
        <v>2701</v>
      </c>
      <c r="BH106" t="s" s="0">
        <v>2702</v>
      </c>
      <c r="BI106" t="s" s="0">
        <v>81</v>
      </c>
      <c r="BJ106" t="s" s="0">
        <v>2703</v>
      </c>
      <c r="BK106" t="s" s="209">
        <f>HYPERLINK("http://dx.doi.org/10.2106/JBJS.23.00473","http://dx.doi.org/10.2106/JBJS.23.00473")</f>
        <v>2704</v>
      </c>
      <c r="BL106" t="s" s="0">
        <v>81</v>
      </c>
      <c r="BM106" t="s" s="0">
        <v>81</v>
      </c>
      <c r="BN106" t="s" s="0">
        <v>100</v>
      </c>
      <c r="BO106" t="s" s="0">
        <v>2705</v>
      </c>
      <c r="BP106" t="s" s="0">
        <v>2705</v>
      </c>
      <c r="BQ106" t="s" s="0">
        <v>2706</v>
      </c>
      <c r="BR106" t="s" s="0">
        <v>2707</v>
      </c>
      <c r="BS106" t="s" s="0">
        <v>2708</v>
      </c>
      <c r="BT106" t="s" s="210">
        <f>HYPERLINK("https://www.webofscience.com/wos/woscc/full-record/WOS:001444262300001","View Record in Web of Science")</f>
        <v>120</v>
      </c>
      <c r="BU106" t="s" s="0">
        <v>81</v>
      </c>
      <c r="BV106" t="s" s="0">
        <v>81</v>
      </c>
      <c r="BW106" t="s" s="0">
        <v>81</v>
      </c>
      <c r="BX106" t="s" s="0">
        <v>122</v>
      </c>
    </row>
    <row r="107">
      <c r="A107" t="s" s="0">
        <v>77</v>
      </c>
      <c r="B107" t="s" s="0">
        <v>77</v>
      </c>
      <c r="C107" t="s" s="0">
        <v>77</v>
      </c>
      <c r="D107" t="s" s="0">
        <v>77</v>
      </c>
      <c r="E107" t="s" s="0">
        <v>2709</v>
      </c>
      <c r="F107" t="s" s="0">
        <v>2710</v>
      </c>
      <c r="G107" t="s" s="0">
        <v>2711</v>
      </c>
      <c r="H107" t="s" s="0">
        <v>81</v>
      </c>
      <c r="I107" t="s" s="0">
        <v>82</v>
      </c>
      <c r="J107" t="s" s="0">
        <v>2712</v>
      </c>
      <c r="K107" t="s" s="0">
        <v>2713</v>
      </c>
      <c r="L107" t="s" s="0">
        <v>81</v>
      </c>
      <c r="M107" t="s" s="0">
        <v>81</v>
      </c>
      <c r="N107" t="s" s="0">
        <v>81</v>
      </c>
      <c r="O107" t="s" s="0">
        <v>2714</v>
      </c>
      <c r="P107" t="s" s="0">
        <v>2715</v>
      </c>
      <c r="Q107" t="s" s="0">
        <v>90</v>
      </c>
      <c r="R107" t="s" s="0">
        <v>81</v>
      </c>
      <c r="S107" t="s" s="0">
        <v>81</v>
      </c>
      <c r="T107" t="s" s="0">
        <v>81</v>
      </c>
      <c r="U107" t="s" s="0">
        <v>81</v>
      </c>
      <c r="V107" t="s" s="0">
        <v>2716</v>
      </c>
      <c r="W107" t="s" s="0">
        <v>2717</v>
      </c>
      <c r="X107" t="s" s="0">
        <v>81</v>
      </c>
      <c r="Y107" t="s" s="0">
        <v>81</v>
      </c>
      <c r="Z107" t="s" s="0">
        <v>93</v>
      </c>
      <c r="AA107" t="s" s="0">
        <v>196</v>
      </c>
      <c r="AB107" t="s" s="0">
        <v>81</v>
      </c>
      <c r="AC107" t="s" s="0">
        <v>81</v>
      </c>
      <c r="AD107" t="s" s="0">
        <v>81</v>
      </c>
      <c r="AE107" t="s" s="0">
        <v>81</v>
      </c>
      <c r="AF107" t="s" s="0">
        <v>81</v>
      </c>
      <c r="AG107" t="s" s="0">
        <v>2718</v>
      </c>
      <c r="AH107" t="s" s="0">
        <v>81</v>
      </c>
      <c r="AI107" t="s" s="0">
        <v>81</v>
      </c>
      <c r="AJ107" t="s" s="0">
        <v>81</v>
      </c>
      <c r="AK107" t="s" s="0">
        <v>81</v>
      </c>
      <c r="AL107" t="s" s="0">
        <v>136</v>
      </c>
      <c r="AM107" t="s" s="0">
        <v>77</v>
      </c>
      <c r="AN107" t="s" s="0">
        <v>77</v>
      </c>
      <c r="AO107" t="s" s="0">
        <v>169</v>
      </c>
      <c r="AP107" t="s" s="0">
        <v>169</v>
      </c>
      <c r="AQ107" t="s" s="0">
        <v>1544</v>
      </c>
      <c r="AR107" t="s" s="0">
        <v>1545</v>
      </c>
      <c r="AS107" t="s" s="0">
        <v>1546</v>
      </c>
      <c r="AT107" t="s" s="0">
        <v>2719</v>
      </c>
      <c r="AU107" t="s" s="0">
        <v>2720</v>
      </c>
      <c r="AV107" t="s" s="0">
        <v>81</v>
      </c>
      <c r="AW107" t="s" s="0">
        <v>2721</v>
      </c>
      <c r="AX107" t="s" s="0">
        <v>2722</v>
      </c>
      <c r="AY107" t="s" s="0">
        <v>81</v>
      </c>
      <c r="AZ107" t="s" s="0">
        <v>144</v>
      </c>
      <c r="BA107" t="s" s="0">
        <v>81</v>
      </c>
      <c r="BB107" t="s" s="0">
        <v>81</v>
      </c>
      <c r="BC107" t="s" s="0">
        <v>81</v>
      </c>
      <c r="BD107" t="s" s="0">
        <v>81</v>
      </c>
      <c r="BE107" t="s" s="0">
        <v>81</v>
      </c>
      <c r="BF107" t="s" s="0">
        <v>81</v>
      </c>
      <c r="BG107" t="s" s="0">
        <v>81</v>
      </c>
      <c r="BH107" t="s" s="0">
        <v>81</v>
      </c>
      <c r="BI107" t="s" s="0">
        <v>81</v>
      </c>
      <c r="BJ107" t="s" s="0">
        <v>2723</v>
      </c>
      <c r="BK107" t="s" s="211">
        <f>HYPERLINK("http://dx.doi.org/10.1002/cyto.b.70051","http://dx.doi.org/10.1002/cyto.b.70051")</f>
        <v>2724</v>
      </c>
      <c r="BL107" t="s" s="0">
        <v>81</v>
      </c>
      <c r="BM107" t="s" s="0">
        <v>143</v>
      </c>
      <c r="BN107" t="s" s="0">
        <v>328</v>
      </c>
      <c r="BO107" t="s" s="0">
        <v>2725</v>
      </c>
      <c r="BP107" t="s" s="0">
        <v>2725</v>
      </c>
      <c r="BQ107" t="s" s="0">
        <v>2726</v>
      </c>
      <c r="BR107" t="s" s="0">
        <v>2727</v>
      </c>
      <c r="BS107" t="s" s="0">
        <v>2728</v>
      </c>
      <c r="BT107" t="s" s="212">
        <f>HYPERLINK("https://www.webofscience.com/wos/woscc/full-record/WOS:001815780000001","View Record in Web of Science")</f>
        <v>120</v>
      </c>
      <c r="BU107" t="s" s="0">
        <v>81</v>
      </c>
      <c r="BV107" t="s" s="0">
        <v>81</v>
      </c>
      <c r="BW107" t="s" s="0">
        <v>81</v>
      </c>
      <c r="BX107" t="s" s="0">
        <v>122</v>
      </c>
    </row>
    <row r="108">
      <c r="A108" t="s" s="0">
        <v>77</v>
      </c>
      <c r="B108" t="s" s="0">
        <v>77</v>
      </c>
      <c r="C108" t="s" s="0">
        <v>77</v>
      </c>
      <c r="D108" t="s" s="0">
        <v>77</v>
      </c>
      <c r="E108" t="s" s="0">
        <v>2729</v>
      </c>
      <c r="F108" t="s" s="0">
        <v>2730</v>
      </c>
      <c r="G108" t="s" s="0">
        <v>2731</v>
      </c>
      <c r="H108" t="s" s="0">
        <v>81</v>
      </c>
      <c r="I108" t="s" s="0">
        <v>82</v>
      </c>
      <c r="J108" t="s" s="0">
        <v>2732</v>
      </c>
      <c r="K108" t="s" s="0">
        <v>2733</v>
      </c>
      <c r="L108" t="s" s="0">
        <v>81</v>
      </c>
      <c r="M108" t="s" s="0">
        <v>81</v>
      </c>
      <c r="N108" t="s" s="0">
        <v>81</v>
      </c>
      <c r="O108" t="s" s="0">
        <v>2734</v>
      </c>
      <c r="P108" t="s" s="0">
        <v>2735</v>
      </c>
      <c r="Q108" t="s" s="0">
        <v>90</v>
      </c>
      <c r="R108" t="s" s="0">
        <v>81</v>
      </c>
      <c r="S108" t="s" s="0">
        <v>81</v>
      </c>
      <c r="T108" t="s" s="0">
        <v>81</v>
      </c>
      <c r="U108" t="s" s="0">
        <v>81</v>
      </c>
      <c r="V108" t="s" s="0">
        <v>2736</v>
      </c>
      <c r="W108" t="s" s="0">
        <v>2737</v>
      </c>
      <c r="X108" t="s" s="0">
        <v>81</v>
      </c>
      <c r="Y108" t="s" s="0">
        <v>81</v>
      </c>
      <c r="Z108" t="s" s="0">
        <v>93</v>
      </c>
      <c r="AA108" t="s" s="0">
        <v>94</v>
      </c>
      <c r="AB108" t="s" s="0">
        <v>81</v>
      </c>
      <c r="AC108" t="s" s="0">
        <v>81</v>
      </c>
      <c r="AD108" t="s" s="0">
        <v>81</v>
      </c>
      <c r="AE108" t="s" s="0">
        <v>81</v>
      </c>
      <c r="AF108" t="s" s="0">
        <v>81</v>
      </c>
      <c r="AG108" t="s" s="0">
        <v>2738</v>
      </c>
      <c r="AH108" t="s" s="0">
        <v>81</v>
      </c>
      <c r="AI108" t="s" s="0">
        <v>2739</v>
      </c>
      <c r="AJ108" t="s" s="0">
        <v>81</v>
      </c>
      <c r="AK108" t="s" s="0">
        <v>81</v>
      </c>
      <c r="AL108" t="s" s="0">
        <v>637</v>
      </c>
      <c r="AM108" t="s" s="0">
        <v>77</v>
      </c>
      <c r="AN108" t="s" s="0">
        <v>77</v>
      </c>
      <c r="AO108" t="s" s="0">
        <v>77</v>
      </c>
      <c r="AP108" t="s" s="0">
        <v>77</v>
      </c>
      <c r="AQ108" t="s" s="0">
        <v>527</v>
      </c>
      <c r="AR108" t="s" s="0">
        <v>528</v>
      </c>
      <c r="AS108" t="s" s="0">
        <v>529</v>
      </c>
      <c r="AT108" t="s" s="0">
        <v>2740</v>
      </c>
      <c r="AU108" t="s" s="0">
        <v>2741</v>
      </c>
      <c r="AV108" t="s" s="0">
        <v>81</v>
      </c>
      <c r="AW108" t="s" s="0">
        <v>2742</v>
      </c>
      <c r="AX108" t="s" s="0">
        <v>2743</v>
      </c>
      <c r="AY108" t="s" s="0">
        <v>295</v>
      </c>
      <c r="AZ108" t="s" s="0">
        <v>144</v>
      </c>
      <c r="BA108" t="s" s="0">
        <v>2744</v>
      </c>
      <c r="BB108" t="s" s="0">
        <v>101</v>
      </c>
      <c r="BC108" t="s" s="0">
        <v>81</v>
      </c>
      <c r="BD108" t="s" s="0">
        <v>81</v>
      </c>
      <c r="BE108" t="s" s="0">
        <v>81</v>
      </c>
      <c r="BF108" t="s" s="0">
        <v>81</v>
      </c>
      <c r="BG108" t="s" s="0">
        <v>2745</v>
      </c>
      <c r="BH108" t="s" s="0">
        <v>2746</v>
      </c>
      <c r="BI108" t="s" s="0">
        <v>81</v>
      </c>
      <c r="BJ108" t="s" s="0">
        <v>2747</v>
      </c>
      <c r="BK108" t="s" s="213">
        <f>HYPERLINK("http://dx.doi.org/10.1093/jrr/rrag019","http://dx.doi.org/10.1093/jrr/rrag019")</f>
        <v>2748</v>
      </c>
      <c r="BL108" t="s" s="0">
        <v>81</v>
      </c>
      <c r="BM108" t="s" s="0">
        <v>295</v>
      </c>
      <c r="BN108" t="s" s="0">
        <v>102</v>
      </c>
      <c r="BO108" t="s" s="0">
        <v>2749</v>
      </c>
      <c r="BP108" t="s" s="0">
        <v>2750</v>
      </c>
      <c r="BQ108" t="s" s="0">
        <v>2751</v>
      </c>
      <c r="BR108" t="s" s="0">
        <v>2752</v>
      </c>
      <c r="BS108" t="s" s="0">
        <v>2753</v>
      </c>
      <c r="BT108" t="s" s="214">
        <f>HYPERLINK("https://www.webofscience.com/wos/woscc/full-record/WOS:001759757800001","View Record in Web of Science")</f>
        <v>120</v>
      </c>
      <c r="BU108" t="s" s="0">
        <v>121</v>
      </c>
      <c r="BV108" t="s" s="0">
        <v>81</v>
      </c>
      <c r="BW108" t="s" s="0">
        <v>81</v>
      </c>
      <c r="BX108" t="s" s="0">
        <v>122</v>
      </c>
    </row>
    <row r="109">
      <c r="A109" t="s" s="0">
        <v>77</v>
      </c>
      <c r="B109" t="s" s="0">
        <v>77</v>
      </c>
      <c r="C109" t="s" s="0">
        <v>77</v>
      </c>
      <c r="D109" t="s" s="0">
        <v>77</v>
      </c>
      <c r="E109" t="s" s="0">
        <v>2754</v>
      </c>
      <c r="F109" t="s" s="0">
        <v>2755</v>
      </c>
      <c r="G109" t="s" s="0">
        <v>2756</v>
      </c>
      <c r="H109" t="s" s="0">
        <v>81</v>
      </c>
      <c r="I109" t="s" s="0">
        <v>218</v>
      </c>
      <c r="J109" t="s" s="0">
        <v>2757</v>
      </c>
      <c r="K109" t="s" s="0">
        <v>2758</v>
      </c>
      <c r="L109" t="s" s="0">
        <v>81</v>
      </c>
      <c r="M109" t="s" s="0">
        <v>81</v>
      </c>
      <c r="N109" t="s" s="0">
        <v>81</v>
      </c>
      <c r="O109" t="s" s="0">
        <v>2759</v>
      </c>
      <c r="P109" t="s" s="0">
        <v>81</v>
      </c>
      <c r="Q109" t="s" s="0">
        <v>90</v>
      </c>
      <c r="R109" t="s" s="0">
        <v>81</v>
      </c>
      <c r="S109" t="s" s="0">
        <v>81</v>
      </c>
      <c r="T109" t="s" s="0">
        <v>81</v>
      </c>
      <c r="U109" t="s" s="0">
        <v>81</v>
      </c>
      <c r="V109" t="s" s="0">
        <v>2760</v>
      </c>
      <c r="W109" t="s" s="0">
        <v>1020</v>
      </c>
      <c r="X109" t="s" s="0">
        <v>81</v>
      </c>
      <c r="Y109" t="s" s="0">
        <v>81</v>
      </c>
      <c r="Z109" t="s" s="0">
        <v>93</v>
      </c>
      <c r="AA109" t="s" s="0">
        <v>94</v>
      </c>
      <c r="AB109" t="s" s="0">
        <v>81</v>
      </c>
      <c r="AC109" t="s" s="0">
        <v>81</v>
      </c>
      <c r="AD109" t="s" s="0">
        <v>81</v>
      </c>
      <c r="AE109" t="s" s="0">
        <v>81</v>
      </c>
      <c r="AF109" t="s" s="0">
        <v>81</v>
      </c>
      <c r="AG109" t="s" s="0">
        <v>2761</v>
      </c>
      <c r="AH109" t="s" s="0">
        <v>81</v>
      </c>
      <c r="AI109" t="s" s="0">
        <v>2762</v>
      </c>
      <c r="AJ109" t="s" s="0">
        <v>2763</v>
      </c>
      <c r="AK109" t="s" s="0">
        <v>81</v>
      </c>
      <c r="AL109" t="s" s="0">
        <v>1232</v>
      </c>
      <c r="AM109" t="s" s="0">
        <v>77</v>
      </c>
      <c r="AN109" t="s" s="0">
        <v>169</v>
      </c>
      <c r="AO109" t="s" s="0">
        <v>169</v>
      </c>
      <c r="AP109" t="s" s="0">
        <v>169</v>
      </c>
      <c r="AQ109" t="s" s="0">
        <v>353</v>
      </c>
      <c r="AR109" t="s" s="0">
        <v>354</v>
      </c>
      <c r="AS109" t="s" s="0">
        <v>355</v>
      </c>
      <c r="AT109" t="s" s="0">
        <v>81</v>
      </c>
      <c r="AU109" t="s" s="0">
        <v>1025</v>
      </c>
      <c r="AV109" t="s" s="0">
        <v>81</v>
      </c>
      <c r="AW109" t="s" s="0">
        <v>1026</v>
      </c>
      <c r="AX109" t="s" s="0">
        <v>1027</v>
      </c>
      <c r="AY109" t="s" s="0">
        <v>2764</v>
      </c>
      <c r="AZ109" t="s" s="0">
        <v>144</v>
      </c>
      <c r="BA109" t="s" s="0">
        <v>210</v>
      </c>
      <c r="BB109" t="s" s="0">
        <v>81</v>
      </c>
      <c r="BC109" t="s" s="0">
        <v>81</v>
      </c>
      <c r="BD109" t="s" s="0">
        <v>81</v>
      </c>
      <c r="BE109" t="s" s="0">
        <v>81</v>
      </c>
      <c r="BF109" t="s" s="0">
        <v>81</v>
      </c>
      <c r="BG109" t="s" s="0">
        <v>81</v>
      </c>
      <c r="BH109" t="s" s="0">
        <v>81</v>
      </c>
      <c r="BI109" t="s" s="0">
        <v>2765</v>
      </c>
      <c r="BJ109" t="s" s="0">
        <v>2766</v>
      </c>
      <c r="BK109" t="s" s="215">
        <f>HYPERLINK("http://dx.doi.org/10.3389/fdgth.2026.1761601","http://dx.doi.org/10.3389/fdgth.2026.1761601")</f>
        <v>2767</v>
      </c>
      <c r="BL109" t="s" s="0">
        <v>81</v>
      </c>
      <c r="BM109" t="s" s="0">
        <v>81</v>
      </c>
      <c r="BN109" t="s" s="0">
        <v>102</v>
      </c>
      <c r="BO109" t="s" s="0">
        <v>116</v>
      </c>
      <c r="BP109" t="s" s="0">
        <v>116</v>
      </c>
      <c r="BQ109" t="s" s="0">
        <v>2768</v>
      </c>
      <c r="BR109" t="s" s="0">
        <v>2769</v>
      </c>
      <c r="BS109" t="s" s="0">
        <v>2770</v>
      </c>
      <c r="BT109" t="s" s="216">
        <f>HYPERLINK("https://www.webofscience.com/wos/woscc/full-record/WOS:001715836100001","View Record in Web of Science")</f>
        <v>120</v>
      </c>
      <c r="BU109" t="s" s="0">
        <v>121</v>
      </c>
      <c r="BV109" t="s" s="0">
        <v>81</v>
      </c>
      <c r="BW109" t="s" s="0">
        <v>81</v>
      </c>
      <c r="BX109" t="s" s="0">
        <v>122</v>
      </c>
    </row>
    <row r="110">
      <c r="A110" t="s" s="0">
        <v>77</v>
      </c>
      <c r="B110" t="s" s="0">
        <v>77</v>
      </c>
      <c r="C110" t="s" s="0">
        <v>101</v>
      </c>
      <c r="D110" t="s" s="0">
        <v>77</v>
      </c>
      <c r="E110" t="s" s="0">
        <v>2771</v>
      </c>
      <c r="F110" t="s" s="0">
        <v>2772</v>
      </c>
      <c r="G110" t="s" s="0">
        <v>2773</v>
      </c>
      <c r="H110" t="s" s="0">
        <v>81</v>
      </c>
      <c r="I110" t="s" s="0">
        <v>82</v>
      </c>
      <c r="J110" t="s" s="0">
        <v>2774</v>
      </c>
      <c r="K110" t="s" s="0">
        <v>2775</v>
      </c>
      <c r="L110" t="s" s="0">
        <v>2776</v>
      </c>
      <c r="M110" t="s" s="0">
        <v>2777</v>
      </c>
      <c r="N110" t="s" s="0">
        <v>2778</v>
      </c>
      <c r="O110" t="s" s="0">
        <v>2779</v>
      </c>
      <c r="P110" t="s" s="0">
        <v>2780</v>
      </c>
      <c r="Q110" t="s" s="0">
        <v>90</v>
      </c>
      <c r="R110" t="s" s="0">
        <v>81</v>
      </c>
      <c r="S110" t="s" s="0">
        <v>81</v>
      </c>
      <c r="T110" t="s" s="0">
        <v>81</v>
      </c>
      <c r="U110" t="s" s="0">
        <v>81</v>
      </c>
      <c r="V110" t="s" s="0">
        <v>2781</v>
      </c>
      <c r="W110" t="s" s="0">
        <v>2782</v>
      </c>
      <c r="X110" t="s" s="0">
        <v>81</v>
      </c>
      <c r="Y110" t="s" s="0">
        <v>81</v>
      </c>
      <c r="Z110" t="s" s="0">
        <v>93</v>
      </c>
      <c r="AA110" t="s" s="0">
        <v>196</v>
      </c>
      <c r="AB110" t="s" s="0">
        <v>81</v>
      </c>
      <c r="AC110" t="s" s="0">
        <v>81</v>
      </c>
      <c r="AD110" t="s" s="0">
        <v>81</v>
      </c>
      <c r="AE110" t="s" s="0">
        <v>81</v>
      </c>
      <c r="AF110" t="s" s="0">
        <v>81</v>
      </c>
      <c r="AG110" t="s" s="0">
        <v>2783</v>
      </c>
      <c r="AH110" t="s" s="0">
        <v>2784</v>
      </c>
      <c r="AI110" t="s" s="0">
        <v>2785</v>
      </c>
      <c r="AJ110" t="s" s="0">
        <v>2786</v>
      </c>
      <c r="AK110" t="s" s="0">
        <v>81</v>
      </c>
      <c r="AL110" t="s" s="0">
        <v>583</v>
      </c>
      <c r="AM110" t="s" s="0">
        <v>115</v>
      </c>
      <c r="AN110" t="s" s="0">
        <v>115</v>
      </c>
      <c r="AO110" t="s" s="0">
        <v>169</v>
      </c>
      <c r="AP110" t="s" s="0">
        <v>438</v>
      </c>
      <c r="AQ110" t="s" s="0">
        <v>2787</v>
      </c>
      <c r="AR110" t="s" s="0">
        <v>2788</v>
      </c>
      <c r="AS110" t="s" s="0">
        <v>2789</v>
      </c>
      <c r="AT110" t="s" s="0">
        <v>2790</v>
      </c>
      <c r="AU110" t="s" s="0">
        <v>2791</v>
      </c>
      <c r="AV110" t="s" s="0">
        <v>81</v>
      </c>
      <c r="AW110" t="s" s="0">
        <v>2792</v>
      </c>
      <c r="AX110" t="s" s="0">
        <v>2793</v>
      </c>
      <c r="AY110" t="s" s="0">
        <v>81</v>
      </c>
      <c r="AZ110" t="s" s="0">
        <v>110</v>
      </c>
      <c r="BA110" t="s" s="0">
        <v>81</v>
      </c>
      <c r="BB110" t="s" s="0">
        <v>81</v>
      </c>
      <c r="BC110" t="s" s="0">
        <v>81</v>
      </c>
      <c r="BD110" t="s" s="0">
        <v>81</v>
      </c>
      <c r="BE110" t="s" s="0">
        <v>81</v>
      </c>
      <c r="BF110" t="s" s="0">
        <v>81</v>
      </c>
      <c r="BG110" t="s" s="0">
        <v>81</v>
      </c>
      <c r="BH110" t="s" s="0">
        <v>81</v>
      </c>
      <c r="BI110" t="s" s="0">
        <v>81</v>
      </c>
      <c r="BJ110" t="s" s="0">
        <v>2794</v>
      </c>
      <c r="BK110" t="s" s="217">
        <f>HYPERLINK("http://dx.doi.org/10.1007/s40123-025-01105-2","http://dx.doi.org/10.1007/s40123-025-01105-2")</f>
        <v>2795</v>
      </c>
      <c r="BL110" t="s" s="0">
        <v>81</v>
      </c>
      <c r="BM110" t="s" s="0">
        <v>1357</v>
      </c>
      <c r="BN110" t="s" s="0">
        <v>360</v>
      </c>
      <c r="BO110" t="s" s="0">
        <v>211</v>
      </c>
      <c r="BP110" t="s" s="0">
        <v>211</v>
      </c>
      <c r="BQ110" t="s" s="0">
        <v>2796</v>
      </c>
      <c r="BR110" t="s" s="0">
        <v>2797</v>
      </c>
      <c r="BS110" t="s" s="0">
        <v>2798</v>
      </c>
      <c r="BT110" t="s" s="218">
        <f>HYPERLINK("https://www.webofscience.com/wos/woscc/full-record/WOS:001428540500001","View Record in Web of Science")</f>
        <v>120</v>
      </c>
      <c r="BU110" t="s" s="0">
        <v>121</v>
      </c>
      <c r="BV110" t="s" s="0">
        <v>81</v>
      </c>
      <c r="BW110" t="s" s="0">
        <v>81</v>
      </c>
      <c r="BX110" t="s" s="0">
        <v>122</v>
      </c>
    </row>
    <row r="111">
      <c r="A111" t="s" s="0">
        <v>169</v>
      </c>
      <c r="B111" t="s" s="0">
        <v>77</v>
      </c>
      <c r="C111" t="s" s="0">
        <v>145</v>
      </c>
      <c r="D111" t="s" s="0">
        <v>77</v>
      </c>
      <c r="E111" t="s" s="0">
        <v>2799</v>
      </c>
      <c r="F111" t="s" s="0">
        <v>2800</v>
      </c>
      <c r="G111" t="s" s="0">
        <v>2801</v>
      </c>
      <c r="H111" t="s" s="0">
        <v>81</v>
      </c>
      <c r="I111" t="s" s="0">
        <v>218</v>
      </c>
      <c r="J111" t="s" s="0">
        <v>2802</v>
      </c>
      <c r="K111" t="s" s="0">
        <v>2803</v>
      </c>
      <c r="L111" t="s" s="0">
        <v>81</v>
      </c>
      <c r="M111" t="s" s="0">
        <v>81</v>
      </c>
      <c r="N111" t="s" s="0">
        <v>81</v>
      </c>
      <c r="O111" t="s" s="0">
        <v>2804</v>
      </c>
      <c r="P111" t="s" s="0">
        <v>2805</v>
      </c>
      <c r="Q111" t="s" s="0">
        <v>90</v>
      </c>
      <c r="R111" t="s" s="0">
        <v>81</v>
      </c>
      <c r="S111" t="s" s="0">
        <v>81</v>
      </c>
      <c r="T111" t="s" s="0">
        <v>81</v>
      </c>
      <c r="U111" t="s" s="0">
        <v>81</v>
      </c>
      <c r="V111" t="s" s="0">
        <v>2806</v>
      </c>
      <c r="W111" t="s" s="0">
        <v>2807</v>
      </c>
      <c r="X111" t="s" s="0">
        <v>81</v>
      </c>
      <c r="Y111" t="s" s="0">
        <v>81</v>
      </c>
      <c r="Z111" t="s" s="0">
        <v>93</v>
      </c>
      <c r="AA111" t="s" s="0">
        <v>94</v>
      </c>
      <c r="AB111" t="s" s="0">
        <v>81</v>
      </c>
      <c r="AC111" t="s" s="0">
        <v>81</v>
      </c>
      <c r="AD111" t="s" s="0">
        <v>81</v>
      </c>
      <c r="AE111" t="s" s="0">
        <v>81</v>
      </c>
      <c r="AF111" t="s" s="0">
        <v>81</v>
      </c>
      <c r="AG111" t="s" s="0">
        <v>2808</v>
      </c>
      <c r="AH111" t="s" s="0">
        <v>81</v>
      </c>
      <c r="AI111" t="s" s="0">
        <v>2809</v>
      </c>
      <c r="AJ111" t="s" s="0">
        <v>2810</v>
      </c>
      <c r="AK111" t="s" s="0">
        <v>81</v>
      </c>
      <c r="AL111" t="s" s="0">
        <v>1232</v>
      </c>
      <c r="AM111" t="s" s="0">
        <v>2811</v>
      </c>
      <c r="AN111" t="s" s="0">
        <v>2812</v>
      </c>
      <c r="AO111" t="s" s="0">
        <v>386</v>
      </c>
      <c r="AP111" t="s" s="0">
        <v>199</v>
      </c>
      <c r="AQ111" t="s" s="0">
        <v>103</v>
      </c>
      <c r="AR111" t="s" s="0">
        <v>104</v>
      </c>
      <c r="AS111" t="s" s="0">
        <v>105</v>
      </c>
      <c r="AT111" t="s" s="0">
        <v>2813</v>
      </c>
      <c r="AU111" t="s" s="0">
        <v>81</v>
      </c>
      <c r="AV111" t="s" s="0">
        <v>81</v>
      </c>
      <c r="AW111" t="s" s="0">
        <v>2814</v>
      </c>
      <c r="AX111" t="s" s="0">
        <v>2815</v>
      </c>
      <c r="AY111" t="s" s="0">
        <v>110</v>
      </c>
      <c r="AZ111" t="s" s="0">
        <v>110</v>
      </c>
      <c r="BA111" t="s" s="0">
        <v>509</v>
      </c>
      <c r="BB111" t="s" s="0">
        <v>81</v>
      </c>
      <c r="BC111" t="s" s="0">
        <v>81</v>
      </c>
      <c r="BD111" t="s" s="0">
        <v>81</v>
      </c>
      <c r="BE111" t="s" s="0">
        <v>81</v>
      </c>
      <c r="BF111" t="s" s="0">
        <v>81</v>
      </c>
      <c r="BG111" t="s" s="0">
        <v>81</v>
      </c>
      <c r="BH111" t="s" s="0">
        <v>81</v>
      </c>
      <c r="BI111" t="s" s="0">
        <v>2816</v>
      </c>
      <c r="BJ111" t="s" s="0">
        <v>2817</v>
      </c>
      <c r="BK111" t="s" s="219">
        <f>HYPERLINK("http://dx.doi.org/10.2196/59823","http://dx.doi.org/10.2196/59823")</f>
        <v>2818</v>
      </c>
      <c r="BL111" t="s" s="0">
        <v>81</v>
      </c>
      <c r="BM111" t="s" s="0">
        <v>81</v>
      </c>
      <c r="BN111" t="s" s="0">
        <v>386</v>
      </c>
      <c r="BO111" t="s" s="0">
        <v>2819</v>
      </c>
      <c r="BP111" t="s" s="0">
        <v>2820</v>
      </c>
      <c r="BQ111" t="s" s="0">
        <v>2821</v>
      </c>
      <c r="BR111" t="s" s="0">
        <v>2822</v>
      </c>
      <c r="BS111" t="s" s="0">
        <v>2823</v>
      </c>
      <c r="BT111" t="s" s="220">
        <f>HYPERLINK("https://www.webofscience.com/wos/woscc/full-record/WOS:001415529800001","View Record in Web of Science")</f>
        <v>120</v>
      </c>
      <c r="BU111" t="s" s="0">
        <v>121</v>
      </c>
      <c r="BV111" t="s" s="0">
        <v>81</v>
      </c>
      <c r="BW111" t="s" s="0">
        <v>81</v>
      </c>
      <c r="BX111" t="s" s="0">
        <v>122</v>
      </c>
    </row>
    <row r="112">
      <c r="A112" t="s" s="0">
        <v>77</v>
      </c>
      <c r="B112" t="s" s="0">
        <v>77</v>
      </c>
      <c r="C112" t="s" s="0">
        <v>77</v>
      </c>
      <c r="D112" t="s" s="0">
        <v>77</v>
      </c>
      <c r="E112" t="s" s="0">
        <v>2824</v>
      </c>
      <c r="F112" t="s" s="0">
        <v>2825</v>
      </c>
      <c r="G112" t="s" s="0">
        <v>2826</v>
      </c>
      <c r="H112" t="s" s="0">
        <v>81</v>
      </c>
      <c r="I112" t="s" s="0">
        <v>218</v>
      </c>
      <c r="J112" t="s" s="0">
        <v>2827</v>
      </c>
      <c r="K112" t="s" s="0">
        <v>2828</v>
      </c>
      <c r="L112" t="s" s="0">
        <v>81</v>
      </c>
      <c r="M112" t="s" s="0">
        <v>81</v>
      </c>
      <c r="N112" t="s" s="0">
        <v>81</v>
      </c>
      <c r="O112" t="s" s="0">
        <v>2829</v>
      </c>
      <c r="P112" t="s" s="0">
        <v>2830</v>
      </c>
      <c r="Q112" t="s" s="0">
        <v>90</v>
      </c>
      <c r="R112" t="s" s="0">
        <v>81</v>
      </c>
      <c r="S112" t="s" s="0">
        <v>81</v>
      </c>
      <c r="T112" t="s" s="0">
        <v>81</v>
      </c>
      <c r="U112" t="s" s="0">
        <v>81</v>
      </c>
      <c r="V112" t="s" s="0">
        <v>2831</v>
      </c>
      <c r="W112" t="s" s="0">
        <v>2832</v>
      </c>
      <c r="X112" t="s" s="0">
        <v>81</v>
      </c>
      <c r="Y112" t="s" s="0">
        <v>81</v>
      </c>
      <c r="Z112" t="s" s="0">
        <v>93</v>
      </c>
      <c r="AA112" t="s" s="0">
        <v>94</v>
      </c>
      <c r="AB112" t="s" s="0">
        <v>81</v>
      </c>
      <c r="AC112" t="s" s="0">
        <v>81</v>
      </c>
      <c r="AD112" t="s" s="0">
        <v>81</v>
      </c>
      <c r="AE112" t="s" s="0">
        <v>81</v>
      </c>
      <c r="AF112" t="s" s="0">
        <v>81</v>
      </c>
      <c r="AG112" t="s" s="0">
        <v>2833</v>
      </c>
      <c r="AH112" t="s" s="0">
        <v>81</v>
      </c>
      <c r="AI112" t="s" s="0">
        <v>2834</v>
      </c>
      <c r="AJ112" t="s" s="0">
        <v>2835</v>
      </c>
      <c r="AK112" t="s" s="0">
        <v>81</v>
      </c>
      <c r="AL112" t="s" s="0">
        <v>319</v>
      </c>
      <c r="AM112" t="s" s="0">
        <v>99</v>
      </c>
      <c r="AN112" t="s" s="0">
        <v>99</v>
      </c>
      <c r="AO112" t="s" s="0">
        <v>100</v>
      </c>
      <c r="AP112" t="s" s="0">
        <v>452</v>
      </c>
      <c r="AQ112" t="s" s="0">
        <v>137</v>
      </c>
      <c r="AR112" t="s" s="0">
        <v>138</v>
      </c>
      <c r="AS112" t="s" s="0">
        <v>139</v>
      </c>
      <c r="AT112" t="s" s="0">
        <v>81</v>
      </c>
      <c r="AU112" t="s" s="0">
        <v>2836</v>
      </c>
      <c r="AV112" t="s" s="0">
        <v>81</v>
      </c>
      <c r="AW112" t="s" s="0">
        <v>2837</v>
      </c>
      <c r="AX112" t="s" s="0">
        <v>2838</v>
      </c>
      <c r="AY112" t="s" s="0">
        <v>2839</v>
      </c>
      <c r="AZ112" t="s" s="0">
        <v>110</v>
      </c>
      <c r="BA112" t="s" s="0">
        <v>102</v>
      </c>
      <c r="BB112" t="s" s="0">
        <v>99</v>
      </c>
      <c r="BC112" t="s" s="0">
        <v>81</v>
      </c>
      <c r="BD112" t="s" s="0">
        <v>81</v>
      </c>
      <c r="BE112" t="s" s="0">
        <v>81</v>
      </c>
      <c r="BF112" t="s" s="0">
        <v>81</v>
      </c>
      <c r="BG112" t="s" s="0">
        <v>81</v>
      </c>
      <c r="BH112" t="s" s="0">
        <v>81</v>
      </c>
      <c r="BI112" t="s" s="0">
        <v>975</v>
      </c>
      <c r="BJ112" t="s" s="0">
        <v>2840</v>
      </c>
      <c r="BK112" t="s" s="221">
        <f>HYPERLINK("http://dx.doi.org/10.3390/inventions10040055","http://dx.doi.org/10.3390/inventions10040055")</f>
        <v>2841</v>
      </c>
      <c r="BL112" t="s" s="0">
        <v>81</v>
      </c>
      <c r="BM112" t="s" s="0">
        <v>81</v>
      </c>
      <c r="BN112" t="s" s="0">
        <v>320</v>
      </c>
      <c r="BO112" t="s" s="0">
        <v>2842</v>
      </c>
      <c r="BP112" t="s" s="0">
        <v>1087</v>
      </c>
      <c r="BQ112" t="s" s="0">
        <v>2843</v>
      </c>
      <c r="BR112" t="s" s="0">
        <v>81</v>
      </c>
      <c r="BS112" t="s" s="0">
        <v>2844</v>
      </c>
      <c r="BT112" t="s" s="222">
        <f>HYPERLINK("https://www.webofscience.com/wos/woscc/full-record/WOS:001557716300001","View Record in Web of Science")</f>
        <v>120</v>
      </c>
      <c r="BU112" t="s" s="0">
        <v>121</v>
      </c>
      <c r="BV112" t="s" s="0">
        <v>81</v>
      </c>
      <c r="BW112" t="s" s="0">
        <v>81</v>
      </c>
      <c r="BX112" t="s" s="0">
        <v>122</v>
      </c>
    </row>
    <row r="113">
      <c r="A113" t="s" s="0">
        <v>169</v>
      </c>
      <c r="B113" t="s" s="0">
        <v>77</v>
      </c>
      <c r="C113" t="s" s="0">
        <v>100</v>
      </c>
      <c r="D113" t="s" s="0">
        <v>77</v>
      </c>
      <c r="E113" t="s" s="0">
        <v>2845</v>
      </c>
      <c r="F113" t="s" s="0">
        <v>2846</v>
      </c>
      <c r="G113" t="s" s="0">
        <v>2847</v>
      </c>
      <c r="H113" t="s" s="0">
        <v>81</v>
      </c>
      <c r="I113" t="s" s="0">
        <v>82</v>
      </c>
      <c r="J113" t="s" s="0">
        <v>2848</v>
      </c>
      <c r="K113" t="s" s="0">
        <v>2849</v>
      </c>
      <c r="L113" t="s" s="0">
        <v>81</v>
      </c>
      <c r="M113" t="s" s="0">
        <v>81</v>
      </c>
      <c r="N113" t="s" s="0">
        <v>81</v>
      </c>
      <c r="O113" t="s" s="0">
        <v>2850</v>
      </c>
      <c r="P113" t="s" s="0">
        <v>2851</v>
      </c>
      <c r="Q113" t="s" s="0">
        <v>90</v>
      </c>
      <c r="R113" t="s" s="0">
        <v>81</v>
      </c>
      <c r="S113" t="s" s="0">
        <v>81</v>
      </c>
      <c r="T113" t="s" s="0">
        <v>81</v>
      </c>
      <c r="U113" t="s" s="0">
        <v>81</v>
      </c>
      <c r="V113" t="s" s="0">
        <v>2852</v>
      </c>
      <c r="W113" t="s" s="0">
        <v>2853</v>
      </c>
      <c r="X113" t="s" s="0">
        <v>81</v>
      </c>
      <c r="Y113" t="s" s="0">
        <v>81</v>
      </c>
      <c r="Z113" t="s" s="0">
        <v>93</v>
      </c>
      <c r="AA113" t="s" s="0">
        <v>94</v>
      </c>
      <c r="AB113" t="s" s="0">
        <v>81</v>
      </c>
      <c r="AC113" t="s" s="0">
        <v>81</v>
      </c>
      <c r="AD113" t="s" s="0">
        <v>81</v>
      </c>
      <c r="AE113" t="s" s="0">
        <v>81</v>
      </c>
      <c r="AF113" t="s" s="0">
        <v>81</v>
      </c>
      <c r="AG113" t="s" s="0">
        <v>2854</v>
      </c>
      <c r="AH113" t="s" s="0">
        <v>2855</v>
      </c>
      <c r="AI113" t="s" s="0">
        <v>2856</v>
      </c>
      <c r="AJ113" t="s" s="0">
        <v>2857</v>
      </c>
      <c r="AK113" t="s" s="0">
        <v>81</v>
      </c>
      <c r="AL113" t="s" s="0">
        <v>1024</v>
      </c>
      <c r="AM113" t="s" s="0">
        <v>1232</v>
      </c>
      <c r="AN113" t="s" s="0">
        <v>199</v>
      </c>
      <c r="AO113" t="s" s="0">
        <v>100</v>
      </c>
      <c r="AP113" t="s" s="0">
        <v>265</v>
      </c>
      <c r="AQ113" t="s" s="0">
        <v>439</v>
      </c>
      <c r="AR113" t="s" s="0">
        <v>201</v>
      </c>
      <c r="AS113" t="s" s="0">
        <v>440</v>
      </c>
      <c r="AT113" t="s" s="0">
        <v>81</v>
      </c>
      <c r="AU113" t="s" s="0">
        <v>2858</v>
      </c>
      <c r="AV113" t="s" s="0">
        <v>81</v>
      </c>
      <c r="AW113" t="s" s="0">
        <v>2859</v>
      </c>
      <c r="AX113" t="s" s="0">
        <v>2860</v>
      </c>
      <c r="AY113" t="s" s="0">
        <v>2861</v>
      </c>
      <c r="AZ113" t="s" s="0">
        <v>110</v>
      </c>
      <c r="BA113" t="s" s="0">
        <v>393</v>
      </c>
      <c r="BB113" t="s" s="0">
        <v>169</v>
      </c>
      <c r="BC113" t="s" s="0">
        <v>81</v>
      </c>
      <c r="BD113" t="s" s="0">
        <v>81</v>
      </c>
      <c r="BE113" t="s" s="0">
        <v>81</v>
      </c>
      <c r="BF113" t="s" s="0">
        <v>81</v>
      </c>
      <c r="BG113" t="s" s="0">
        <v>81</v>
      </c>
      <c r="BH113" t="s" s="0">
        <v>81</v>
      </c>
      <c r="BI113" t="s" s="0">
        <v>301</v>
      </c>
      <c r="BJ113" t="s" s="0">
        <v>2862</v>
      </c>
      <c r="BK113" t="s" s="223">
        <f>HYPERLINK("http://dx.doi.org/10.1186/s12874-025-02470-z","http://dx.doi.org/10.1186/s12874-025-02470-z")</f>
        <v>2863</v>
      </c>
      <c r="BL113" t="s" s="0">
        <v>81</v>
      </c>
      <c r="BM113" t="s" s="0">
        <v>81</v>
      </c>
      <c r="BN113" t="s" s="0">
        <v>328</v>
      </c>
      <c r="BO113" t="s" s="0">
        <v>2864</v>
      </c>
      <c r="BP113" t="s" s="0">
        <v>2864</v>
      </c>
      <c r="BQ113" t="s" s="0">
        <v>2865</v>
      </c>
      <c r="BR113" t="s" s="0">
        <v>2866</v>
      </c>
      <c r="BS113" t="s" s="0">
        <v>2867</v>
      </c>
      <c r="BT113" t="s" s="224">
        <f>HYPERLINK("https://www.webofscience.com/wos/woscc/full-record/WOS:001406630100001","View Record in Web of Science")</f>
        <v>120</v>
      </c>
      <c r="BU113" t="s" s="0">
        <v>121</v>
      </c>
      <c r="BV113" t="s" s="0">
        <v>81</v>
      </c>
      <c r="BW113" t="s" s="0">
        <v>81</v>
      </c>
      <c r="BX113" t="s" s="0">
        <v>122</v>
      </c>
    </row>
    <row r="114">
      <c r="A114" t="s" s="0">
        <v>77</v>
      </c>
      <c r="B114" t="s" s="0">
        <v>77</v>
      </c>
      <c r="C114" t="s" s="0">
        <v>77</v>
      </c>
      <c r="D114" t="s" s="0">
        <v>77</v>
      </c>
      <c r="E114" t="s" s="0">
        <v>2868</v>
      </c>
      <c r="F114" t="s" s="0">
        <v>2869</v>
      </c>
      <c r="G114" t="s" s="0">
        <v>2870</v>
      </c>
      <c r="H114" t="s" s="0">
        <v>81</v>
      </c>
      <c r="I114" t="s" s="0">
        <v>218</v>
      </c>
      <c r="J114" t="s" s="0">
        <v>2871</v>
      </c>
      <c r="K114" t="s" s="0">
        <v>2872</v>
      </c>
      <c r="L114" t="s" s="0">
        <v>2873</v>
      </c>
      <c r="M114" t="s" s="0">
        <v>2874</v>
      </c>
      <c r="N114" t="s" s="0">
        <v>2875</v>
      </c>
      <c r="O114" t="s" s="0">
        <v>2876</v>
      </c>
      <c r="P114" t="s" s="0">
        <v>2877</v>
      </c>
      <c r="Q114" t="s" s="0">
        <v>90</v>
      </c>
      <c r="R114" t="s" s="0">
        <v>81</v>
      </c>
      <c r="S114" t="s" s="0">
        <v>81</v>
      </c>
      <c r="T114" t="s" s="0">
        <v>81</v>
      </c>
      <c r="U114" t="s" s="0">
        <v>81</v>
      </c>
      <c r="V114" t="s" s="0">
        <v>2878</v>
      </c>
      <c r="W114" t="s" s="0">
        <v>524</v>
      </c>
      <c r="X114" t="s" s="0">
        <v>81</v>
      </c>
      <c r="Y114" t="s" s="0">
        <v>81</v>
      </c>
      <c r="Z114" t="s" s="0">
        <v>93</v>
      </c>
      <c r="AA114" t="s" s="0">
        <v>94</v>
      </c>
      <c r="AB114" t="s" s="0">
        <v>81</v>
      </c>
      <c r="AC114" t="s" s="0">
        <v>81</v>
      </c>
      <c r="AD114" t="s" s="0">
        <v>81</v>
      </c>
      <c r="AE114" t="s" s="0">
        <v>81</v>
      </c>
      <c r="AF114" t="s" s="0">
        <v>81</v>
      </c>
      <c r="AG114" t="s" s="0">
        <v>2879</v>
      </c>
      <c r="AH114" t="s" s="0">
        <v>2880</v>
      </c>
      <c r="AI114" t="s" s="0">
        <v>81</v>
      </c>
      <c r="AJ114" t="s" s="0">
        <v>2881</v>
      </c>
      <c r="AK114" t="s" s="0">
        <v>81</v>
      </c>
      <c r="AL114" t="s" s="0">
        <v>1543</v>
      </c>
      <c r="AM114" t="s" s="0">
        <v>77</v>
      </c>
      <c r="AN114" t="s" s="0">
        <v>77</v>
      </c>
      <c r="AO114" t="s" s="0">
        <v>169</v>
      </c>
      <c r="AP114" t="s" s="0">
        <v>169</v>
      </c>
      <c r="AQ114" t="s" s="0">
        <v>527</v>
      </c>
      <c r="AR114" t="s" s="0">
        <v>528</v>
      </c>
      <c r="AS114" t="s" s="0">
        <v>529</v>
      </c>
      <c r="AT114" t="s" s="0">
        <v>81</v>
      </c>
      <c r="AU114" t="s" s="0">
        <v>530</v>
      </c>
      <c r="AV114" t="s" s="0">
        <v>81</v>
      </c>
      <c r="AW114" t="s" s="0">
        <v>524</v>
      </c>
      <c r="AX114" t="s" s="0">
        <v>531</v>
      </c>
      <c r="AY114" t="s" s="0">
        <v>532</v>
      </c>
      <c r="AZ114" t="s" s="0">
        <v>144</v>
      </c>
      <c r="BA114" t="s" s="0">
        <v>328</v>
      </c>
      <c r="BB114" t="s" s="0">
        <v>101</v>
      </c>
      <c r="BC114" t="s" s="0">
        <v>81</v>
      </c>
      <c r="BD114" t="s" s="0">
        <v>81</v>
      </c>
      <c r="BE114" t="s" s="0">
        <v>81</v>
      </c>
      <c r="BF114" t="s" s="0">
        <v>81</v>
      </c>
      <c r="BG114" t="s" s="0">
        <v>81</v>
      </c>
      <c r="BH114" t="s" s="0">
        <v>81</v>
      </c>
      <c r="BI114" t="s" s="0">
        <v>2882</v>
      </c>
      <c r="BJ114" t="s" s="0">
        <v>2883</v>
      </c>
      <c r="BK114" t="s" s="225">
        <f>HYPERLINK("http://dx.doi.org/10.1093/jamiaopen/ooag078","http://dx.doi.org/10.1093/jamiaopen/ooag078")</f>
        <v>2884</v>
      </c>
      <c r="BL114" t="s" s="0">
        <v>81</v>
      </c>
      <c r="BM114" t="s" s="0">
        <v>81</v>
      </c>
      <c r="BN114" t="s" s="0">
        <v>102</v>
      </c>
      <c r="BO114" t="s" s="0">
        <v>116</v>
      </c>
      <c r="BP114" t="s" s="0">
        <v>116</v>
      </c>
      <c r="BQ114" t="s" s="0">
        <v>2885</v>
      </c>
      <c r="BR114" t="s" s="0">
        <v>2886</v>
      </c>
      <c r="BS114" t="s" s="0">
        <v>2887</v>
      </c>
      <c r="BT114" t="s" s="226">
        <f>HYPERLINK("https://www.webofscience.com/wos/woscc/full-record/WOS:001795182800001","View Record in Web of Science")</f>
        <v>120</v>
      </c>
      <c r="BU114" t="s" s="0">
        <v>121</v>
      </c>
      <c r="BV114" t="s" s="0">
        <v>81</v>
      </c>
      <c r="BW114" t="s" s="0">
        <v>81</v>
      </c>
      <c r="BX114" t="s" s="0">
        <v>122</v>
      </c>
    </row>
    <row r="115">
      <c r="A115" t="s" s="0">
        <v>77</v>
      </c>
      <c r="B115" t="s" s="0">
        <v>77</v>
      </c>
      <c r="C115" t="s" s="0">
        <v>169</v>
      </c>
      <c r="D115" t="s" s="0">
        <v>77</v>
      </c>
      <c r="E115" t="s" s="0">
        <v>2888</v>
      </c>
      <c r="F115" t="s" s="0">
        <v>2889</v>
      </c>
      <c r="G115" t="s" s="0">
        <v>2890</v>
      </c>
      <c r="H115" t="s" s="0">
        <v>81</v>
      </c>
      <c r="I115" t="s" s="0">
        <v>82</v>
      </c>
      <c r="J115" t="s" s="0">
        <v>2891</v>
      </c>
      <c r="K115" t="s" s="0">
        <v>2892</v>
      </c>
      <c r="L115" t="s" s="0">
        <v>2893</v>
      </c>
      <c r="M115" t="s" s="0">
        <v>2894</v>
      </c>
      <c r="N115" t="s" s="0">
        <v>2895</v>
      </c>
      <c r="O115" t="s" s="0">
        <v>2896</v>
      </c>
      <c r="P115" t="s" s="0">
        <v>2897</v>
      </c>
      <c r="Q115" t="s" s="0">
        <v>90</v>
      </c>
      <c r="R115" t="s" s="0">
        <v>81</v>
      </c>
      <c r="S115" t="s" s="0">
        <v>81</v>
      </c>
      <c r="T115" t="s" s="0">
        <v>81</v>
      </c>
      <c r="U115" t="s" s="0">
        <v>81</v>
      </c>
      <c r="V115" t="s" s="0">
        <v>2898</v>
      </c>
      <c r="W115" t="s" s="0">
        <v>2899</v>
      </c>
      <c r="X115" t="s" s="0">
        <v>81</v>
      </c>
      <c r="Y115" t="s" s="0">
        <v>81</v>
      </c>
      <c r="Z115" t="s" s="0">
        <v>93</v>
      </c>
      <c r="AA115" t="s" s="0">
        <v>94</v>
      </c>
      <c r="AB115" t="s" s="0">
        <v>81</v>
      </c>
      <c r="AC115" t="s" s="0">
        <v>81</v>
      </c>
      <c r="AD115" t="s" s="0">
        <v>81</v>
      </c>
      <c r="AE115" t="s" s="0">
        <v>81</v>
      </c>
      <c r="AF115" t="s" s="0">
        <v>81</v>
      </c>
      <c r="AG115" t="s" s="0">
        <v>2900</v>
      </c>
      <c r="AH115" t="s" s="0">
        <v>81</v>
      </c>
      <c r="AI115" t="s" s="0">
        <v>2901</v>
      </c>
      <c r="AJ115" t="s" s="0">
        <v>2902</v>
      </c>
      <c r="AK115" t="s" s="0">
        <v>81</v>
      </c>
      <c r="AL115" t="s" s="0">
        <v>261</v>
      </c>
      <c r="AM115" t="s" s="0">
        <v>386</v>
      </c>
      <c r="AN115" t="s" s="0">
        <v>210</v>
      </c>
      <c r="AO115" t="s" s="0">
        <v>210</v>
      </c>
      <c r="AP115" t="s" s="0">
        <v>438</v>
      </c>
      <c r="AQ115" t="s" s="0">
        <v>2903</v>
      </c>
      <c r="AR115" t="s" s="0">
        <v>2904</v>
      </c>
      <c r="AS115" t="s" s="0">
        <v>2905</v>
      </c>
      <c r="AT115" t="s" s="0">
        <v>81</v>
      </c>
      <c r="AU115" t="s" s="0">
        <v>2906</v>
      </c>
      <c r="AV115" t="s" s="0">
        <v>81</v>
      </c>
      <c r="AW115" t="s" s="0">
        <v>2907</v>
      </c>
      <c r="AX115" t="s" s="0">
        <v>2908</v>
      </c>
      <c r="AY115" t="s" s="0">
        <v>2055</v>
      </c>
      <c r="AZ115" t="s" s="0">
        <v>144</v>
      </c>
      <c r="BA115" t="s" s="0">
        <v>210</v>
      </c>
      <c r="BB115" t="s" s="0">
        <v>169</v>
      </c>
      <c r="BC115" t="s" s="0">
        <v>81</v>
      </c>
      <c r="BD115" t="s" s="0">
        <v>81</v>
      </c>
      <c r="BE115" t="s" s="0">
        <v>81</v>
      </c>
      <c r="BF115" t="s" s="0">
        <v>81</v>
      </c>
      <c r="BG115" t="s" s="0">
        <v>81</v>
      </c>
      <c r="BH115" t="s" s="0">
        <v>81</v>
      </c>
      <c r="BI115" t="s" s="0">
        <v>2909</v>
      </c>
      <c r="BJ115" t="s" s="0">
        <v>2910</v>
      </c>
      <c r="BK115" t="s" s="227">
        <f>HYPERLINK("http://dx.doi.org/10.1002/aisy.202500255","http://dx.doi.org/10.1002/aisy.202500255")</f>
        <v>2911</v>
      </c>
      <c r="BL115" t="s" s="0">
        <v>81</v>
      </c>
      <c r="BM115" t="s" s="0">
        <v>1056</v>
      </c>
      <c r="BN115" t="s" s="0">
        <v>328</v>
      </c>
      <c r="BO115" t="s" s="0">
        <v>2912</v>
      </c>
      <c r="BP115" t="s" s="0">
        <v>2913</v>
      </c>
      <c r="BQ115" t="s" s="0">
        <v>2914</v>
      </c>
      <c r="BR115" t="s" s="0">
        <v>2915</v>
      </c>
      <c r="BS115" t="s" s="0">
        <v>2916</v>
      </c>
      <c r="BT115" t="s" s="228">
        <f>HYPERLINK("https://www.webofscience.com/wos/woscc/full-record/WOS:001531939500001","View Record in Web of Science")</f>
        <v>120</v>
      </c>
      <c r="BU115" t="s" s="0">
        <v>121</v>
      </c>
      <c r="BV115" t="s" s="0">
        <v>81</v>
      </c>
      <c r="BW115" t="s" s="0">
        <v>81</v>
      </c>
      <c r="BX115" t="s" s="0">
        <v>122</v>
      </c>
    </row>
    <row r="116">
      <c r="A116" t="s" s="0">
        <v>77</v>
      </c>
      <c r="B116" t="s" s="0">
        <v>77</v>
      </c>
      <c r="C116" t="s" s="0">
        <v>554</v>
      </c>
      <c r="D116" t="s" s="0">
        <v>77</v>
      </c>
      <c r="E116" t="s" s="0">
        <v>2917</v>
      </c>
      <c r="F116" t="s" s="0">
        <v>2918</v>
      </c>
      <c r="G116" t="s" s="0">
        <v>2919</v>
      </c>
      <c r="H116" t="s" s="0">
        <v>81</v>
      </c>
      <c r="I116" t="s" s="0">
        <v>218</v>
      </c>
      <c r="J116" t="s" s="0">
        <v>2920</v>
      </c>
      <c r="K116" t="s" s="0">
        <v>2921</v>
      </c>
      <c r="L116" t="s" s="0">
        <v>2922</v>
      </c>
      <c r="M116" t="s" s="0">
        <v>2922</v>
      </c>
      <c r="N116" t="s" s="0">
        <v>2923</v>
      </c>
      <c r="O116" t="s" s="0">
        <v>2924</v>
      </c>
      <c r="P116" t="s" s="0">
        <v>2925</v>
      </c>
      <c r="Q116" t="s" s="0">
        <v>90</v>
      </c>
      <c r="R116" t="s" s="0">
        <v>81</v>
      </c>
      <c r="S116" t="s" s="0">
        <v>81</v>
      </c>
      <c r="T116" t="s" s="0">
        <v>81</v>
      </c>
      <c r="U116" t="s" s="0">
        <v>81</v>
      </c>
      <c r="V116" t="s" s="0">
        <v>2926</v>
      </c>
      <c r="W116" t="s" s="0">
        <v>408</v>
      </c>
      <c r="X116" t="s" s="0">
        <v>81</v>
      </c>
      <c r="Y116" t="s" s="0">
        <v>81</v>
      </c>
      <c r="Z116" t="s" s="0">
        <v>93</v>
      </c>
      <c r="AA116" t="s" s="0">
        <v>94</v>
      </c>
      <c r="AB116" t="s" s="0">
        <v>81</v>
      </c>
      <c r="AC116" t="s" s="0">
        <v>81</v>
      </c>
      <c r="AD116" t="s" s="0">
        <v>81</v>
      </c>
      <c r="AE116" t="s" s="0">
        <v>81</v>
      </c>
      <c r="AF116" t="s" s="0">
        <v>81</v>
      </c>
      <c r="AG116" t="s" s="0">
        <v>2927</v>
      </c>
      <c r="AH116" t="s" s="0">
        <v>2928</v>
      </c>
      <c r="AI116" t="s" s="0">
        <v>2929</v>
      </c>
      <c r="AJ116" t="s" s="0">
        <v>2930</v>
      </c>
      <c r="AK116" t="s" s="0">
        <v>81</v>
      </c>
      <c r="AL116" t="s" s="0">
        <v>319</v>
      </c>
      <c r="AM116" t="s" s="0">
        <v>438</v>
      </c>
      <c r="AN116" t="s" s="0">
        <v>136</v>
      </c>
      <c r="AO116" t="s" s="0">
        <v>452</v>
      </c>
      <c r="AP116" t="s" s="0">
        <v>102</v>
      </c>
      <c r="AQ116" t="s" s="0">
        <v>353</v>
      </c>
      <c r="AR116" t="s" s="0">
        <v>354</v>
      </c>
      <c r="AS116" t="s" s="0">
        <v>355</v>
      </c>
      <c r="AT116" t="s" s="0">
        <v>81</v>
      </c>
      <c r="AU116" t="s" s="0">
        <v>413</v>
      </c>
      <c r="AV116" t="s" s="0">
        <v>81</v>
      </c>
      <c r="AW116" t="s" s="0">
        <v>414</v>
      </c>
      <c r="AX116" t="s" s="0">
        <v>415</v>
      </c>
      <c r="AY116" t="s" s="0">
        <v>2931</v>
      </c>
      <c r="AZ116" t="s" s="0">
        <v>110</v>
      </c>
      <c r="BA116" t="s" s="0">
        <v>210</v>
      </c>
      <c r="BB116" t="s" s="0">
        <v>81</v>
      </c>
      <c r="BC116" t="s" s="0">
        <v>81</v>
      </c>
      <c r="BD116" t="s" s="0">
        <v>81</v>
      </c>
      <c r="BE116" t="s" s="0">
        <v>81</v>
      </c>
      <c r="BF116" t="s" s="0">
        <v>81</v>
      </c>
      <c r="BG116" t="s" s="0">
        <v>81</v>
      </c>
      <c r="BH116" t="s" s="0">
        <v>81</v>
      </c>
      <c r="BI116" t="s" s="0">
        <v>2932</v>
      </c>
      <c r="BJ116" t="s" s="0">
        <v>2933</v>
      </c>
      <c r="BK116" t="s" s="229">
        <f>HYPERLINK("http://dx.doi.org/10.3389/frai.2025.1691499","http://dx.doi.org/10.3389/frai.2025.1691499")</f>
        <v>2934</v>
      </c>
      <c r="BL116" t="s" s="0">
        <v>81</v>
      </c>
      <c r="BM116" t="s" s="0">
        <v>81</v>
      </c>
      <c r="BN116" t="s" s="0">
        <v>210</v>
      </c>
      <c r="BO116" t="s" s="0">
        <v>420</v>
      </c>
      <c r="BP116" t="s" s="0">
        <v>303</v>
      </c>
      <c r="BQ116" t="s" s="0">
        <v>2935</v>
      </c>
      <c r="BR116" t="s" s="0">
        <v>2936</v>
      </c>
      <c r="BS116" t="s" s="0">
        <v>2937</v>
      </c>
      <c r="BT116" t="s" s="230">
        <f>HYPERLINK("https://www.webofscience.com/wos/woscc/full-record/WOS:001608594900001","View Record in Web of Science")</f>
        <v>120</v>
      </c>
      <c r="BU116" t="s" s="0">
        <v>121</v>
      </c>
      <c r="BV116" t="s" s="0">
        <v>81</v>
      </c>
      <c r="BW116" t="s" s="0">
        <v>81</v>
      </c>
      <c r="BX116" t="s" s="0">
        <v>122</v>
      </c>
    </row>
    <row r="117">
      <c r="A117" t="s" s="0">
        <v>77</v>
      </c>
      <c r="B117" t="s" s="0">
        <v>77</v>
      </c>
      <c r="C117" t="s" s="0">
        <v>101</v>
      </c>
      <c r="D117" t="s" s="0">
        <v>77</v>
      </c>
      <c r="E117" t="s" s="0">
        <v>2938</v>
      </c>
      <c r="F117" t="s" s="0">
        <v>2939</v>
      </c>
      <c r="G117" t="s" s="0">
        <v>2940</v>
      </c>
      <c r="H117" t="s" s="0">
        <v>81</v>
      </c>
      <c r="I117" t="s" s="0">
        <v>82</v>
      </c>
      <c r="J117" t="s" s="0">
        <v>2941</v>
      </c>
      <c r="K117" t="s" s="0">
        <v>2942</v>
      </c>
      <c r="L117" t="s" s="0">
        <v>2943</v>
      </c>
      <c r="M117" t="s" s="0">
        <v>2944</v>
      </c>
      <c r="N117" t="s" s="0">
        <v>2945</v>
      </c>
      <c r="O117" t="s" s="0">
        <v>2946</v>
      </c>
      <c r="P117" t="s" s="0">
        <v>2947</v>
      </c>
      <c r="Q117" t="s" s="0">
        <v>90</v>
      </c>
      <c r="R117" t="s" s="0">
        <v>81</v>
      </c>
      <c r="S117" t="s" s="0">
        <v>81</v>
      </c>
      <c r="T117" t="s" s="0">
        <v>81</v>
      </c>
      <c r="U117" t="s" s="0">
        <v>81</v>
      </c>
      <c r="V117" t="s" s="0">
        <v>2948</v>
      </c>
      <c r="W117" t="s" s="0">
        <v>654</v>
      </c>
      <c r="X117" t="s" s="0">
        <v>81</v>
      </c>
      <c r="Y117" t="s" s="0">
        <v>81</v>
      </c>
      <c r="Z117" t="s" s="0">
        <v>93</v>
      </c>
      <c r="AA117" t="s" s="0">
        <v>94</v>
      </c>
      <c r="AB117" t="s" s="0">
        <v>81</v>
      </c>
      <c r="AC117" t="s" s="0">
        <v>81</v>
      </c>
      <c r="AD117" t="s" s="0">
        <v>81</v>
      </c>
      <c r="AE117" t="s" s="0">
        <v>81</v>
      </c>
      <c r="AF117" t="s" s="0">
        <v>81</v>
      </c>
      <c r="AG117" t="s" s="0">
        <v>2949</v>
      </c>
      <c r="AH117" t="s" s="0">
        <v>81</v>
      </c>
      <c r="AI117" t="s" s="0">
        <v>2950</v>
      </c>
      <c r="AJ117" t="s" s="0">
        <v>2951</v>
      </c>
      <c r="AK117" t="s" s="0">
        <v>81</v>
      </c>
      <c r="AL117" t="s" s="0">
        <v>2952</v>
      </c>
      <c r="AM117" t="s" s="0">
        <v>102</v>
      </c>
      <c r="AN117" t="s" s="0">
        <v>115</v>
      </c>
      <c r="AO117" t="s" s="0">
        <v>99</v>
      </c>
      <c r="AP117" t="s" s="0">
        <v>509</v>
      </c>
      <c r="AQ117" t="s" s="0">
        <v>659</v>
      </c>
      <c r="AR117" t="s" s="0">
        <v>660</v>
      </c>
      <c r="AS117" t="s" s="0">
        <v>661</v>
      </c>
      <c r="AT117" t="s" s="0">
        <v>662</v>
      </c>
      <c r="AU117" t="s" s="0">
        <v>663</v>
      </c>
      <c r="AV117" t="s" s="0">
        <v>81</v>
      </c>
      <c r="AW117" t="s" s="0">
        <v>664</v>
      </c>
      <c r="AX117" t="s" s="0">
        <v>665</v>
      </c>
      <c r="AY117" t="s" s="0">
        <v>2953</v>
      </c>
      <c r="AZ117" t="s" s="0">
        <v>592</v>
      </c>
      <c r="BA117" t="s" s="0">
        <v>2954</v>
      </c>
      <c r="BB117" t="s" s="0">
        <v>81</v>
      </c>
      <c r="BC117" t="s" s="0">
        <v>81</v>
      </c>
      <c r="BD117" t="s" s="0">
        <v>81</v>
      </c>
      <c r="BE117" t="s" s="0">
        <v>81</v>
      </c>
      <c r="BF117" t="s" s="0">
        <v>81</v>
      </c>
      <c r="BG117" t="s" s="0">
        <v>81</v>
      </c>
      <c r="BH117" t="s" s="0">
        <v>81</v>
      </c>
      <c r="BI117" t="s" s="0">
        <v>2955</v>
      </c>
      <c r="BJ117" t="s" s="0">
        <v>2956</v>
      </c>
      <c r="BK117" t="s" s="231">
        <f>HYPERLINK("http://dx.doi.org/10.1016/j.jbi.2024.104724","http://dx.doi.org/10.1016/j.jbi.2024.104724")</f>
        <v>2957</v>
      </c>
      <c r="BL117" t="s" s="0">
        <v>81</v>
      </c>
      <c r="BM117" t="s" s="0">
        <v>591</v>
      </c>
      <c r="BN117" t="s" s="0">
        <v>526</v>
      </c>
      <c r="BO117" t="s" s="0">
        <v>672</v>
      </c>
      <c r="BP117" t="s" s="0">
        <v>673</v>
      </c>
      <c r="BQ117" t="s" s="0">
        <v>2958</v>
      </c>
      <c r="BR117" t="s" s="0">
        <v>2959</v>
      </c>
      <c r="BS117" t="s" s="0">
        <v>2960</v>
      </c>
      <c r="BT117" t="s" s="232">
        <f>HYPERLINK("https://www.webofscience.com/wos/woscc/full-record/WOS:001318952000001","View Record in Web of Science")</f>
        <v>120</v>
      </c>
      <c r="BU117" t="s" s="0">
        <v>2961</v>
      </c>
      <c r="BV117" t="s" s="0">
        <v>81</v>
      </c>
      <c r="BW117" t="s" s="0">
        <v>81</v>
      </c>
      <c r="BX117" t="s" s="0">
        <v>122</v>
      </c>
    </row>
    <row r="118">
      <c r="A118" t="s" s="0">
        <v>77</v>
      </c>
      <c r="B118" t="s" s="0">
        <v>77</v>
      </c>
      <c r="C118" t="s" s="0">
        <v>99</v>
      </c>
      <c r="D118" t="s" s="0">
        <v>77</v>
      </c>
      <c r="E118" t="s" s="0">
        <v>2962</v>
      </c>
      <c r="F118" t="s" s="0">
        <v>2963</v>
      </c>
      <c r="G118" t="s" s="0">
        <v>2964</v>
      </c>
      <c r="H118" t="s" s="0">
        <v>81</v>
      </c>
      <c r="I118" t="s" s="0">
        <v>82</v>
      </c>
      <c r="J118" t="s" s="0">
        <v>2965</v>
      </c>
      <c r="K118" t="s" s="0">
        <v>2966</v>
      </c>
      <c r="L118" t="s" s="0">
        <v>2967</v>
      </c>
      <c r="M118" t="s" s="0">
        <v>2968</v>
      </c>
      <c r="N118" t="s" s="0">
        <v>2969</v>
      </c>
      <c r="O118" t="s" s="0">
        <v>2970</v>
      </c>
      <c r="P118" t="s" s="0">
        <v>2971</v>
      </c>
      <c r="Q118" t="s" s="0">
        <v>90</v>
      </c>
      <c r="R118" t="s" s="0">
        <v>81</v>
      </c>
      <c r="S118" t="s" s="0">
        <v>81</v>
      </c>
      <c r="T118" t="s" s="0">
        <v>81</v>
      </c>
      <c r="U118" t="s" s="0">
        <v>81</v>
      </c>
      <c r="V118" t="s" s="0">
        <v>2972</v>
      </c>
      <c r="W118" t="s" s="0">
        <v>2973</v>
      </c>
      <c r="X118" t="s" s="0">
        <v>81</v>
      </c>
      <c r="Y118" t="s" s="0">
        <v>81</v>
      </c>
      <c r="Z118" t="s" s="0">
        <v>93</v>
      </c>
      <c r="AA118" t="s" s="0">
        <v>94</v>
      </c>
      <c r="AB118" t="s" s="0">
        <v>81</v>
      </c>
      <c r="AC118" t="s" s="0">
        <v>81</v>
      </c>
      <c r="AD118" t="s" s="0">
        <v>81</v>
      </c>
      <c r="AE118" t="s" s="0">
        <v>81</v>
      </c>
      <c r="AF118" t="s" s="0">
        <v>81</v>
      </c>
      <c r="AG118" t="s" s="0">
        <v>2974</v>
      </c>
      <c r="AH118" t="s" s="0">
        <v>81</v>
      </c>
      <c r="AI118" t="s" s="0">
        <v>2975</v>
      </c>
      <c r="AJ118" t="s" s="0">
        <v>2976</v>
      </c>
      <c r="AK118" t="s" s="0">
        <v>81</v>
      </c>
      <c r="AL118" t="s" s="0">
        <v>301</v>
      </c>
      <c r="AM118" t="s" s="0">
        <v>360</v>
      </c>
      <c r="AN118" t="s" s="0">
        <v>145</v>
      </c>
      <c r="AO118" t="s" s="0">
        <v>169</v>
      </c>
      <c r="AP118" t="s" s="0">
        <v>99</v>
      </c>
      <c r="AQ118" t="s" s="0">
        <v>2567</v>
      </c>
      <c r="AR118" t="s" s="0">
        <v>2568</v>
      </c>
      <c r="AS118" t="s" s="0">
        <v>2569</v>
      </c>
      <c r="AT118" t="s" s="0">
        <v>2977</v>
      </c>
      <c r="AU118" t="s" s="0">
        <v>81</v>
      </c>
      <c r="AV118" t="s" s="0">
        <v>81</v>
      </c>
      <c r="AW118" t="s" s="0">
        <v>2978</v>
      </c>
      <c r="AX118" t="s" s="0">
        <v>2979</v>
      </c>
      <c r="AY118" t="s" s="0">
        <v>2627</v>
      </c>
      <c r="AZ118" t="s" s="0">
        <v>110</v>
      </c>
      <c r="BA118" t="s" s="0">
        <v>265</v>
      </c>
      <c r="BB118" t="s" s="0">
        <v>2980</v>
      </c>
      <c r="BC118" t="s" s="0">
        <v>81</v>
      </c>
      <c r="BD118" t="s" s="0">
        <v>81</v>
      </c>
      <c r="BE118" t="s" s="0">
        <v>81</v>
      </c>
      <c r="BF118" t="s" s="0">
        <v>81</v>
      </c>
      <c r="BG118" t="s" s="0">
        <v>2981</v>
      </c>
      <c r="BH118" t="s" s="0">
        <v>2982</v>
      </c>
      <c r="BI118" t="s" s="0">
        <v>81</v>
      </c>
      <c r="BJ118" t="s" s="0">
        <v>2983</v>
      </c>
      <c r="BK118" t="s" s="233">
        <f>HYPERLINK("http://dx.doi.org/10.1055/a-2491-3872","http://dx.doi.org/10.1055/a-2491-3872")</f>
        <v>2984</v>
      </c>
      <c r="BL118" t="s" s="0">
        <v>81</v>
      </c>
      <c r="BM118" t="s" s="0">
        <v>81</v>
      </c>
      <c r="BN118" t="s" s="0">
        <v>210</v>
      </c>
      <c r="BO118" t="s" s="0">
        <v>244</v>
      </c>
      <c r="BP118" t="s" s="0">
        <v>244</v>
      </c>
      <c r="BQ118" t="s" s="0">
        <v>2985</v>
      </c>
      <c r="BR118" t="s" s="0">
        <v>2986</v>
      </c>
      <c r="BS118" t="s" s="0">
        <v>2987</v>
      </c>
      <c r="BT118" t="s" s="234">
        <f>HYPERLINK("https://www.webofscience.com/wos/woscc/full-record/WOS:001468776700002","View Record in Web of Science")</f>
        <v>120</v>
      </c>
      <c r="BU118" t="s" s="0">
        <v>805</v>
      </c>
      <c r="BV118" t="s" s="0">
        <v>81</v>
      </c>
      <c r="BW118" t="s" s="0">
        <v>81</v>
      </c>
      <c r="BX118" t="s" s="0">
        <v>122</v>
      </c>
    </row>
    <row r="119">
      <c r="A119" t="s" s="0">
        <v>77</v>
      </c>
      <c r="B119" t="s" s="0">
        <v>77</v>
      </c>
      <c r="C119" t="s" s="0">
        <v>554</v>
      </c>
      <c r="D119" t="s" s="0">
        <v>77</v>
      </c>
      <c r="E119" t="s" s="0">
        <v>2988</v>
      </c>
      <c r="F119" t="s" s="0">
        <v>2989</v>
      </c>
      <c r="G119" t="s" s="0">
        <v>2990</v>
      </c>
      <c r="H119" t="s" s="0">
        <v>81</v>
      </c>
      <c r="I119" t="s" s="0">
        <v>82</v>
      </c>
      <c r="J119" t="s" s="0">
        <v>2991</v>
      </c>
      <c r="K119" t="s" s="0">
        <v>2992</v>
      </c>
      <c r="L119" t="s" s="0">
        <v>2993</v>
      </c>
      <c r="M119" t="s" s="0">
        <v>2994</v>
      </c>
      <c r="N119" t="s" s="0">
        <v>1622</v>
      </c>
      <c r="O119" t="s" s="0">
        <v>2995</v>
      </c>
      <c r="P119" t="s" s="0">
        <v>2996</v>
      </c>
      <c r="Q119" t="s" s="0">
        <v>90</v>
      </c>
      <c r="R119" t="s" s="0">
        <v>81</v>
      </c>
      <c r="S119" t="s" s="0">
        <v>81</v>
      </c>
      <c r="T119" t="s" s="0">
        <v>81</v>
      </c>
      <c r="U119" t="s" s="0">
        <v>81</v>
      </c>
      <c r="V119" t="s" s="0">
        <v>2997</v>
      </c>
      <c r="W119" t="s" s="0">
        <v>317</v>
      </c>
      <c r="X119" t="s" s="0">
        <v>81</v>
      </c>
      <c r="Y119" t="s" s="0">
        <v>81</v>
      </c>
      <c r="Z119" t="s" s="0">
        <v>93</v>
      </c>
      <c r="AA119" t="s" s="0">
        <v>94</v>
      </c>
      <c r="AB119" t="s" s="0">
        <v>81</v>
      </c>
      <c r="AC119" t="s" s="0">
        <v>81</v>
      </c>
      <c r="AD119" t="s" s="0">
        <v>81</v>
      </c>
      <c r="AE119" t="s" s="0">
        <v>81</v>
      </c>
      <c r="AF119" t="s" s="0">
        <v>81</v>
      </c>
      <c r="AG119" t="s" s="0">
        <v>81</v>
      </c>
      <c r="AH119" t="s" s="0">
        <v>81</v>
      </c>
      <c r="AI119" t="s" s="0">
        <v>2998</v>
      </c>
      <c r="AJ119" t="s" s="0">
        <v>2999</v>
      </c>
      <c r="AK119" t="s" s="0">
        <v>81</v>
      </c>
      <c r="AL119" t="s" s="0">
        <v>287</v>
      </c>
      <c r="AM119" t="s" s="0">
        <v>101</v>
      </c>
      <c r="AN119" t="s" s="0">
        <v>100</v>
      </c>
      <c r="AO119" t="s" s="0">
        <v>328</v>
      </c>
      <c r="AP119" t="s" s="0">
        <v>328</v>
      </c>
      <c r="AQ119" t="s" s="0">
        <v>321</v>
      </c>
      <c r="AR119" t="s" s="0">
        <v>322</v>
      </c>
      <c r="AS119" t="s" s="0">
        <v>323</v>
      </c>
      <c r="AT119" t="s" s="0">
        <v>324</v>
      </c>
      <c r="AU119" t="s" s="0">
        <v>81</v>
      </c>
      <c r="AV119" t="s" s="0">
        <v>81</v>
      </c>
      <c r="AW119" t="s" s="0">
        <v>325</v>
      </c>
      <c r="AX119" t="s" s="0">
        <v>326</v>
      </c>
      <c r="AY119" t="s" s="0">
        <v>3000</v>
      </c>
      <c r="AZ119" t="s" s="0">
        <v>144</v>
      </c>
      <c r="BA119" t="s" s="0">
        <v>328</v>
      </c>
      <c r="BB119" t="s" s="0">
        <v>169</v>
      </c>
      <c r="BC119" t="s" s="0">
        <v>81</v>
      </c>
      <c r="BD119" t="s" s="0">
        <v>81</v>
      </c>
      <c r="BE119" t="s" s="0">
        <v>81</v>
      </c>
      <c r="BF119" t="s" s="0">
        <v>81</v>
      </c>
      <c r="BG119" t="s" s="0">
        <v>81</v>
      </c>
      <c r="BH119" t="s" s="0">
        <v>81</v>
      </c>
      <c r="BI119" t="s" s="0">
        <v>3001</v>
      </c>
      <c r="BJ119" t="s" s="0">
        <v>3002</v>
      </c>
      <c r="BK119" t="s" s="235">
        <f>HYPERLINK("http://dx.doi.org/10.1038/s41746-026-02443-6","http://dx.doi.org/10.1038/s41746-026-02443-6")</f>
        <v>3003</v>
      </c>
      <c r="BL119" t="s" s="0">
        <v>81</v>
      </c>
      <c r="BM119" t="s" s="0">
        <v>81</v>
      </c>
      <c r="BN119" t="s" s="0">
        <v>360</v>
      </c>
      <c r="BO119" t="s" s="0">
        <v>116</v>
      </c>
      <c r="BP119" t="s" s="0">
        <v>116</v>
      </c>
      <c r="BQ119" t="s" s="0">
        <v>3004</v>
      </c>
      <c r="BR119" t="s" s="0">
        <v>3005</v>
      </c>
      <c r="BS119" t="s" s="0">
        <v>3006</v>
      </c>
      <c r="BT119" t="s" s="236">
        <f>HYPERLINK("https://www.webofscience.com/wos/woscc/full-record/WOS:001727552300001","View Record in Web of Science")</f>
        <v>120</v>
      </c>
      <c r="BU119" t="s" s="0">
        <v>121</v>
      </c>
      <c r="BV119" t="s" s="0">
        <v>81</v>
      </c>
      <c r="BW119" t="s" s="0">
        <v>81</v>
      </c>
      <c r="BX119" t="s" s="0">
        <v>122</v>
      </c>
    </row>
    <row r="120">
      <c r="A120" t="s" s="0">
        <v>77</v>
      </c>
      <c r="B120" t="s" s="0">
        <v>77</v>
      </c>
      <c r="C120" t="s" s="0">
        <v>169</v>
      </c>
      <c r="D120" t="s" s="0">
        <v>77</v>
      </c>
      <c r="E120" t="s" s="0">
        <v>3007</v>
      </c>
      <c r="F120" t="s" s="0">
        <v>3008</v>
      </c>
      <c r="G120" t="s" s="0">
        <v>3009</v>
      </c>
      <c r="H120" t="s" s="0">
        <v>81</v>
      </c>
      <c r="I120" t="s" s="0">
        <v>82</v>
      </c>
      <c r="J120" t="s" s="0">
        <v>3010</v>
      </c>
      <c r="K120" t="s" s="0">
        <v>3011</v>
      </c>
      <c r="L120" t="s" s="0">
        <v>81</v>
      </c>
      <c r="M120" t="s" s="0">
        <v>81</v>
      </c>
      <c r="N120" t="s" s="0">
        <v>81</v>
      </c>
      <c r="O120" t="s" s="0">
        <v>3012</v>
      </c>
      <c r="P120" t="s" s="0">
        <v>3013</v>
      </c>
      <c r="Q120" t="s" s="0">
        <v>90</v>
      </c>
      <c r="R120" t="s" s="0">
        <v>81</v>
      </c>
      <c r="S120" t="s" s="0">
        <v>81</v>
      </c>
      <c r="T120" t="s" s="0">
        <v>81</v>
      </c>
      <c r="U120" t="s" s="0">
        <v>81</v>
      </c>
      <c r="V120" t="s" s="0">
        <v>3014</v>
      </c>
      <c r="W120" t="s" s="0">
        <v>3015</v>
      </c>
      <c r="X120" t="s" s="0">
        <v>81</v>
      </c>
      <c r="Y120" t="s" s="0">
        <v>81</v>
      </c>
      <c r="Z120" t="s" s="0">
        <v>93</v>
      </c>
      <c r="AA120" t="s" s="0">
        <v>94</v>
      </c>
      <c r="AB120" t="s" s="0">
        <v>81</v>
      </c>
      <c r="AC120" t="s" s="0">
        <v>81</v>
      </c>
      <c r="AD120" t="s" s="0">
        <v>81</v>
      </c>
      <c r="AE120" t="s" s="0">
        <v>81</v>
      </c>
      <c r="AF120" t="s" s="0">
        <v>81</v>
      </c>
      <c r="AG120" t="s" s="0">
        <v>3016</v>
      </c>
      <c r="AH120" t="s" s="0">
        <v>3017</v>
      </c>
      <c r="AI120" t="s" s="0">
        <v>81</v>
      </c>
      <c r="AJ120" t="s" s="0">
        <v>81</v>
      </c>
      <c r="AK120" t="s" s="0">
        <v>81</v>
      </c>
      <c r="AL120" t="s" s="0">
        <v>199</v>
      </c>
      <c r="AM120" t="s" s="0">
        <v>320</v>
      </c>
      <c r="AN120" t="s" s="0">
        <v>360</v>
      </c>
      <c r="AO120" t="s" s="0">
        <v>554</v>
      </c>
      <c r="AP120" t="s" s="0">
        <v>1232</v>
      </c>
      <c r="AQ120" t="s" s="0">
        <v>499</v>
      </c>
      <c r="AR120" t="s" s="0">
        <v>500</v>
      </c>
      <c r="AS120" t="s" s="0">
        <v>501</v>
      </c>
      <c r="AT120" t="s" s="0">
        <v>3018</v>
      </c>
      <c r="AU120" t="s" s="0">
        <v>3019</v>
      </c>
      <c r="AV120" t="s" s="0">
        <v>81</v>
      </c>
      <c r="AW120" t="s" s="0">
        <v>3020</v>
      </c>
      <c r="AX120" t="s" s="0">
        <v>3021</v>
      </c>
      <c r="AY120" t="s" s="0">
        <v>238</v>
      </c>
      <c r="AZ120" t="s" s="0">
        <v>110</v>
      </c>
      <c r="BA120" t="s" s="0">
        <v>553</v>
      </c>
      <c r="BB120" t="s" s="0">
        <v>102</v>
      </c>
      <c r="BC120" t="s" s="0">
        <v>81</v>
      </c>
      <c r="BD120" t="s" s="0">
        <v>81</v>
      </c>
      <c r="BE120" t="s" s="0">
        <v>81</v>
      </c>
      <c r="BF120" t="s" s="0">
        <v>81</v>
      </c>
      <c r="BG120" t="s" s="0">
        <v>3022</v>
      </c>
      <c r="BH120" t="s" s="0">
        <v>3023</v>
      </c>
      <c r="BI120" t="s" s="0">
        <v>81</v>
      </c>
      <c r="BJ120" t="s" s="0">
        <v>3024</v>
      </c>
      <c r="BK120" t="s" s="237">
        <f>HYPERLINK("http://dx.doi.org/10.1007/s00467-025-06819-w","http://dx.doi.org/10.1007/s00467-025-06819-w")</f>
        <v>3025</v>
      </c>
      <c r="BL120" t="s" s="0">
        <v>81</v>
      </c>
      <c r="BM120" t="s" s="0">
        <v>1855</v>
      </c>
      <c r="BN120" t="s" s="0">
        <v>210</v>
      </c>
      <c r="BO120" t="s" s="0">
        <v>3026</v>
      </c>
      <c r="BP120" t="s" s="0">
        <v>3026</v>
      </c>
      <c r="BQ120" t="s" s="0">
        <v>3027</v>
      </c>
      <c r="BR120" t="s" s="0">
        <v>3028</v>
      </c>
      <c r="BS120" t="s" s="0">
        <v>3029</v>
      </c>
      <c r="BT120" t="s" s="238">
        <f>HYPERLINK("https://www.webofscience.com/wos/woscc/full-record/WOS:001501518600001","View Record in Web of Science")</f>
        <v>120</v>
      </c>
      <c r="BU120" t="s" s="0">
        <v>81</v>
      </c>
      <c r="BV120" t="s" s="0">
        <v>81</v>
      </c>
      <c r="BW120" t="s" s="0">
        <v>81</v>
      </c>
      <c r="BX120" t="s" s="0">
        <v>122</v>
      </c>
    </row>
    <row r="121">
      <c r="A121" t="s" s="0">
        <v>77</v>
      </c>
      <c r="B121" t="s" s="0">
        <v>77</v>
      </c>
      <c r="C121" t="s" s="0">
        <v>77</v>
      </c>
      <c r="D121" t="s" s="0">
        <v>77</v>
      </c>
      <c r="E121" t="s" s="0">
        <v>3030</v>
      </c>
      <c r="F121" t="s" s="0">
        <v>3031</v>
      </c>
      <c r="G121" t="s" s="0">
        <v>3032</v>
      </c>
      <c r="H121" t="s" s="0">
        <v>81</v>
      </c>
      <c r="I121" t="s" s="0">
        <v>82</v>
      </c>
      <c r="J121" t="s" s="0">
        <v>3033</v>
      </c>
      <c r="K121" t="s" s="0">
        <v>3034</v>
      </c>
      <c r="L121" t="s" s="0">
        <v>81</v>
      </c>
      <c r="M121" t="s" s="0">
        <v>81</v>
      </c>
      <c r="N121" t="s" s="0">
        <v>81</v>
      </c>
      <c r="O121" t="s" s="0">
        <v>3035</v>
      </c>
      <c r="P121" t="s" s="0">
        <v>3036</v>
      </c>
      <c r="Q121" t="s" s="0">
        <v>90</v>
      </c>
      <c r="R121" t="s" s="0">
        <v>81</v>
      </c>
      <c r="S121" t="s" s="0">
        <v>81</v>
      </c>
      <c r="T121" t="s" s="0">
        <v>81</v>
      </c>
      <c r="U121" t="s" s="0">
        <v>81</v>
      </c>
      <c r="V121" t="s" s="0">
        <v>3037</v>
      </c>
      <c r="W121" t="s" s="0">
        <v>3038</v>
      </c>
      <c r="X121" t="s" s="0">
        <v>81</v>
      </c>
      <c r="Y121" t="s" s="0">
        <v>81</v>
      </c>
      <c r="Z121" t="s" s="0">
        <v>93</v>
      </c>
      <c r="AA121" t="s" s="0">
        <v>94</v>
      </c>
      <c r="AB121" t="s" s="0">
        <v>81</v>
      </c>
      <c r="AC121" t="s" s="0">
        <v>81</v>
      </c>
      <c r="AD121" t="s" s="0">
        <v>81</v>
      </c>
      <c r="AE121" t="s" s="0">
        <v>81</v>
      </c>
      <c r="AF121" t="s" s="0">
        <v>81</v>
      </c>
      <c r="AG121" t="s" s="0">
        <v>3039</v>
      </c>
      <c r="AH121" t="s" s="0">
        <v>3040</v>
      </c>
      <c r="AI121" t="s" s="0">
        <v>3041</v>
      </c>
      <c r="AJ121" t="s" s="0">
        <v>81</v>
      </c>
      <c r="AK121" t="s" s="0">
        <v>81</v>
      </c>
      <c r="AL121" t="s" s="0">
        <v>671</v>
      </c>
      <c r="AM121" t="s" s="0">
        <v>77</v>
      </c>
      <c r="AN121" t="s" s="0">
        <v>77</v>
      </c>
      <c r="AO121" t="s" s="0">
        <v>554</v>
      </c>
      <c r="AP121" t="s" s="0">
        <v>554</v>
      </c>
      <c r="AQ121" t="s" s="0">
        <v>712</v>
      </c>
      <c r="AR121" t="s" s="0">
        <v>500</v>
      </c>
      <c r="AS121" t="s" s="0">
        <v>3042</v>
      </c>
      <c r="AT121" t="s" s="0">
        <v>3043</v>
      </c>
      <c r="AU121" t="s" s="0">
        <v>3044</v>
      </c>
      <c r="AV121" t="s" s="0">
        <v>81</v>
      </c>
      <c r="AW121" t="s" s="0">
        <v>3045</v>
      </c>
      <c r="AX121" t="s" s="0">
        <v>3046</v>
      </c>
      <c r="AY121" t="s" s="0">
        <v>3047</v>
      </c>
      <c r="AZ121" t="s" s="0">
        <v>144</v>
      </c>
      <c r="BA121" t="s" s="0">
        <v>583</v>
      </c>
      <c r="BB121" t="s" s="0">
        <v>210</v>
      </c>
      <c r="BC121" t="s" s="0">
        <v>81</v>
      </c>
      <c r="BD121" t="s" s="0">
        <v>81</v>
      </c>
      <c r="BE121" t="s" s="0">
        <v>81</v>
      </c>
      <c r="BF121" t="s" s="0">
        <v>81</v>
      </c>
      <c r="BG121" t="s" s="0">
        <v>3048</v>
      </c>
      <c r="BH121" t="s" s="0">
        <v>3049</v>
      </c>
      <c r="BI121" t="s" s="0">
        <v>81</v>
      </c>
      <c r="BJ121" t="s" s="0">
        <v>3050</v>
      </c>
      <c r="BK121" t="s" s="239">
        <f>HYPERLINK("http://dx.doi.org/10.1016/j.acra.2026.04.021","http://dx.doi.org/10.1016/j.acra.2026.04.021")</f>
        <v>3051</v>
      </c>
      <c r="BL121" t="s" s="0">
        <v>81</v>
      </c>
      <c r="BM121" t="s" s="0">
        <v>81</v>
      </c>
      <c r="BN121" t="s" s="0">
        <v>320</v>
      </c>
      <c r="BO121" t="s" s="0">
        <v>182</v>
      </c>
      <c r="BP121" t="s" s="0">
        <v>182</v>
      </c>
      <c r="BQ121" t="s" s="0">
        <v>3052</v>
      </c>
      <c r="BR121" t="s" s="0">
        <v>3053</v>
      </c>
      <c r="BS121" t="s" s="0">
        <v>3054</v>
      </c>
      <c r="BT121" t="s" s="240">
        <f>HYPERLINK("https://www.webofscience.com/wos/woscc/full-record/WOS:001834858800001","View Record in Web of Science")</f>
        <v>120</v>
      </c>
      <c r="BU121" t="s" s="0">
        <v>81</v>
      </c>
      <c r="BV121" t="s" s="0">
        <v>81</v>
      </c>
      <c r="BW121" t="s" s="0">
        <v>81</v>
      </c>
      <c r="BX121" t="s" s="0">
        <v>122</v>
      </c>
    </row>
    <row r="122">
      <c r="A122" t="s" s="0">
        <v>77</v>
      </c>
      <c r="B122" t="s" s="0">
        <v>77</v>
      </c>
      <c r="C122" t="s" s="0">
        <v>77</v>
      </c>
      <c r="D122" t="s" s="0">
        <v>77</v>
      </c>
      <c r="E122" t="s" s="0">
        <v>3055</v>
      </c>
      <c r="F122" t="s" s="0">
        <v>3056</v>
      </c>
      <c r="G122" t="s" s="0">
        <v>3057</v>
      </c>
      <c r="H122" t="s" s="0">
        <v>81</v>
      </c>
      <c r="I122" t="s" s="0">
        <v>568</v>
      </c>
      <c r="J122" t="s" s="0">
        <v>3058</v>
      </c>
      <c r="K122" t="s" s="0">
        <v>3059</v>
      </c>
      <c r="L122" t="s" s="0">
        <v>3060</v>
      </c>
      <c r="M122" t="s" s="0">
        <v>3061</v>
      </c>
      <c r="N122" t="s" s="0">
        <v>3062</v>
      </c>
      <c r="O122" t="s" s="0">
        <v>3063</v>
      </c>
      <c r="P122" t="s" s="0">
        <v>3064</v>
      </c>
      <c r="Q122" t="s" s="0">
        <v>90</v>
      </c>
      <c r="R122" t="s" s="0">
        <v>81</v>
      </c>
      <c r="S122" t="s" s="0">
        <v>81</v>
      </c>
      <c r="T122" t="s" s="0">
        <v>81</v>
      </c>
      <c r="U122" t="s" s="0">
        <v>81</v>
      </c>
      <c r="V122" t="s" s="0">
        <v>3065</v>
      </c>
      <c r="W122" t="s" s="0">
        <v>3066</v>
      </c>
      <c r="X122" t="s" s="0">
        <v>81</v>
      </c>
      <c r="Y122" t="s" s="0">
        <v>81</v>
      </c>
      <c r="Z122" t="s" s="0">
        <v>93</v>
      </c>
      <c r="AA122" t="s" s="0">
        <v>94</v>
      </c>
      <c r="AB122" t="s" s="0">
        <v>81</v>
      </c>
      <c r="AC122" t="s" s="0">
        <v>81</v>
      </c>
      <c r="AD122" t="s" s="0">
        <v>81</v>
      </c>
      <c r="AE122" t="s" s="0">
        <v>81</v>
      </c>
      <c r="AF122" t="s" s="0">
        <v>81</v>
      </c>
      <c r="AG122" t="s" s="0">
        <v>3067</v>
      </c>
      <c r="AH122" t="s" s="0">
        <v>81</v>
      </c>
      <c r="AI122" t="s" s="0">
        <v>3068</v>
      </c>
      <c r="AJ122" t="s" s="0">
        <v>81</v>
      </c>
      <c r="AK122" t="s" s="0">
        <v>81</v>
      </c>
      <c r="AL122" t="s" s="0">
        <v>1543</v>
      </c>
      <c r="AM122" t="s" s="0">
        <v>169</v>
      </c>
      <c r="AN122" t="s" s="0">
        <v>169</v>
      </c>
      <c r="AO122" t="s" s="0">
        <v>509</v>
      </c>
      <c r="AP122" t="s" s="0">
        <v>509</v>
      </c>
      <c r="AQ122" t="s" s="0">
        <v>288</v>
      </c>
      <c r="AR122" t="s" s="0">
        <v>289</v>
      </c>
      <c r="AS122" t="s" s="0">
        <v>290</v>
      </c>
      <c r="AT122" t="s" s="0">
        <v>3069</v>
      </c>
      <c r="AU122" t="s" s="0">
        <v>3070</v>
      </c>
      <c r="AV122" t="s" s="0">
        <v>81</v>
      </c>
      <c r="AW122" t="s" s="0">
        <v>3071</v>
      </c>
      <c r="AX122" t="s" s="0">
        <v>3072</v>
      </c>
      <c r="AY122" t="s" s="0">
        <v>3073</v>
      </c>
      <c r="AZ122" t="s" s="0">
        <v>144</v>
      </c>
      <c r="BA122" t="s" s="0">
        <v>3074</v>
      </c>
      <c r="BB122" t="s" s="0">
        <v>81</v>
      </c>
      <c r="BC122" t="s" s="0">
        <v>81</v>
      </c>
      <c r="BD122" t="s" s="0">
        <v>81</v>
      </c>
      <c r="BE122" t="s" s="0">
        <v>81</v>
      </c>
      <c r="BF122" t="s" s="0">
        <v>81</v>
      </c>
      <c r="BG122" t="s" s="0">
        <v>81</v>
      </c>
      <c r="BH122" t="s" s="0">
        <v>81</v>
      </c>
      <c r="BI122" t="s" s="0">
        <v>3075</v>
      </c>
      <c r="BJ122" t="s" s="0">
        <v>3076</v>
      </c>
      <c r="BK122" t="s" s="241">
        <f>HYPERLINK("http://dx.doi.org/10.1016/j.jad.2026.121405","http://dx.doi.org/10.1016/j.jad.2026.121405")</f>
        <v>3077</v>
      </c>
      <c r="BL122" t="s" s="0">
        <v>81</v>
      </c>
      <c r="BM122" t="s" s="0">
        <v>508</v>
      </c>
      <c r="BN122" t="s" s="0">
        <v>320</v>
      </c>
      <c r="BO122" t="s" s="0">
        <v>3078</v>
      </c>
      <c r="BP122" t="s" s="0">
        <v>3079</v>
      </c>
      <c r="BQ122" t="s" s="0">
        <v>3080</v>
      </c>
      <c r="BR122" t="s" s="0">
        <v>3081</v>
      </c>
      <c r="BS122" t="s" s="0">
        <v>3082</v>
      </c>
      <c r="BT122" t="s" s="242">
        <f>HYPERLINK("https://www.webofscience.com/wos/woscc/full-record/WOS:001698138100001","View Record in Web of Science")</f>
        <v>120</v>
      </c>
      <c r="BU122" t="s" s="0">
        <v>81</v>
      </c>
      <c r="BV122" t="s" s="0">
        <v>81</v>
      </c>
      <c r="BW122" t="s" s="0">
        <v>81</v>
      </c>
      <c r="BX122" t="s" s="0">
        <v>122</v>
      </c>
    </row>
    <row r="123">
      <c r="A123" t="s" s="0">
        <v>77</v>
      </c>
      <c r="B123" t="s" s="0">
        <v>77</v>
      </c>
      <c r="C123" t="s" s="0">
        <v>77</v>
      </c>
      <c r="D123" t="s" s="0">
        <v>77</v>
      </c>
      <c r="E123" t="s" s="0">
        <v>3083</v>
      </c>
      <c r="F123" t="s" s="0">
        <v>3084</v>
      </c>
      <c r="G123" t="s" s="0">
        <v>3085</v>
      </c>
      <c r="H123" t="s" s="0">
        <v>81</v>
      </c>
      <c r="I123" t="s" s="0">
        <v>82</v>
      </c>
      <c r="J123" t="s" s="0">
        <v>3086</v>
      </c>
      <c r="K123" t="s" s="0">
        <v>3087</v>
      </c>
      <c r="L123" t="s" s="0">
        <v>81</v>
      </c>
      <c r="M123" t="s" s="0">
        <v>81</v>
      </c>
      <c r="N123" t="s" s="0">
        <v>81</v>
      </c>
      <c r="O123" t="s" s="0">
        <v>3088</v>
      </c>
      <c r="P123" t="s" s="0">
        <v>3089</v>
      </c>
      <c r="Q123" t="s" s="0">
        <v>90</v>
      </c>
      <c r="R123" t="s" s="0">
        <v>81</v>
      </c>
      <c r="S123" t="s" s="0">
        <v>81</v>
      </c>
      <c r="T123" t="s" s="0">
        <v>81</v>
      </c>
      <c r="U123" t="s" s="0">
        <v>81</v>
      </c>
      <c r="V123" t="s" s="0">
        <v>3090</v>
      </c>
      <c r="W123" t="s" s="0">
        <v>3091</v>
      </c>
      <c r="X123" t="s" s="0">
        <v>81</v>
      </c>
      <c r="Y123" t="s" s="0">
        <v>81</v>
      </c>
      <c r="Z123" t="s" s="0">
        <v>93</v>
      </c>
      <c r="AA123" t="s" s="0">
        <v>94</v>
      </c>
      <c r="AB123" t="s" s="0">
        <v>81</v>
      </c>
      <c r="AC123" t="s" s="0">
        <v>81</v>
      </c>
      <c r="AD123" t="s" s="0">
        <v>81</v>
      </c>
      <c r="AE123" t="s" s="0">
        <v>81</v>
      </c>
      <c r="AF123" t="s" s="0">
        <v>81</v>
      </c>
      <c r="AG123" t="s" s="0">
        <v>3092</v>
      </c>
      <c r="AH123" t="s" s="0">
        <v>81</v>
      </c>
      <c r="AI123" t="s" s="0">
        <v>3093</v>
      </c>
      <c r="AJ123" t="s" s="0">
        <v>3094</v>
      </c>
      <c r="AK123" t="s" s="0">
        <v>81</v>
      </c>
      <c r="AL123" t="s" s="0">
        <v>1024</v>
      </c>
      <c r="AM123" t="s" s="0">
        <v>77</v>
      </c>
      <c r="AN123" t="s" s="0">
        <v>77</v>
      </c>
      <c r="AO123" t="s" s="0">
        <v>99</v>
      </c>
      <c r="AP123" t="s" s="0">
        <v>210</v>
      </c>
      <c r="AQ123" t="s" s="0">
        <v>2366</v>
      </c>
      <c r="AR123" t="s" s="0">
        <v>2367</v>
      </c>
      <c r="AS123" t="s" s="0">
        <v>2368</v>
      </c>
      <c r="AT123" t="s" s="0">
        <v>3095</v>
      </c>
      <c r="AU123" t="s" s="0">
        <v>81</v>
      </c>
      <c r="AV123" t="s" s="0">
        <v>81</v>
      </c>
      <c r="AW123" t="s" s="0">
        <v>3091</v>
      </c>
      <c r="AX123" t="s" s="0">
        <v>3096</v>
      </c>
      <c r="AY123" t="s" s="0">
        <v>110</v>
      </c>
      <c r="AZ123" t="s" s="0">
        <v>110</v>
      </c>
      <c r="BA123" t="s" s="0">
        <v>115</v>
      </c>
      <c r="BB123" t="s" s="0">
        <v>81</v>
      </c>
      <c r="BC123" t="s" s="0">
        <v>81</v>
      </c>
      <c r="BD123" t="s" s="0">
        <v>81</v>
      </c>
      <c r="BE123" t="s" s="0">
        <v>81</v>
      </c>
      <c r="BF123" t="s" s="0">
        <v>81</v>
      </c>
      <c r="BG123" t="s" s="0">
        <v>3097</v>
      </c>
      <c r="BH123" t="s" s="0">
        <v>3098</v>
      </c>
      <c r="BI123" t="s" s="0">
        <v>81</v>
      </c>
      <c r="BJ123" t="s" s="0">
        <v>3099</v>
      </c>
      <c r="BK123" t="s" s="243">
        <f>HYPERLINK("http://dx.doi.org/10.1109/ACCESS.2025.3623796","http://dx.doi.org/10.1109/ACCESS.2025.3623796")</f>
        <v>3100</v>
      </c>
      <c r="BL123" t="s" s="0">
        <v>81</v>
      </c>
      <c r="BM123" t="s" s="0">
        <v>81</v>
      </c>
      <c r="BN123" t="s" s="0">
        <v>360</v>
      </c>
      <c r="BO123" t="s" s="0">
        <v>3101</v>
      </c>
      <c r="BP123" t="s" s="0">
        <v>3102</v>
      </c>
      <c r="BQ123" t="s" s="0">
        <v>3103</v>
      </c>
      <c r="BR123" t="s" s="0">
        <v>81</v>
      </c>
      <c r="BS123" t="s" s="0">
        <v>3104</v>
      </c>
      <c r="BT123" t="s" s="244">
        <f>HYPERLINK("https://www.webofscience.com/wos/woscc/full-record/WOS:001605291400005","View Record in Web of Science")</f>
        <v>120</v>
      </c>
      <c r="BU123" t="s" s="0">
        <v>121</v>
      </c>
      <c r="BV123" t="s" s="0">
        <v>81</v>
      </c>
      <c r="BW123" t="s" s="0">
        <v>81</v>
      </c>
      <c r="BX123" t="s" s="0">
        <v>122</v>
      </c>
    </row>
    <row r="124">
      <c r="A124" t="s" s="0">
        <v>386</v>
      </c>
      <c r="B124" t="s" s="0">
        <v>77</v>
      </c>
      <c r="C124" t="s" s="0">
        <v>554</v>
      </c>
      <c r="D124" t="s" s="0">
        <v>77</v>
      </c>
      <c r="E124" t="s" s="0">
        <v>3105</v>
      </c>
      <c r="F124" t="s" s="0">
        <v>3106</v>
      </c>
      <c r="G124" t="s" s="0">
        <v>3107</v>
      </c>
      <c r="H124" t="s" s="0">
        <v>81</v>
      </c>
      <c r="I124" t="s" s="0">
        <v>82</v>
      </c>
      <c r="J124" t="s" s="0">
        <v>3108</v>
      </c>
      <c r="K124" t="s" s="0">
        <v>3109</v>
      </c>
      <c r="L124" t="s" s="0">
        <v>3110</v>
      </c>
      <c r="M124" t="s" s="0">
        <v>3111</v>
      </c>
      <c r="N124" t="s" s="0">
        <v>3112</v>
      </c>
      <c r="O124" t="s" s="0">
        <v>3113</v>
      </c>
      <c r="P124" t="s" s="0">
        <v>3114</v>
      </c>
      <c r="Q124" t="s" s="0">
        <v>90</v>
      </c>
      <c r="R124" t="s" s="0">
        <v>81</v>
      </c>
      <c r="S124" t="s" s="0">
        <v>81</v>
      </c>
      <c r="T124" t="s" s="0">
        <v>81</v>
      </c>
      <c r="U124" t="s" s="0">
        <v>81</v>
      </c>
      <c r="V124" t="s" s="0">
        <v>3115</v>
      </c>
      <c r="W124" t="s" s="0">
        <v>3116</v>
      </c>
      <c r="X124" t="s" s="0">
        <v>81</v>
      </c>
      <c r="Y124" t="s" s="0">
        <v>81</v>
      </c>
      <c r="Z124" t="s" s="0">
        <v>93</v>
      </c>
      <c r="AA124" t="s" s="0">
        <v>94</v>
      </c>
      <c r="AB124" t="s" s="0">
        <v>81</v>
      </c>
      <c r="AC124" t="s" s="0">
        <v>81</v>
      </c>
      <c r="AD124" t="s" s="0">
        <v>81</v>
      </c>
      <c r="AE124" t="s" s="0">
        <v>81</v>
      </c>
      <c r="AF124" t="s" s="0">
        <v>81</v>
      </c>
      <c r="AG124" t="s" s="0">
        <v>81</v>
      </c>
      <c r="AH124" t="s" s="0">
        <v>81</v>
      </c>
      <c r="AI124" t="s" s="0">
        <v>3117</v>
      </c>
      <c r="AJ124" t="s" s="0">
        <v>3118</v>
      </c>
      <c r="AK124" t="s" s="0">
        <v>81</v>
      </c>
      <c r="AL124" t="s" s="0">
        <v>168</v>
      </c>
      <c r="AM124" t="s" s="0">
        <v>100</v>
      </c>
      <c r="AN124" t="s" s="0">
        <v>438</v>
      </c>
      <c r="AO124" t="s" s="0">
        <v>946</v>
      </c>
      <c r="AP124" t="s" s="0">
        <v>3119</v>
      </c>
      <c r="AQ124" t="s" s="0">
        <v>1178</v>
      </c>
      <c r="AR124" t="s" s="0">
        <v>1179</v>
      </c>
      <c r="AS124" t="s" s="0">
        <v>1180</v>
      </c>
      <c r="AT124" t="s" s="0">
        <v>3120</v>
      </c>
      <c r="AU124" t="s" s="0">
        <v>3121</v>
      </c>
      <c r="AV124" t="s" s="0">
        <v>81</v>
      </c>
      <c r="AW124" t="s" s="0">
        <v>3116</v>
      </c>
      <c r="AX124" t="s" s="0">
        <v>3122</v>
      </c>
      <c r="AY124" t="s" s="0">
        <v>3123</v>
      </c>
      <c r="AZ124" t="s" s="0">
        <v>592</v>
      </c>
      <c r="BA124" t="s" s="0">
        <v>1772</v>
      </c>
      <c r="BB124" t="s" s="0">
        <v>100</v>
      </c>
      <c r="BC124" t="s" s="0">
        <v>81</v>
      </c>
      <c r="BD124" t="s" s="0">
        <v>81</v>
      </c>
      <c r="BE124" t="s" s="0">
        <v>81</v>
      </c>
      <c r="BF124" t="s" s="0">
        <v>81</v>
      </c>
      <c r="BG124" t="s" s="0">
        <v>3124</v>
      </c>
      <c r="BH124" t="s" s="0">
        <v>3125</v>
      </c>
      <c r="BI124" t="s" s="0">
        <v>81</v>
      </c>
      <c r="BJ124" t="s" s="0">
        <v>3126</v>
      </c>
      <c r="BK124" t="s" s="245">
        <f>HYPERLINK("http://dx.doi.org/10.1097/HEP.0000000000000834","http://dx.doi.org/10.1097/HEP.0000000000000834")</f>
        <v>3127</v>
      </c>
      <c r="BL124" t="s" s="0">
        <v>81</v>
      </c>
      <c r="BM124" t="s" s="0">
        <v>3128</v>
      </c>
      <c r="BN124" t="s" s="0">
        <v>320</v>
      </c>
      <c r="BO124" t="s" s="0">
        <v>1190</v>
      </c>
      <c r="BP124" t="s" s="0">
        <v>1190</v>
      </c>
      <c r="BQ124" t="s" s="0">
        <v>3129</v>
      </c>
      <c r="BR124" t="s" s="0">
        <v>81</v>
      </c>
      <c r="BS124" t="s" s="0">
        <v>3130</v>
      </c>
      <c r="BT124" t="s" s="246">
        <f>HYPERLINK("https://www.webofscience.com/wos/woscc/full-record/WOS:001198383800001","View Record in Web of Science")</f>
        <v>120</v>
      </c>
      <c r="BU124" t="s" s="0">
        <v>805</v>
      </c>
      <c r="BV124" t="s" s="0">
        <v>602</v>
      </c>
      <c r="BW124" t="s" s="0">
        <v>603</v>
      </c>
      <c r="BX124" t="s" s="0">
        <v>122</v>
      </c>
    </row>
    <row r="125">
      <c r="A125" t="s" s="0">
        <v>77</v>
      </c>
      <c r="B125" t="s" s="0">
        <v>77</v>
      </c>
      <c r="C125" t="s" s="0">
        <v>77</v>
      </c>
      <c r="D125" t="s" s="0">
        <v>77</v>
      </c>
      <c r="E125" t="s" s="0">
        <v>3131</v>
      </c>
      <c r="F125" t="s" s="0">
        <v>3132</v>
      </c>
      <c r="G125" t="s" s="0">
        <v>3133</v>
      </c>
      <c r="H125" t="s" s="0">
        <v>81</v>
      </c>
      <c r="I125" t="s" s="0">
        <v>82</v>
      </c>
      <c r="J125" t="s" s="0">
        <v>3134</v>
      </c>
      <c r="K125" t="s" s="0">
        <v>3135</v>
      </c>
      <c r="L125" t="s" s="0">
        <v>3136</v>
      </c>
      <c r="M125" t="s" s="0">
        <v>3137</v>
      </c>
      <c r="N125" t="s" s="0">
        <v>3138</v>
      </c>
      <c r="O125" t="s" s="0">
        <v>3139</v>
      </c>
      <c r="P125" t="s" s="0">
        <v>3140</v>
      </c>
      <c r="Q125" t="s" s="0">
        <v>90</v>
      </c>
      <c r="R125" t="s" s="0">
        <v>81</v>
      </c>
      <c r="S125" t="s" s="0">
        <v>81</v>
      </c>
      <c r="T125" t="s" s="0">
        <v>81</v>
      </c>
      <c r="U125" t="s" s="0">
        <v>81</v>
      </c>
      <c r="V125" t="s" s="0">
        <v>3141</v>
      </c>
      <c r="W125" t="s" s="0">
        <v>3142</v>
      </c>
      <c r="X125" t="s" s="0">
        <v>81</v>
      </c>
      <c r="Y125" t="s" s="0">
        <v>81</v>
      </c>
      <c r="Z125" t="s" s="0">
        <v>93</v>
      </c>
      <c r="AA125" t="s" s="0">
        <v>94</v>
      </c>
      <c r="AB125" t="s" s="0">
        <v>81</v>
      </c>
      <c r="AC125" t="s" s="0">
        <v>81</v>
      </c>
      <c r="AD125" t="s" s="0">
        <v>81</v>
      </c>
      <c r="AE125" t="s" s="0">
        <v>81</v>
      </c>
      <c r="AF125" t="s" s="0">
        <v>81</v>
      </c>
      <c r="AG125" t="s" s="0">
        <v>3143</v>
      </c>
      <c r="AH125" t="s" s="0">
        <v>3144</v>
      </c>
      <c r="AI125" t="s" s="0">
        <v>81</v>
      </c>
      <c r="AJ125" t="s" s="0">
        <v>81</v>
      </c>
      <c r="AK125" t="s" s="0">
        <v>81</v>
      </c>
      <c r="AL125" t="s" s="0">
        <v>2026</v>
      </c>
      <c r="AM125" t="s" s="0">
        <v>77</v>
      </c>
      <c r="AN125" t="s" s="0">
        <v>77</v>
      </c>
      <c r="AO125" t="s" s="0">
        <v>77</v>
      </c>
      <c r="AP125" t="s" s="0">
        <v>77</v>
      </c>
      <c r="AQ125" t="s" s="0">
        <v>2412</v>
      </c>
      <c r="AR125" t="s" s="0">
        <v>2413</v>
      </c>
      <c r="AS125" t="s" s="0">
        <v>2414</v>
      </c>
      <c r="AT125" t="s" s="0">
        <v>3145</v>
      </c>
      <c r="AU125" t="s" s="0">
        <v>3146</v>
      </c>
      <c r="AV125" t="s" s="0">
        <v>81</v>
      </c>
      <c r="AW125" t="s" s="0">
        <v>3147</v>
      </c>
      <c r="AX125" t="s" s="0">
        <v>3148</v>
      </c>
      <c r="AY125" t="s" s="0">
        <v>3149</v>
      </c>
      <c r="AZ125" t="s" s="0">
        <v>144</v>
      </c>
      <c r="BA125" t="s" s="0">
        <v>199</v>
      </c>
      <c r="BB125" t="s" s="0">
        <v>386</v>
      </c>
      <c r="BC125" t="s" s="0">
        <v>81</v>
      </c>
      <c r="BD125" t="s" s="0">
        <v>81</v>
      </c>
      <c r="BE125" t="s" s="0">
        <v>81</v>
      </c>
      <c r="BF125" t="s" s="0">
        <v>81</v>
      </c>
      <c r="BG125" t="s" s="0">
        <v>3150</v>
      </c>
      <c r="BH125" t="s" s="0">
        <v>3151</v>
      </c>
      <c r="BI125" t="s" s="0">
        <v>81</v>
      </c>
      <c r="BJ125" t="s" s="0">
        <v>3152</v>
      </c>
      <c r="BK125" t="s" s="247">
        <f>HYPERLINK("http://dx.doi.org/10.1177/10966218261438105","http://dx.doi.org/10.1177/10966218261438105")</f>
        <v>3153</v>
      </c>
      <c r="BL125" t="s" s="0">
        <v>81</v>
      </c>
      <c r="BM125" t="s" s="0">
        <v>209</v>
      </c>
      <c r="BN125" t="s" s="0">
        <v>328</v>
      </c>
      <c r="BO125" t="s" s="0">
        <v>2864</v>
      </c>
      <c r="BP125" t="s" s="0">
        <v>2864</v>
      </c>
      <c r="BQ125" t="s" s="0">
        <v>3154</v>
      </c>
      <c r="BR125" t="s" s="0">
        <v>3155</v>
      </c>
      <c r="BS125" t="s" s="0">
        <v>3156</v>
      </c>
      <c r="BT125" t="s" s="248">
        <f>HYPERLINK("https://www.webofscience.com/wos/woscc/full-record/WOS:001748291400001","View Record in Web of Science")</f>
        <v>120</v>
      </c>
      <c r="BU125" t="s" s="0">
        <v>81</v>
      </c>
      <c r="BV125" t="s" s="0">
        <v>81</v>
      </c>
      <c r="BW125" t="s" s="0">
        <v>81</v>
      </c>
      <c r="BX125" t="s" s="0">
        <v>122</v>
      </c>
    </row>
    <row r="126">
      <c r="A126" t="s" s="0">
        <v>77</v>
      </c>
      <c r="B126" t="s" s="0">
        <v>77</v>
      </c>
      <c r="C126" t="s" s="0">
        <v>77</v>
      </c>
      <c r="D126" t="s" s="0">
        <v>77</v>
      </c>
      <c r="E126" t="s" s="0">
        <v>3157</v>
      </c>
      <c r="F126" t="s" s="0">
        <v>3158</v>
      </c>
      <c r="G126" t="s" s="0">
        <v>3159</v>
      </c>
      <c r="H126" t="s" s="0">
        <v>81</v>
      </c>
      <c r="I126" t="s" s="0">
        <v>218</v>
      </c>
      <c r="J126" t="s" s="0">
        <v>3160</v>
      </c>
      <c r="K126" t="s" s="0">
        <v>3161</v>
      </c>
      <c r="L126" t="s" s="0">
        <v>81</v>
      </c>
      <c r="M126" t="s" s="0">
        <v>81</v>
      </c>
      <c r="N126" t="s" s="0">
        <v>81</v>
      </c>
      <c r="O126" t="s" s="0">
        <v>3162</v>
      </c>
      <c r="P126" t="s" s="0">
        <v>3163</v>
      </c>
      <c r="Q126" t="s" s="0">
        <v>90</v>
      </c>
      <c r="R126" t="s" s="0">
        <v>81</v>
      </c>
      <c r="S126" t="s" s="0">
        <v>81</v>
      </c>
      <c r="T126" t="s" s="0">
        <v>81</v>
      </c>
      <c r="U126" t="s" s="0">
        <v>81</v>
      </c>
      <c r="V126" t="s" s="0">
        <v>3164</v>
      </c>
      <c r="W126" t="s" s="0">
        <v>3165</v>
      </c>
      <c r="X126" t="s" s="0">
        <v>81</v>
      </c>
      <c r="Y126" t="s" s="0">
        <v>81</v>
      </c>
      <c r="Z126" t="s" s="0">
        <v>93</v>
      </c>
      <c r="AA126" t="s" s="0">
        <v>94</v>
      </c>
      <c r="AB126" t="s" s="0">
        <v>81</v>
      </c>
      <c r="AC126" t="s" s="0">
        <v>81</v>
      </c>
      <c r="AD126" t="s" s="0">
        <v>81</v>
      </c>
      <c r="AE126" t="s" s="0">
        <v>81</v>
      </c>
      <c r="AF126" t="s" s="0">
        <v>81</v>
      </c>
      <c r="AG126" t="s" s="0">
        <v>3166</v>
      </c>
      <c r="AH126" t="s" s="0">
        <v>258</v>
      </c>
      <c r="AI126" t="s" s="0">
        <v>81</v>
      </c>
      <c r="AJ126" t="s" s="0">
        <v>3167</v>
      </c>
      <c r="AK126" t="s" s="0">
        <v>81</v>
      </c>
      <c r="AL126" t="s" s="0">
        <v>136</v>
      </c>
      <c r="AM126" t="s" s="0">
        <v>77</v>
      </c>
      <c r="AN126" t="s" s="0">
        <v>77</v>
      </c>
      <c r="AO126" t="s" s="0">
        <v>452</v>
      </c>
      <c r="AP126" t="s" s="0">
        <v>452</v>
      </c>
      <c r="AQ126" t="s" s="0">
        <v>103</v>
      </c>
      <c r="AR126" t="s" s="0">
        <v>104</v>
      </c>
      <c r="AS126" t="s" s="0">
        <v>105</v>
      </c>
      <c r="AT126" t="s" s="0">
        <v>81</v>
      </c>
      <c r="AU126" t="s" s="0">
        <v>3168</v>
      </c>
      <c r="AV126" t="s" s="0">
        <v>81</v>
      </c>
      <c r="AW126" t="s" s="0">
        <v>3169</v>
      </c>
      <c r="AX126" t="s" s="0">
        <v>3170</v>
      </c>
      <c r="AY126" t="s" s="0">
        <v>144</v>
      </c>
      <c r="AZ126" t="s" s="0">
        <v>144</v>
      </c>
      <c r="BA126" t="s" s="0">
        <v>328</v>
      </c>
      <c r="BB126" t="s" s="0">
        <v>81</v>
      </c>
      <c r="BC126" t="s" s="0">
        <v>81</v>
      </c>
      <c r="BD126" t="s" s="0">
        <v>81</v>
      </c>
      <c r="BE126" t="s" s="0">
        <v>81</v>
      </c>
      <c r="BF126" t="s" s="0">
        <v>81</v>
      </c>
      <c r="BG126" t="s" s="0">
        <v>81</v>
      </c>
      <c r="BH126" t="s" s="0">
        <v>81</v>
      </c>
      <c r="BI126" t="s" s="0">
        <v>3171</v>
      </c>
      <c r="BJ126" t="s" s="0">
        <v>3172</v>
      </c>
      <c r="BK126" t="s" s="249">
        <f>HYPERLINK("http://dx.doi.org/10.2196/88567","http://dx.doi.org/10.2196/88567")</f>
        <v>3173</v>
      </c>
      <c r="BL126" t="s" s="0">
        <v>81</v>
      </c>
      <c r="BM126" t="s" s="0">
        <v>81</v>
      </c>
      <c r="BN126" t="s" s="0">
        <v>320</v>
      </c>
      <c r="BO126" t="s" s="0">
        <v>3174</v>
      </c>
      <c r="BP126" t="s" s="0">
        <v>3174</v>
      </c>
      <c r="BQ126" t="s" s="0">
        <v>3175</v>
      </c>
      <c r="BR126" t="s" s="0">
        <v>3176</v>
      </c>
      <c r="BS126" t="s" s="0">
        <v>3177</v>
      </c>
      <c r="BT126" t="s" s="250">
        <f>HYPERLINK("https://www.webofscience.com/wos/woscc/full-record/WOS:001792107700001","View Record in Web of Science")</f>
        <v>120</v>
      </c>
      <c r="BU126" t="s" s="0">
        <v>121</v>
      </c>
      <c r="BV126" t="s" s="0">
        <v>81</v>
      </c>
      <c r="BW126" t="s" s="0">
        <v>81</v>
      </c>
      <c r="BX126" t="s" s="0">
        <v>122</v>
      </c>
    </row>
    <row r="127">
      <c r="A127" t="s" s="0">
        <v>77</v>
      </c>
      <c r="B127" t="s" s="0">
        <v>77</v>
      </c>
      <c r="C127" t="s" s="0">
        <v>77</v>
      </c>
      <c r="D127" t="s" s="0">
        <v>77</v>
      </c>
      <c r="E127" t="s" s="0">
        <v>3178</v>
      </c>
      <c r="F127" t="s" s="0">
        <v>3179</v>
      </c>
      <c r="G127" t="s" s="0">
        <v>3180</v>
      </c>
      <c r="H127" t="s" s="0">
        <v>81</v>
      </c>
      <c r="I127" t="s" s="0">
        <v>82</v>
      </c>
      <c r="J127" t="s" s="0">
        <v>81</v>
      </c>
      <c r="K127" t="s" s="0">
        <v>3181</v>
      </c>
      <c r="L127" t="s" s="0">
        <v>3182</v>
      </c>
      <c r="M127" t="s" s="0">
        <v>3183</v>
      </c>
      <c r="N127" t="s" s="0">
        <v>3184</v>
      </c>
      <c r="O127" t="s" s="0">
        <v>3185</v>
      </c>
      <c r="P127" t="s" s="0">
        <v>3186</v>
      </c>
      <c r="Q127" t="s" s="0">
        <v>90</v>
      </c>
      <c r="R127" t="s" s="0">
        <v>81</v>
      </c>
      <c r="S127" t="s" s="0">
        <v>81</v>
      </c>
      <c r="T127" t="s" s="0">
        <v>81</v>
      </c>
      <c r="U127" t="s" s="0">
        <v>81</v>
      </c>
      <c r="V127" t="s" s="0">
        <v>3187</v>
      </c>
      <c r="W127" t="s" s="0">
        <v>464</v>
      </c>
      <c r="X127" t="s" s="0">
        <v>81</v>
      </c>
      <c r="Y127" t="s" s="0">
        <v>81</v>
      </c>
      <c r="Z127" t="s" s="0">
        <v>93</v>
      </c>
      <c r="AA127" t="s" s="0">
        <v>94</v>
      </c>
      <c r="AB127" t="s" s="0">
        <v>81</v>
      </c>
      <c r="AC127" t="s" s="0">
        <v>81</v>
      </c>
      <c r="AD127" t="s" s="0">
        <v>81</v>
      </c>
      <c r="AE127" t="s" s="0">
        <v>81</v>
      </c>
      <c r="AF127" t="s" s="0">
        <v>81</v>
      </c>
      <c r="AG127" t="s" s="0">
        <v>3188</v>
      </c>
      <c r="AH127" t="s" s="0">
        <v>3189</v>
      </c>
      <c r="AI127" t="s" s="0">
        <v>3190</v>
      </c>
      <c r="AJ127" t="s" s="0">
        <v>3191</v>
      </c>
      <c r="AK127" t="s" s="0">
        <v>81</v>
      </c>
      <c r="AL127" t="s" s="0">
        <v>944</v>
      </c>
      <c r="AM127" t="s" s="0">
        <v>101</v>
      </c>
      <c r="AN127" t="s" s="0">
        <v>101</v>
      </c>
      <c r="AO127" t="s" s="0">
        <v>554</v>
      </c>
      <c r="AP127" t="s" s="0">
        <v>301</v>
      </c>
      <c r="AQ127" t="s" s="0">
        <v>470</v>
      </c>
      <c r="AR127" t="s" s="0">
        <v>3192</v>
      </c>
      <c r="AS127" t="s" s="0">
        <v>3193</v>
      </c>
      <c r="AT127" t="s" s="0">
        <v>473</v>
      </c>
      <c r="AU127" t="s" s="0">
        <v>474</v>
      </c>
      <c r="AV127" t="s" s="0">
        <v>81</v>
      </c>
      <c r="AW127" t="s" s="0">
        <v>475</v>
      </c>
      <c r="AX127" t="s" s="0">
        <v>476</v>
      </c>
      <c r="AY127" t="s" s="0">
        <v>3194</v>
      </c>
      <c r="AZ127" t="s" s="0">
        <v>110</v>
      </c>
      <c r="BA127" t="s" s="0">
        <v>478</v>
      </c>
      <c r="BB127" t="s" s="0">
        <v>328</v>
      </c>
      <c r="BC127" t="s" s="0">
        <v>81</v>
      </c>
      <c r="BD127" t="s" s="0">
        <v>81</v>
      </c>
      <c r="BE127" t="s" s="0">
        <v>81</v>
      </c>
      <c r="BF127" t="s" s="0">
        <v>81</v>
      </c>
      <c r="BG127" t="s" s="0">
        <v>81</v>
      </c>
      <c r="BH127" t="s" s="0">
        <v>81</v>
      </c>
      <c r="BI127" t="s" s="0">
        <v>3195</v>
      </c>
      <c r="BJ127" t="s" s="0">
        <v>3196</v>
      </c>
      <c r="BK127" t="s" s="251">
        <f>HYPERLINK("http://dx.doi.org/10.1088/1361-6560/adcb17","http://dx.doi.org/10.1088/1361-6560/adcb17")</f>
        <v>3197</v>
      </c>
      <c r="BL127" t="s" s="0">
        <v>81</v>
      </c>
      <c r="BM127" t="s" s="0">
        <v>81</v>
      </c>
      <c r="BN127" t="s" s="0">
        <v>265</v>
      </c>
      <c r="BO127" t="s" s="0">
        <v>482</v>
      </c>
      <c r="BP127" t="s" s="0">
        <v>483</v>
      </c>
      <c r="BQ127" t="s" s="0">
        <v>3198</v>
      </c>
      <c r="BR127" t="s" s="0">
        <v>3199</v>
      </c>
      <c r="BS127" t="s" s="0">
        <v>3200</v>
      </c>
      <c r="BT127" t="s" s="252">
        <f>HYPERLINK("https://www.webofscience.com/wos/woscc/full-record/WOS:001480266600001","View Record in Web of Science")</f>
        <v>120</v>
      </c>
      <c r="BU127" t="s" s="0">
        <v>81</v>
      </c>
      <c r="BV127" t="s" s="0">
        <v>81</v>
      </c>
      <c r="BW127" t="s" s="0">
        <v>81</v>
      </c>
      <c r="BX127" t="s" s="0">
        <v>122</v>
      </c>
    </row>
    <row r="128">
      <c r="A128" t="s" s="0">
        <v>77</v>
      </c>
      <c r="B128" t="s" s="0">
        <v>77</v>
      </c>
      <c r="C128" t="s" s="0">
        <v>77</v>
      </c>
      <c r="D128" t="s" s="0">
        <v>77</v>
      </c>
      <c r="E128" t="s" s="0">
        <v>3201</v>
      </c>
      <c r="F128" t="s" s="0">
        <v>3202</v>
      </c>
      <c r="G128" t="s" s="0">
        <v>3203</v>
      </c>
      <c r="H128" t="s" s="0">
        <v>81</v>
      </c>
      <c r="I128" t="s" s="0">
        <v>82</v>
      </c>
      <c r="J128" t="s" s="0">
        <v>3204</v>
      </c>
      <c r="K128" t="s" s="0">
        <v>3205</v>
      </c>
      <c r="L128" t="s" s="0">
        <v>81</v>
      </c>
      <c r="M128" t="s" s="0">
        <v>81</v>
      </c>
      <c r="N128" t="s" s="0">
        <v>3206</v>
      </c>
      <c r="O128" t="s" s="0">
        <v>3207</v>
      </c>
      <c r="P128" t="s" s="0">
        <v>3208</v>
      </c>
      <c r="Q128" t="s" s="0">
        <v>90</v>
      </c>
      <c r="R128" t="s" s="0">
        <v>81</v>
      </c>
      <c r="S128" t="s" s="0">
        <v>81</v>
      </c>
      <c r="T128" t="s" s="0">
        <v>81</v>
      </c>
      <c r="U128" t="s" s="0">
        <v>81</v>
      </c>
      <c r="V128" t="s" s="0">
        <v>3209</v>
      </c>
      <c r="W128" t="s" s="0">
        <v>3038</v>
      </c>
      <c r="X128" t="s" s="0">
        <v>81</v>
      </c>
      <c r="Y128" t="s" s="0">
        <v>81</v>
      </c>
      <c r="Z128" t="s" s="0">
        <v>93</v>
      </c>
      <c r="AA128" t="s" s="0">
        <v>94</v>
      </c>
      <c r="AB128" t="s" s="0">
        <v>81</v>
      </c>
      <c r="AC128" t="s" s="0">
        <v>81</v>
      </c>
      <c r="AD128" t="s" s="0">
        <v>81</v>
      </c>
      <c r="AE128" t="s" s="0">
        <v>81</v>
      </c>
      <c r="AF128" t="s" s="0">
        <v>81</v>
      </c>
      <c r="AG128" t="s" s="0">
        <v>3210</v>
      </c>
      <c r="AH128" t="s" s="0">
        <v>81</v>
      </c>
      <c r="AI128" t="s" s="0">
        <v>3211</v>
      </c>
      <c r="AJ128" t="s" s="0">
        <v>81</v>
      </c>
      <c r="AK128" t="s" s="0">
        <v>81</v>
      </c>
      <c r="AL128" t="s" s="0">
        <v>944</v>
      </c>
      <c r="AM128" t="s" s="0">
        <v>100</v>
      </c>
      <c r="AN128" t="s" s="0">
        <v>100</v>
      </c>
      <c r="AO128" t="s" s="0">
        <v>554</v>
      </c>
      <c r="AP128" t="s" s="0">
        <v>554</v>
      </c>
      <c r="AQ128" t="s" s="0">
        <v>712</v>
      </c>
      <c r="AR128" t="s" s="0">
        <v>500</v>
      </c>
      <c r="AS128" t="s" s="0">
        <v>3042</v>
      </c>
      <c r="AT128" t="s" s="0">
        <v>3043</v>
      </c>
      <c r="AU128" t="s" s="0">
        <v>3044</v>
      </c>
      <c r="AV128" t="s" s="0">
        <v>81</v>
      </c>
      <c r="AW128" t="s" s="0">
        <v>3045</v>
      </c>
      <c r="AX128" t="s" s="0">
        <v>3046</v>
      </c>
      <c r="AY128" t="s" s="0">
        <v>508</v>
      </c>
      <c r="AZ128" t="s" s="0">
        <v>144</v>
      </c>
      <c r="BA128" t="s" s="0">
        <v>583</v>
      </c>
      <c r="BB128" t="s" s="0">
        <v>554</v>
      </c>
      <c r="BC128" t="s" s="0">
        <v>81</v>
      </c>
      <c r="BD128" t="s" s="0">
        <v>81</v>
      </c>
      <c r="BE128" t="s" s="0">
        <v>81</v>
      </c>
      <c r="BF128" t="s" s="0">
        <v>81</v>
      </c>
      <c r="BG128" t="s" s="0">
        <v>2981</v>
      </c>
      <c r="BH128" t="s" s="0">
        <v>3212</v>
      </c>
      <c r="BI128" t="s" s="0">
        <v>81</v>
      </c>
      <c r="BJ128" t="s" s="0">
        <v>3213</v>
      </c>
      <c r="BK128" t="s" s="253">
        <f>HYPERLINK("http://dx.doi.org/10.1016/j.acra.2025.10.043","http://dx.doi.org/10.1016/j.acra.2025.10.043")</f>
        <v>3214</v>
      </c>
      <c r="BL128" t="s" s="0">
        <v>81</v>
      </c>
      <c r="BM128" t="s" s="0">
        <v>2055</v>
      </c>
      <c r="BN128" t="s" s="0">
        <v>320</v>
      </c>
      <c r="BO128" t="s" s="0">
        <v>182</v>
      </c>
      <c r="BP128" t="s" s="0">
        <v>182</v>
      </c>
      <c r="BQ128" t="s" s="0">
        <v>3215</v>
      </c>
      <c r="BR128" t="s" s="0">
        <v>3216</v>
      </c>
      <c r="BS128" t="s" s="0">
        <v>3217</v>
      </c>
      <c r="BT128" t="s" s="254">
        <f>HYPERLINK("https://www.webofscience.com/wos/woscc/full-record/WOS:001675061700001","View Record in Web of Science")</f>
        <v>120</v>
      </c>
      <c r="BU128" t="s" s="0">
        <v>81</v>
      </c>
      <c r="BV128" t="s" s="0">
        <v>602</v>
      </c>
      <c r="BW128" t="s" s="0">
        <v>603</v>
      </c>
      <c r="BX128" t="s" s="0">
        <v>122</v>
      </c>
    </row>
    <row r="129">
      <c r="A129" t="s" s="0">
        <v>77</v>
      </c>
      <c r="B129" t="s" s="0">
        <v>77</v>
      </c>
      <c r="C129" t="s" s="0">
        <v>77</v>
      </c>
      <c r="D129" t="s" s="0">
        <v>77</v>
      </c>
      <c r="E129" t="s" s="0">
        <v>3218</v>
      </c>
      <c r="F129" t="s" s="0">
        <v>3219</v>
      </c>
      <c r="G129" t="s" s="0">
        <v>3220</v>
      </c>
      <c r="H129" t="s" s="0">
        <v>81</v>
      </c>
      <c r="I129" t="s" s="0">
        <v>218</v>
      </c>
      <c r="J129" t="s" s="0">
        <v>3221</v>
      </c>
      <c r="K129" t="s" s="0">
        <v>3222</v>
      </c>
      <c r="L129" t="s" s="0">
        <v>3223</v>
      </c>
      <c r="M129" t="s" s="0">
        <v>3223</v>
      </c>
      <c r="N129" t="s" s="0">
        <v>3224</v>
      </c>
      <c r="O129" t="s" s="0">
        <v>3225</v>
      </c>
      <c r="P129" t="s" s="0">
        <v>3226</v>
      </c>
      <c r="Q129" t="s" s="0">
        <v>90</v>
      </c>
      <c r="R129" t="s" s="0">
        <v>81</v>
      </c>
      <c r="S129" t="s" s="0">
        <v>81</v>
      </c>
      <c r="T129" t="s" s="0">
        <v>81</v>
      </c>
      <c r="U129" t="s" s="0">
        <v>81</v>
      </c>
      <c r="V129" t="s" s="0">
        <v>3227</v>
      </c>
      <c r="W129" t="s" s="0">
        <v>3228</v>
      </c>
      <c r="X129" t="s" s="0">
        <v>81</v>
      </c>
      <c r="Y129" t="s" s="0">
        <v>81</v>
      </c>
      <c r="Z129" t="s" s="0">
        <v>93</v>
      </c>
      <c r="AA129" t="s" s="0">
        <v>94</v>
      </c>
      <c r="AB129" t="s" s="0">
        <v>81</v>
      </c>
      <c r="AC129" t="s" s="0">
        <v>81</v>
      </c>
      <c r="AD129" t="s" s="0">
        <v>81</v>
      </c>
      <c r="AE129" t="s" s="0">
        <v>81</v>
      </c>
      <c r="AF129" t="s" s="0">
        <v>81</v>
      </c>
      <c r="AG129" t="s" s="0">
        <v>3229</v>
      </c>
      <c r="AH129" t="s" s="0">
        <v>3230</v>
      </c>
      <c r="AI129" t="s" s="0">
        <v>3231</v>
      </c>
      <c r="AJ129" t="s" s="0">
        <v>3232</v>
      </c>
      <c r="AK129" t="s" s="0">
        <v>81</v>
      </c>
      <c r="AL129" t="s" s="0">
        <v>658</v>
      </c>
      <c r="AM129" t="s" s="0">
        <v>101</v>
      </c>
      <c r="AN129" t="s" s="0">
        <v>101</v>
      </c>
      <c r="AO129" t="s" s="0">
        <v>101</v>
      </c>
      <c r="AP129" t="s" s="0">
        <v>102</v>
      </c>
      <c r="AQ129" t="s" s="0">
        <v>1380</v>
      </c>
      <c r="AR129" t="s" s="0">
        <v>201</v>
      </c>
      <c r="AS129" t="s" s="0">
        <v>3233</v>
      </c>
      <c r="AT129" t="s" s="0">
        <v>81</v>
      </c>
      <c r="AU129" t="s" s="0">
        <v>3234</v>
      </c>
      <c r="AV129" t="s" s="0">
        <v>81</v>
      </c>
      <c r="AW129" t="s" s="0">
        <v>3235</v>
      </c>
      <c r="AX129" t="s" s="0">
        <v>3236</v>
      </c>
      <c r="AY129" t="s" s="0">
        <v>3237</v>
      </c>
      <c r="AZ129" t="s" s="0">
        <v>592</v>
      </c>
      <c r="BA129" t="s" s="0">
        <v>101</v>
      </c>
      <c r="BB129" t="s" s="0">
        <v>169</v>
      </c>
      <c r="BC129" t="s" s="0">
        <v>81</v>
      </c>
      <c r="BD129" t="s" s="0">
        <v>81</v>
      </c>
      <c r="BE129" t="s" s="0">
        <v>81</v>
      </c>
      <c r="BF129" t="s" s="0">
        <v>81</v>
      </c>
      <c r="BG129" t="s" s="0">
        <v>81</v>
      </c>
      <c r="BH129" t="s" s="0">
        <v>81</v>
      </c>
      <c r="BI129" t="s" s="0">
        <v>3238</v>
      </c>
      <c r="BJ129" t="s" s="0">
        <v>3239</v>
      </c>
      <c r="BK129" t="s" s="255">
        <f>HYPERLINK("http://dx.doi.org/10.1007/s44186-024-00303-z","http://dx.doi.org/10.1007/s44186-024-00303-z")</f>
        <v>3240</v>
      </c>
      <c r="BL129" t="s" s="0">
        <v>81</v>
      </c>
      <c r="BM129" t="s" s="0">
        <v>81</v>
      </c>
      <c r="BN129" t="s" s="0">
        <v>360</v>
      </c>
      <c r="BO129" t="s" s="0">
        <v>3241</v>
      </c>
      <c r="BP129" t="s" s="0">
        <v>3242</v>
      </c>
      <c r="BQ129" t="s" s="0">
        <v>3243</v>
      </c>
      <c r="BR129" t="s" s="0">
        <v>81</v>
      </c>
      <c r="BS129" t="s" s="0">
        <v>3244</v>
      </c>
      <c r="BT129" t="s" s="256">
        <f>HYPERLINK("https://www.webofscience.com/wos/woscc/full-record/WOS:001489681500001","View Record in Web of Science")</f>
        <v>120</v>
      </c>
      <c r="BU129" t="s" s="0">
        <v>306</v>
      </c>
      <c r="BV129" t="s" s="0">
        <v>81</v>
      </c>
      <c r="BW129" t="s" s="0">
        <v>81</v>
      </c>
      <c r="BX129" t="s" s="0">
        <v>122</v>
      </c>
    </row>
    <row r="130">
      <c r="A130" t="s" s="0">
        <v>77</v>
      </c>
      <c r="B130" t="s" s="0">
        <v>77</v>
      </c>
      <c r="C130" t="s" s="0">
        <v>77</v>
      </c>
      <c r="D130" t="s" s="0">
        <v>77</v>
      </c>
      <c r="E130" t="s" s="0">
        <v>3245</v>
      </c>
      <c r="F130" t="s" s="0">
        <v>3246</v>
      </c>
      <c r="G130" t="s" s="0">
        <v>3247</v>
      </c>
      <c r="H130" t="s" s="0">
        <v>81</v>
      </c>
      <c r="I130" t="s" s="0">
        <v>82</v>
      </c>
      <c r="J130" t="s" s="0">
        <v>3248</v>
      </c>
      <c r="K130" t="s" s="0">
        <v>3249</v>
      </c>
      <c r="L130" t="s" s="0">
        <v>3250</v>
      </c>
      <c r="M130" t="s" s="0">
        <v>3251</v>
      </c>
      <c r="N130" t="s" s="0">
        <v>3252</v>
      </c>
      <c r="O130" t="s" s="0">
        <v>3253</v>
      </c>
      <c r="P130" t="s" s="0">
        <v>3254</v>
      </c>
      <c r="Q130" t="s" s="0">
        <v>90</v>
      </c>
      <c r="R130" t="s" s="0">
        <v>81</v>
      </c>
      <c r="S130" t="s" s="0">
        <v>81</v>
      </c>
      <c r="T130" t="s" s="0">
        <v>81</v>
      </c>
      <c r="U130" t="s" s="0">
        <v>81</v>
      </c>
      <c r="V130" t="s" s="0">
        <v>3255</v>
      </c>
      <c r="W130" t="s" s="0">
        <v>3256</v>
      </c>
      <c r="X130" t="s" s="0">
        <v>81</v>
      </c>
      <c r="Y130" t="s" s="0">
        <v>81</v>
      </c>
      <c r="Z130" t="s" s="0">
        <v>93</v>
      </c>
      <c r="AA130" t="s" s="0">
        <v>94</v>
      </c>
      <c r="AB130" t="s" s="0">
        <v>81</v>
      </c>
      <c r="AC130" t="s" s="0">
        <v>81</v>
      </c>
      <c r="AD130" t="s" s="0">
        <v>81</v>
      </c>
      <c r="AE130" t="s" s="0">
        <v>81</v>
      </c>
      <c r="AF130" t="s" s="0">
        <v>81</v>
      </c>
      <c r="AG130" t="s" s="0">
        <v>3257</v>
      </c>
      <c r="AH130" t="s" s="0">
        <v>3258</v>
      </c>
      <c r="AI130" t="s" s="0">
        <v>81</v>
      </c>
      <c r="AJ130" t="s" s="0">
        <v>81</v>
      </c>
      <c r="AK130" t="s" s="0">
        <v>81</v>
      </c>
      <c r="AL130" t="s" s="0">
        <v>287</v>
      </c>
      <c r="AM130" t="s" s="0">
        <v>77</v>
      </c>
      <c r="AN130" t="s" s="0">
        <v>77</v>
      </c>
      <c r="AO130" t="s" s="0">
        <v>169</v>
      </c>
      <c r="AP130" t="s" s="0">
        <v>169</v>
      </c>
      <c r="AQ130" t="s" s="0">
        <v>353</v>
      </c>
      <c r="AR130" t="s" s="0">
        <v>354</v>
      </c>
      <c r="AS130" t="s" s="0">
        <v>355</v>
      </c>
      <c r="AT130" t="s" s="0">
        <v>81</v>
      </c>
      <c r="AU130" t="s" s="0">
        <v>3259</v>
      </c>
      <c r="AV130" t="s" s="0">
        <v>81</v>
      </c>
      <c r="AW130" t="s" s="0">
        <v>3260</v>
      </c>
      <c r="AX130" t="s" s="0">
        <v>3261</v>
      </c>
      <c r="AY130" t="s" s="0">
        <v>3262</v>
      </c>
      <c r="AZ130" t="s" s="0">
        <v>144</v>
      </c>
      <c r="BA130" t="s" s="0">
        <v>115</v>
      </c>
      <c r="BB130" t="s" s="0">
        <v>81</v>
      </c>
      <c r="BC130" t="s" s="0">
        <v>81</v>
      </c>
      <c r="BD130" t="s" s="0">
        <v>81</v>
      </c>
      <c r="BE130" t="s" s="0">
        <v>81</v>
      </c>
      <c r="BF130" t="s" s="0">
        <v>81</v>
      </c>
      <c r="BG130" t="s" s="0">
        <v>81</v>
      </c>
      <c r="BH130" t="s" s="0">
        <v>81</v>
      </c>
      <c r="BI130" t="s" s="0">
        <v>3263</v>
      </c>
      <c r="BJ130" t="s" s="0">
        <v>3264</v>
      </c>
      <c r="BK130" t="s" s="257">
        <f>HYPERLINK("http://dx.doi.org/10.3389/fmed.2026.1874243","http://dx.doi.org/10.3389/fmed.2026.1874243")</f>
        <v>3265</v>
      </c>
      <c r="BL130" t="s" s="0">
        <v>81</v>
      </c>
      <c r="BM130" t="s" s="0">
        <v>81</v>
      </c>
      <c r="BN130" t="s" s="0">
        <v>946</v>
      </c>
      <c r="BO130" t="s" s="0">
        <v>149</v>
      </c>
      <c r="BP130" t="s" s="0">
        <v>150</v>
      </c>
      <c r="BQ130" t="s" s="0">
        <v>3266</v>
      </c>
      <c r="BR130" t="s" s="0">
        <v>3267</v>
      </c>
      <c r="BS130" t="s" s="0">
        <v>3268</v>
      </c>
      <c r="BT130" t="s" s="258">
        <f>HYPERLINK("https://www.webofscience.com/wos/woscc/full-record/WOS:001835402800001","View Record in Web of Science")</f>
        <v>120</v>
      </c>
      <c r="BU130" t="s" s="0">
        <v>121</v>
      </c>
      <c r="BV130" t="s" s="0">
        <v>81</v>
      </c>
      <c r="BW130" t="s" s="0">
        <v>81</v>
      </c>
      <c r="BX130" t="s" s="0">
        <v>122</v>
      </c>
    </row>
    <row r="131">
      <c r="A131" t="s" s="0">
        <v>77</v>
      </c>
      <c r="B131" t="s" s="0">
        <v>77</v>
      </c>
      <c r="C131" t="s" s="0">
        <v>169</v>
      </c>
      <c r="D131" t="s" s="0">
        <v>77</v>
      </c>
      <c r="E131" t="s" s="0">
        <v>3269</v>
      </c>
      <c r="F131" t="s" s="0">
        <v>3270</v>
      </c>
      <c r="G131" t="s" s="0">
        <v>3271</v>
      </c>
      <c r="H131" t="s" s="0">
        <v>81</v>
      </c>
      <c r="I131" t="s" s="0">
        <v>82</v>
      </c>
      <c r="J131" t="s" s="0">
        <v>3272</v>
      </c>
      <c r="K131" t="s" s="0">
        <v>3273</v>
      </c>
      <c r="L131" t="s" s="0">
        <v>3274</v>
      </c>
      <c r="M131" t="s" s="0">
        <v>3275</v>
      </c>
      <c r="N131" t="s" s="0">
        <v>3276</v>
      </c>
      <c r="O131" t="s" s="0">
        <v>3277</v>
      </c>
      <c r="P131" t="s" s="0">
        <v>3278</v>
      </c>
      <c r="Q131" t="s" s="0">
        <v>90</v>
      </c>
      <c r="R131" t="s" s="0">
        <v>81</v>
      </c>
      <c r="S131" t="s" s="0">
        <v>81</v>
      </c>
      <c r="T131" t="s" s="0">
        <v>81</v>
      </c>
      <c r="U131" t="s" s="0">
        <v>81</v>
      </c>
      <c r="V131" t="s" s="0">
        <v>3279</v>
      </c>
      <c r="W131" t="s" s="0">
        <v>380</v>
      </c>
      <c r="X131" t="s" s="0">
        <v>81</v>
      </c>
      <c r="Y131" t="s" s="0">
        <v>81</v>
      </c>
      <c r="Z131" t="s" s="0">
        <v>93</v>
      </c>
      <c r="AA131" t="s" s="0">
        <v>94</v>
      </c>
      <c r="AB131" t="s" s="0">
        <v>81</v>
      </c>
      <c r="AC131" t="s" s="0">
        <v>81</v>
      </c>
      <c r="AD131" t="s" s="0">
        <v>81</v>
      </c>
      <c r="AE131" t="s" s="0">
        <v>81</v>
      </c>
      <c r="AF131" t="s" s="0">
        <v>81</v>
      </c>
      <c r="AG131" t="s" s="0">
        <v>3280</v>
      </c>
      <c r="AH131" t="s" s="0">
        <v>81</v>
      </c>
      <c r="AI131" t="s" s="0">
        <v>81</v>
      </c>
      <c r="AJ131" t="s" s="0">
        <v>3281</v>
      </c>
      <c r="AK131" t="s" s="0">
        <v>81</v>
      </c>
      <c r="AL131" t="s" s="0">
        <v>98</v>
      </c>
      <c r="AM131" t="s" s="0">
        <v>554</v>
      </c>
      <c r="AN131" t="s" s="0">
        <v>554</v>
      </c>
      <c r="AO131" t="s" s="0">
        <v>360</v>
      </c>
      <c r="AP131" t="s" s="0">
        <v>265</v>
      </c>
      <c r="AQ131" t="s" s="0">
        <v>103</v>
      </c>
      <c r="AR131" t="s" s="0">
        <v>104</v>
      </c>
      <c r="AS131" t="s" s="0">
        <v>105</v>
      </c>
      <c r="AT131" t="s" s="0">
        <v>81</v>
      </c>
      <c r="AU131" t="s" s="0">
        <v>387</v>
      </c>
      <c r="AV131" t="s" s="0">
        <v>81</v>
      </c>
      <c r="AW131" t="s" s="0">
        <v>388</v>
      </c>
      <c r="AX131" t="s" s="0">
        <v>389</v>
      </c>
      <c r="AY131" t="s" s="0">
        <v>110</v>
      </c>
      <c r="AZ131" t="s" s="0">
        <v>110</v>
      </c>
      <c r="BA131" t="s" s="0">
        <v>115</v>
      </c>
      <c r="BB131" t="s" s="0">
        <v>81</v>
      </c>
      <c r="BC131" t="s" s="0">
        <v>81</v>
      </c>
      <c r="BD131" t="s" s="0">
        <v>81</v>
      </c>
      <c r="BE131" t="s" s="0">
        <v>81</v>
      </c>
      <c r="BF131" t="s" s="0">
        <v>81</v>
      </c>
      <c r="BG131" t="s" s="0">
        <v>81</v>
      </c>
      <c r="BH131" t="s" s="0">
        <v>81</v>
      </c>
      <c r="BI131" t="s" s="0">
        <v>3282</v>
      </c>
      <c r="BJ131" t="s" s="0">
        <v>3283</v>
      </c>
      <c r="BK131" t="s" s="259">
        <f>HYPERLINK("http://dx.doi.org/10.2196/73857","http://dx.doi.org/10.2196/73857")</f>
        <v>3284</v>
      </c>
      <c r="BL131" t="s" s="0">
        <v>81</v>
      </c>
      <c r="BM131" t="s" s="0">
        <v>81</v>
      </c>
      <c r="BN131" t="s" s="0">
        <v>115</v>
      </c>
      <c r="BO131" t="s" s="0">
        <v>244</v>
      </c>
      <c r="BP131" t="s" s="0">
        <v>244</v>
      </c>
      <c r="BQ131" t="s" s="0">
        <v>3285</v>
      </c>
      <c r="BR131" t="s" s="0">
        <v>3286</v>
      </c>
      <c r="BS131" t="s" s="0">
        <v>3287</v>
      </c>
      <c r="BT131" t="s" s="260">
        <f>HYPERLINK("https://www.webofscience.com/wos/woscc/full-record/WOS:001621732900003","View Record in Web of Science")</f>
        <v>120</v>
      </c>
      <c r="BU131" t="s" s="0">
        <v>121</v>
      </c>
      <c r="BV131" t="s" s="0">
        <v>81</v>
      </c>
      <c r="BW131" t="s" s="0">
        <v>81</v>
      </c>
      <c r="BX131" t="s" s="0">
        <v>122</v>
      </c>
    </row>
    <row r="132">
      <c r="A132" t="s" s="0">
        <v>77</v>
      </c>
      <c r="B132" t="s" s="0">
        <v>77</v>
      </c>
      <c r="C132" t="s" s="0">
        <v>77</v>
      </c>
      <c r="D132" t="s" s="0">
        <v>77</v>
      </c>
      <c r="E132" t="s" s="0">
        <v>3288</v>
      </c>
      <c r="F132" t="s" s="0">
        <v>3289</v>
      </c>
      <c r="G132" t="s" s="0">
        <v>3290</v>
      </c>
      <c r="H132" t="s" s="0">
        <v>81</v>
      </c>
      <c r="I132" t="s" s="0">
        <v>218</v>
      </c>
      <c r="J132" t="s" s="0">
        <v>3291</v>
      </c>
      <c r="K132" t="s" s="0">
        <v>3292</v>
      </c>
      <c r="L132" t="s" s="0">
        <v>3293</v>
      </c>
      <c r="M132" t="s" s="0">
        <v>3294</v>
      </c>
      <c r="N132" t="s" s="0">
        <v>3295</v>
      </c>
      <c r="O132" t="s" s="0">
        <v>3296</v>
      </c>
      <c r="P132" t="s" s="0">
        <v>3297</v>
      </c>
      <c r="Q132" t="s" s="0">
        <v>90</v>
      </c>
      <c r="R132" t="s" s="0">
        <v>81</v>
      </c>
      <c r="S132" t="s" s="0">
        <v>81</v>
      </c>
      <c r="T132" t="s" s="0">
        <v>81</v>
      </c>
      <c r="U132" t="s" s="0">
        <v>81</v>
      </c>
      <c r="V132" t="s" s="0">
        <v>3298</v>
      </c>
      <c r="W132" t="s" s="0">
        <v>227</v>
      </c>
      <c r="X132" t="s" s="0">
        <v>81</v>
      </c>
      <c r="Y132" t="s" s="0">
        <v>81</v>
      </c>
      <c r="Z132" t="s" s="0">
        <v>93</v>
      </c>
      <c r="AA132" t="s" s="0">
        <v>94</v>
      </c>
      <c r="AB132" t="s" s="0">
        <v>81</v>
      </c>
      <c r="AC132" t="s" s="0">
        <v>81</v>
      </c>
      <c r="AD132" t="s" s="0">
        <v>81</v>
      </c>
      <c r="AE132" t="s" s="0">
        <v>81</v>
      </c>
      <c r="AF132" t="s" s="0">
        <v>81</v>
      </c>
      <c r="AG132" t="s" s="0">
        <v>3299</v>
      </c>
      <c r="AH132" t="s" s="0">
        <v>81</v>
      </c>
      <c r="AI132" t="s" s="0">
        <v>81</v>
      </c>
      <c r="AJ132" t="s" s="0">
        <v>3300</v>
      </c>
      <c r="AK132" t="s" s="0">
        <v>81</v>
      </c>
      <c r="AL132" t="s" s="0">
        <v>438</v>
      </c>
      <c r="AM132" t="s" s="0">
        <v>77</v>
      </c>
      <c r="AN132" t="s" s="0">
        <v>77</v>
      </c>
      <c r="AO132" t="s" s="0">
        <v>169</v>
      </c>
      <c r="AP132" t="s" s="0">
        <v>101</v>
      </c>
      <c r="AQ132" t="s" s="0">
        <v>232</v>
      </c>
      <c r="AR132" t="s" s="0">
        <v>171</v>
      </c>
      <c r="AS132" t="s" s="0">
        <v>233</v>
      </c>
      <c r="AT132" t="s" s="0">
        <v>234</v>
      </c>
      <c r="AU132" t="s" s="0">
        <v>235</v>
      </c>
      <c r="AV132" t="s" s="0">
        <v>81</v>
      </c>
      <c r="AW132" t="s" s="0">
        <v>236</v>
      </c>
      <c r="AX132" t="s" s="0">
        <v>237</v>
      </c>
      <c r="AY132" t="s" s="0">
        <v>1778</v>
      </c>
      <c r="AZ132" t="s" s="0">
        <v>110</v>
      </c>
      <c r="BA132" t="s" s="0">
        <v>239</v>
      </c>
      <c r="BB132" t="s" s="0">
        <v>554</v>
      </c>
      <c r="BC132" t="s" s="0">
        <v>81</v>
      </c>
      <c r="BD132" t="s" s="0">
        <v>81</v>
      </c>
      <c r="BE132" t="s" s="0">
        <v>81</v>
      </c>
      <c r="BF132" t="s" s="0">
        <v>81</v>
      </c>
      <c r="BG132" t="s" s="0">
        <v>3301</v>
      </c>
      <c r="BH132" t="s" s="0">
        <v>3302</v>
      </c>
      <c r="BI132" t="s" s="0">
        <v>81</v>
      </c>
      <c r="BJ132" t="s" s="0">
        <v>3303</v>
      </c>
      <c r="BK132" t="s" s="261">
        <f>HYPERLINK("http://dx.doi.org/10.4258/hir.2025.31.2.166","http://dx.doi.org/10.4258/hir.2025.31.2.166")</f>
        <v>3304</v>
      </c>
      <c r="BL132" t="s" s="0">
        <v>81</v>
      </c>
      <c r="BM132" t="s" s="0">
        <v>81</v>
      </c>
      <c r="BN132" t="s" s="0">
        <v>328</v>
      </c>
      <c r="BO132" t="s" s="0">
        <v>244</v>
      </c>
      <c r="BP132" t="s" s="0">
        <v>244</v>
      </c>
      <c r="BQ132" t="s" s="0">
        <v>3305</v>
      </c>
      <c r="BR132" t="s" s="0">
        <v>3306</v>
      </c>
      <c r="BS132" t="s" s="0">
        <v>3307</v>
      </c>
      <c r="BT132" t="s" s="262">
        <f>HYPERLINK("https://www.webofscience.com/wos/woscc/full-record/WOS:001491951600007","View Record in Web of Science")</f>
        <v>120</v>
      </c>
      <c r="BU132" t="s" s="0">
        <v>121</v>
      </c>
      <c r="BV132" t="s" s="0">
        <v>81</v>
      </c>
      <c r="BW132" t="s" s="0">
        <v>81</v>
      </c>
      <c r="BX132" t="s" s="0">
        <v>122</v>
      </c>
    </row>
    <row r="133">
      <c r="A133" t="s" s="0">
        <v>77</v>
      </c>
      <c r="B133" t="s" s="0">
        <v>77</v>
      </c>
      <c r="C133" t="s" s="0">
        <v>77</v>
      </c>
      <c r="D133" t="s" s="0">
        <v>77</v>
      </c>
      <c r="E133" t="s" s="0">
        <v>3308</v>
      </c>
      <c r="F133" t="s" s="0">
        <v>3309</v>
      </c>
      <c r="G133" t="s" s="0">
        <v>3310</v>
      </c>
      <c r="H133" t="s" s="0">
        <v>81</v>
      </c>
      <c r="I133" t="s" s="0">
        <v>218</v>
      </c>
      <c r="J133" t="s" s="0">
        <v>3311</v>
      </c>
      <c r="K133" t="s" s="0">
        <v>3312</v>
      </c>
      <c r="L133" t="s" s="0">
        <v>3313</v>
      </c>
      <c r="M133" t="s" s="0">
        <v>3313</v>
      </c>
      <c r="N133" t="s" s="0">
        <v>3314</v>
      </c>
      <c r="O133" t="s" s="0">
        <v>3315</v>
      </c>
      <c r="P133" t="s" s="0">
        <v>3316</v>
      </c>
      <c r="Q133" t="s" s="0">
        <v>90</v>
      </c>
      <c r="R133" t="s" s="0">
        <v>81</v>
      </c>
      <c r="S133" t="s" s="0">
        <v>81</v>
      </c>
      <c r="T133" t="s" s="0">
        <v>81</v>
      </c>
      <c r="U133" t="s" s="0">
        <v>81</v>
      </c>
      <c r="V133" t="s" s="0">
        <v>3317</v>
      </c>
      <c r="W133" t="s" s="0">
        <v>1020</v>
      </c>
      <c r="X133" t="s" s="0">
        <v>81</v>
      </c>
      <c r="Y133" t="s" s="0">
        <v>81</v>
      </c>
      <c r="Z133" t="s" s="0">
        <v>93</v>
      </c>
      <c r="AA133" t="s" s="0">
        <v>94</v>
      </c>
      <c r="AB133" t="s" s="0">
        <v>81</v>
      </c>
      <c r="AC133" t="s" s="0">
        <v>81</v>
      </c>
      <c r="AD133" t="s" s="0">
        <v>81</v>
      </c>
      <c r="AE133" t="s" s="0">
        <v>81</v>
      </c>
      <c r="AF133" t="s" s="0">
        <v>81</v>
      </c>
      <c r="AG133" t="s" s="0">
        <v>3318</v>
      </c>
      <c r="AH133" t="s" s="0">
        <v>3319</v>
      </c>
      <c r="AI133" t="s" s="0">
        <v>3320</v>
      </c>
      <c r="AJ133" t="s" s="0">
        <v>3321</v>
      </c>
      <c r="AK133" t="s" s="0">
        <v>81</v>
      </c>
      <c r="AL133" t="s" s="0">
        <v>1232</v>
      </c>
      <c r="AM133" t="s" s="0">
        <v>99</v>
      </c>
      <c r="AN133" t="s" s="0">
        <v>99</v>
      </c>
      <c r="AO133" t="s" s="0">
        <v>77</v>
      </c>
      <c r="AP133" t="s" s="0">
        <v>169</v>
      </c>
      <c r="AQ133" t="s" s="0">
        <v>353</v>
      </c>
      <c r="AR133" t="s" s="0">
        <v>354</v>
      </c>
      <c r="AS133" t="s" s="0">
        <v>355</v>
      </c>
      <c r="AT133" t="s" s="0">
        <v>81</v>
      </c>
      <c r="AU133" t="s" s="0">
        <v>1025</v>
      </c>
      <c r="AV133" t="s" s="0">
        <v>81</v>
      </c>
      <c r="AW133" t="s" s="0">
        <v>1026</v>
      </c>
      <c r="AX133" t="s" s="0">
        <v>1027</v>
      </c>
      <c r="AY133" t="s" s="0">
        <v>3322</v>
      </c>
      <c r="AZ133" t="s" s="0">
        <v>110</v>
      </c>
      <c r="BA133" t="s" s="0">
        <v>386</v>
      </c>
      <c r="BB133" t="s" s="0">
        <v>81</v>
      </c>
      <c r="BC133" t="s" s="0">
        <v>81</v>
      </c>
      <c r="BD133" t="s" s="0">
        <v>81</v>
      </c>
      <c r="BE133" t="s" s="0">
        <v>81</v>
      </c>
      <c r="BF133" t="s" s="0">
        <v>81</v>
      </c>
      <c r="BG133" t="s" s="0">
        <v>81</v>
      </c>
      <c r="BH133" t="s" s="0">
        <v>81</v>
      </c>
      <c r="BI133" t="s" s="0">
        <v>3323</v>
      </c>
      <c r="BJ133" t="s" s="0">
        <v>3324</v>
      </c>
      <c r="BK133" t="s" s="263">
        <f>HYPERLINK("http://dx.doi.org/10.3389/fdgth.2025.1569554","http://dx.doi.org/10.3389/fdgth.2025.1569554")</f>
        <v>3325</v>
      </c>
      <c r="BL133" t="s" s="0">
        <v>81</v>
      </c>
      <c r="BM133" t="s" s="0">
        <v>81</v>
      </c>
      <c r="BN133" t="s" s="0">
        <v>386</v>
      </c>
      <c r="BO133" t="s" s="0">
        <v>116</v>
      </c>
      <c r="BP133" t="s" s="0">
        <v>116</v>
      </c>
      <c r="BQ133" t="s" s="0">
        <v>3326</v>
      </c>
      <c r="BR133" t="s" s="0">
        <v>3327</v>
      </c>
      <c r="BS133" t="s" s="0">
        <v>3328</v>
      </c>
      <c r="BT133" t="s" s="264">
        <f>HYPERLINK("https://www.webofscience.com/wos/woscc/full-record/WOS:001485758800001","View Record in Web of Science")</f>
        <v>120</v>
      </c>
      <c r="BU133" t="s" s="0">
        <v>121</v>
      </c>
      <c r="BV133" t="s" s="0">
        <v>81</v>
      </c>
      <c r="BW133" t="s" s="0">
        <v>81</v>
      </c>
      <c r="BX133" t="s" s="0">
        <v>122</v>
      </c>
    </row>
    <row r="134">
      <c r="A134" t="s" s="0">
        <v>77</v>
      </c>
      <c r="B134" t="s" s="0">
        <v>77</v>
      </c>
      <c r="C134" t="s" s="0">
        <v>77</v>
      </c>
      <c r="D134" t="s" s="0">
        <v>77</v>
      </c>
      <c r="E134" t="s" s="0">
        <v>3329</v>
      </c>
      <c r="F134" t="s" s="0">
        <v>3330</v>
      </c>
      <c r="G134" t="s" s="0">
        <v>3331</v>
      </c>
      <c r="H134" t="s" s="0">
        <v>81</v>
      </c>
      <c r="I134" t="s" s="0">
        <v>82</v>
      </c>
      <c r="J134" t="s" s="0">
        <v>3332</v>
      </c>
      <c r="K134" t="s" s="0">
        <v>3333</v>
      </c>
      <c r="L134" t="s" s="0">
        <v>3334</v>
      </c>
      <c r="M134" t="s" s="0">
        <v>2777</v>
      </c>
      <c r="N134" t="s" s="0">
        <v>3335</v>
      </c>
      <c r="O134" t="s" s="0">
        <v>3336</v>
      </c>
      <c r="P134" t="s" s="0">
        <v>3337</v>
      </c>
      <c r="Q134" t="s" s="0">
        <v>90</v>
      </c>
      <c r="R134" t="s" s="0">
        <v>81</v>
      </c>
      <c r="S134" t="s" s="0">
        <v>81</v>
      </c>
      <c r="T134" t="s" s="0">
        <v>81</v>
      </c>
      <c r="U134" t="s" s="0">
        <v>81</v>
      </c>
      <c r="V134" t="s" s="0">
        <v>3338</v>
      </c>
      <c r="W134" t="s" s="0">
        <v>3339</v>
      </c>
      <c r="X134" t="s" s="0">
        <v>81</v>
      </c>
      <c r="Y134" t="s" s="0">
        <v>81</v>
      </c>
      <c r="Z134" t="s" s="0">
        <v>93</v>
      </c>
      <c r="AA134" t="s" s="0">
        <v>94</v>
      </c>
      <c r="AB134" t="s" s="0">
        <v>81</v>
      </c>
      <c r="AC134" t="s" s="0">
        <v>81</v>
      </c>
      <c r="AD134" t="s" s="0">
        <v>81</v>
      </c>
      <c r="AE134" t="s" s="0">
        <v>81</v>
      </c>
      <c r="AF134" t="s" s="0">
        <v>81</v>
      </c>
      <c r="AG134" t="s" s="0">
        <v>81</v>
      </c>
      <c r="AH134" t="s" s="0">
        <v>81</v>
      </c>
      <c r="AI134" t="s" s="0">
        <v>81</v>
      </c>
      <c r="AJ134" t="s" s="0">
        <v>3340</v>
      </c>
      <c r="AK134" t="s" s="0">
        <v>81</v>
      </c>
      <c r="AL134" t="s" s="0">
        <v>1451</v>
      </c>
      <c r="AM134" t="s" s="0">
        <v>77</v>
      </c>
      <c r="AN134" t="s" s="0">
        <v>169</v>
      </c>
      <c r="AO134" t="s" s="0">
        <v>452</v>
      </c>
      <c r="AP134" t="s" s="0">
        <v>452</v>
      </c>
      <c r="AQ134" t="s" s="0">
        <v>321</v>
      </c>
      <c r="AR134" t="s" s="0">
        <v>322</v>
      </c>
      <c r="AS134" t="s" s="0">
        <v>323</v>
      </c>
      <c r="AT134" t="s" s="0">
        <v>3341</v>
      </c>
      <c r="AU134" t="s" s="0">
        <v>81</v>
      </c>
      <c r="AV134" t="s" s="0">
        <v>81</v>
      </c>
      <c r="AW134" t="s" s="0">
        <v>3342</v>
      </c>
      <c r="AX134" t="s" s="0">
        <v>3343</v>
      </c>
      <c r="AY134" t="s" s="0">
        <v>3344</v>
      </c>
      <c r="AZ134" t="s" s="0">
        <v>144</v>
      </c>
      <c r="BA134" t="s" s="0">
        <v>265</v>
      </c>
      <c r="BB134" t="s" s="0">
        <v>169</v>
      </c>
      <c r="BC134" t="s" s="0">
        <v>81</v>
      </c>
      <c r="BD134" t="s" s="0">
        <v>81</v>
      </c>
      <c r="BE134" t="s" s="0">
        <v>81</v>
      </c>
      <c r="BF134" t="s" s="0">
        <v>81</v>
      </c>
      <c r="BG134" t="s" s="0">
        <v>81</v>
      </c>
      <c r="BH134" t="s" s="0">
        <v>81</v>
      </c>
      <c r="BI134" t="s" s="0">
        <v>3345</v>
      </c>
      <c r="BJ134" t="s" s="0">
        <v>3346</v>
      </c>
      <c r="BK134" t="s" s="265">
        <f>HYPERLINK("http://dx.doi.org/10.1038/s41598-026-41439-w","http://dx.doi.org/10.1038/s41598-026-41439-w")</f>
        <v>3347</v>
      </c>
      <c r="BL134" t="s" s="0">
        <v>81</v>
      </c>
      <c r="BM134" t="s" s="0">
        <v>177</v>
      </c>
      <c r="BN134" t="s" s="0">
        <v>145</v>
      </c>
      <c r="BO134" t="s" s="0">
        <v>638</v>
      </c>
      <c r="BP134" t="s" s="0">
        <v>639</v>
      </c>
      <c r="BQ134" t="s" s="0">
        <v>3348</v>
      </c>
      <c r="BR134" t="s" s="0">
        <v>3349</v>
      </c>
      <c r="BS134" t="s" s="0">
        <v>3350</v>
      </c>
      <c r="BT134" t="s" s="266">
        <f>HYPERLINK("https://www.webofscience.com/wos/woscc/full-record/WOS:001753339000013","View Record in Web of Science")</f>
        <v>120</v>
      </c>
      <c r="BU134" t="s" s="0">
        <v>121</v>
      </c>
      <c r="BV134" t="s" s="0">
        <v>81</v>
      </c>
      <c r="BW134" t="s" s="0">
        <v>81</v>
      </c>
      <c r="BX134" t="s" s="0">
        <v>122</v>
      </c>
    </row>
    <row r="135">
      <c r="A135" t="s" s="0">
        <v>77</v>
      </c>
      <c r="B135" t="s" s="0">
        <v>77</v>
      </c>
      <c r="C135" t="s" s="0">
        <v>77</v>
      </c>
      <c r="D135" t="s" s="0">
        <v>77</v>
      </c>
      <c r="E135" t="s" s="0">
        <v>3351</v>
      </c>
      <c r="F135" t="s" s="0">
        <v>3352</v>
      </c>
      <c r="G135" t="s" s="0">
        <v>3353</v>
      </c>
      <c r="H135" t="s" s="0">
        <v>81</v>
      </c>
      <c r="I135" t="s" s="0">
        <v>82</v>
      </c>
      <c r="J135" t="s" s="0">
        <v>3354</v>
      </c>
      <c r="K135" t="s" s="0">
        <v>3355</v>
      </c>
      <c r="L135" t="s" s="0">
        <v>3356</v>
      </c>
      <c r="M135" t="s" s="0">
        <v>1097</v>
      </c>
      <c r="N135" t="s" s="0">
        <v>3357</v>
      </c>
      <c r="O135" t="s" s="0">
        <v>3358</v>
      </c>
      <c r="P135" t="s" s="0">
        <v>3359</v>
      </c>
      <c r="Q135" t="s" s="0">
        <v>90</v>
      </c>
      <c r="R135" t="s" s="0">
        <v>81</v>
      </c>
      <c r="S135" t="s" s="0">
        <v>81</v>
      </c>
      <c r="T135" t="s" s="0">
        <v>81</v>
      </c>
      <c r="U135" t="s" s="0">
        <v>81</v>
      </c>
      <c r="V135" t="s" s="0">
        <v>3360</v>
      </c>
      <c r="W135" t="s" s="0">
        <v>2135</v>
      </c>
      <c r="X135" t="s" s="0">
        <v>81</v>
      </c>
      <c r="Y135" t="s" s="0">
        <v>81</v>
      </c>
      <c r="Z135" t="s" s="0">
        <v>93</v>
      </c>
      <c r="AA135" t="s" s="0">
        <v>94</v>
      </c>
      <c r="AB135" t="s" s="0">
        <v>81</v>
      </c>
      <c r="AC135" t="s" s="0">
        <v>81</v>
      </c>
      <c r="AD135" t="s" s="0">
        <v>81</v>
      </c>
      <c r="AE135" t="s" s="0">
        <v>81</v>
      </c>
      <c r="AF135" t="s" s="0">
        <v>81</v>
      </c>
      <c r="AG135" t="s" s="0">
        <v>3361</v>
      </c>
      <c r="AH135" t="s" s="0">
        <v>3362</v>
      </c>
      <c r="AI135" t="s" s="0">
        <v>3363</v>
      </c>
      <c r="AJ135" t="s" s="0">
        <v>3364</v>
      </c>
      <c r="AK135" t="s" s="0">
        <v>81</v>
      </c>
      <c r="AL135" t="s" s="0">
        <v>287</v>
      </c>
      <c r="AM135" t="s" s="0">
        <v>386</v>
      </c>
      <c r="AN135" t="s" s="0">
        <v>386</v>
      </c>
      <c r="AO135" t="s" s="0">
        <v>386</v>
      </c>
      <c r="AP135" t="s" s="0">
        <v>328</v>
      </c>
      <c r="AQ135" t="s" s="0">
        <v>103</v>
      </c>
      <c r="AR135" t="s" s="0">
        <v>104</v>
      </c>
      <c r="AS135" t="s" s="0">
        <v>105</v>
      </c>
      <c r="AT135" t="s" s="0">
        <v>2139</v>
      </c>
      <c r="AU135" t="s" s="0">
        <v>81</v>
      </c>
      <c r="AV135" t="s" s="0">
        <v>81</v>
      </c>
      <c r="AW135" t="s" s="0">
        <v>2140</v>
      </c>
      <c r="AX135" t="s" s="0">
        <v>2141</v>
      </c>
      <c r="AY135" t="s" s="0">
        <v>110</v>
      </c>
      <c r="AZ135" t="s" s="0">
        <v>110</v>
      </c>
      <c r="BA135" t="s" s="0">
        <v>320</v>
      </c>
      <c r="BB135" t="s" s="0">
        <v>81</v>
      </c>
      <c r="BC135" t="s" s="0">
        <v>81</v>
      </c>
      <c r="BD135" t="s" s="0">
        <v>81</v>
      </c>
      <c r="BE135" t="s" s="0">
        <v>81</v>
      </c>
      <c r="BF135" t="s" s="0">
        <v>81</v>
      </c>
      <c r="BG135" t="s" s="0">
        <v>81</v>
      </c>
      <c r="BH135" t="s" s="0">
        <v>81</v>
      </c>
      <c r="BI135" t="s" s="0">
        <v>3365</v>
      </c>
      <c r="BJ135" t="s" s="0">
        <v>3366</v>
      </c>
      <c r="BK135" t="s" s="267">
        <f>HYPERLINK("http://dx.doi.org/10.2196/70190","http://dx.doi.org/10.2196/70190")</f>
        <v>3367</v>
      </c>
      <c r="BL135" t="s" s="0">
        <v>81</v>
      </c>
      <c r="BM135" t="s" s="0">
        <v>81</v>
      </c>
      <c r="BN135" t="s" s="0">
        <v>509</v>
      </c>
      <c r="BO135" t="s" s="0">
        <v>2145</v>
      </c>
      <c r="BP135" t="s" s="0">
        <v>2146</v>
      </c>
      <c r="BQ135" t="s" s="0">
        <v>3368</v>
      </c>
      <c r="BR135" t="s" s="0">
        <v>3369</v>
      </c>
      <c r="BS135" t="s" s="0">
        <v>3370</v>
      </c>
      <c r="BT135" t="s" s="268">
        <f>HYPERLINK("https://www.webofscience.com/wos/woscc/full-record/WOS:001633224100001","View Record in Web of Science")</f>
        <v>120</v>
      </c>
      <c r="BU135" t="s" s="0">
        <v>121</v>
      </c>
      <c r="BV135" t="s" s="0">
        <v>81</v>
      </c>
      <c r="BW135" t="s" s="0">
        <v>81</v>
      </c>
      <c r="BX135" t="s" s="0">
        <v>122</v>
      </c>
    </row>
    <row r="136">
      <c r="A136" t="s" s="0">
        <v>77</v>
      </c>
      <c r="B136" t="s" s="0">
        <v>77</v>
      </c>
      <c r="C136" t="s" s="0">
        <v>77</v>
      </c>
      <c r="D136" t="s" s="0">
        <v>77</v>
      </c>
      <c r="E136" t="s" s="0">
        <v>3371</v>
      </c>
      <c r="F136" t="s" s="0">
        <v>3372</v>
      </c>
      <c r="G136" t="s" s="0">
        <v>3373</v>
      </c>
      <c r="H136" t="s" s="0">
        <v>81</v>
      </c>
      <c r="I136" t="s" s="0">
        <v>3374</v>
      </c>
      <c r="J136" t="s" s="0">
        <v>3375</v>
      </c>
      <c r="K136" t="s" s="0">
        <v>3376</v>
      </c>
      <c r="L136" t="s" s="0">
        <v>3377</v>
      </c>
      <c r="M136" t="s" s="0">
        <v>3378</v>
      </c>
      <c r="N136" t="s" s="0">
        <v>3379</v>
      </c>
      <c r="O136" t="s" s="0">
        <v>3380</v>
      </c>
      <c r="P136" t="s" s="0">
        <v>3381</v>
      </c>
      <c r="Q136" t="s" s="0">
        <v>90</v>
      </c>
      <c r="R136" t="s" s="0">
        <v>81</v>
      </c>
      <c r="S136" t="s" s="0">
        <v>81</v>
      </c>
      <c r="T136" t="s" s="0">
        <v>81</v>
      </c>
      <c r="U136" t="s" s="0">
        <v>81</v>
      </c>
      <c r="V136" t="s" s="0">
        <v>3382</v>
      </c>
      <c r="W136" t="s" s="0">
        <v>3383</v>
      </c>
      <c r="X136" t="s" s="0">
        <v>81</v>
      </c>
      <c r="Y136" t="s" s="0">
        <v>81</v>
      </c>
      <c r="Z136" t="s" s="0">
        <v>93</v>
      </c>
      <c r="AA136" t="s" s="0">
        <v>94</v>
      </c>
      <c r="AB136" t="s" s="0">
        <v>81</v>
      </c>
      <c r="AC136" t="s" s="0">
        <v>81</v>
      </c>
      <c r="AD136" t="s" s="0">
        <v>81</v>
      </c>
      <c r="AE136" t="s" s="0">
        <v>81</v>
      </c>
      <c r="AF136" t="s" s="0">
        <v>81</v>
      </c>
      <c r="AG136" t="s" s="0">
        <v>3384</v>
      </c>
      <c r="AH136" t="s" s="0">
        <v>81</v>
      </c>
      <c r="AI136" t="s" s="0">
        <v>3385</v>
      </c>
      <c r="AJ136" t="s" s="0">
        <v>3386</v>
      </c>
      <c r="AK136" t="s" s="0">
        <v>81</v>
      </c>
      <c r="AL136" t="s" s="0">
        <v>1580</v>
      </c>
      <c r="AM136" t="s" s="0">
        <v>102</v>
      </c>
      <c r="AN136" t="s" s="0">
        <v>102</v>
      </c>
      <c r="AO136" t="s" s="0">
        <v>100</v>
      </c>
      <c r="AP136" t="s" s="0">
        <v>320</v>
      </c>
      <c r="AQ136" t="s" s="0">
        <v>1800</v>
      </c>
      <c r="AR136" t="s" s="0">
        <v>500</v>
      </c>
      <c r="AS136" t="s" s="0">
        <v>1801</v>
      </c>
      <c r="AT136" t="s" s="0">
        <v>3387</v>
      </c>
      <c r="AU136" t="s" s="0">
        <v>3388</v>
      </c>
      <c r="AV136" t="s" s="0">
        <v>81</v>
      </c>
      <c r="AW136" t="s" s="0">
        <v>3389</v>
      </c>
      <c r="AX136" t="s" s="0">
        <v>3390</v>
      </c>
      <c r="AY136" t="s" s="0">
        <v>1357</v>
      </c>
      <c r="AZ136" t="s" s="0">
        <v>110</v>
      </c>
      <c r="BA136" t="s" s="0">
        <v>526</v>
      </c>
      <c r="BB136" t="s" s="0">
        <v>554</v>
      </c>
      <c r="BC136" t="s" s="0">
        <v>81</v>
      </c>
      <c r="BD136" t="s" s="0">
        <v>81</v>
      </c>
      <c r="BE136" t="s" s="0">
        <v>81</v>
      </c>
      <c r="BF136" t="s" s="0">
        <v>81</v>
      </c>
      <c r="BG136" t="s" s="0">
        <v>81</v>
      </c>
      <c r="BH136" t="s" s="0">
        <v>81</v>
      </c>
      <c r="BI136" t="s" s="0">
        <v>3391</v>
      </c>
      <c r="BJ136" t="s" s="0">
        <v>3392</v>
      </c>
      <c r="BK136" t="s" s="269">
        <f>HYPERLINK("http://dx.doi.org/10.1145/3686807","http://dx.doi.org/10.1145/3686807")</f>
        <v>3393</v>
      </c>
      <c r="BL136" t="s" s="0">
        <v>81</v>
      </c>
      <c r="BM136" t="s" s="0">
        <v>81</v>
      </c>
      <c r="BN136" t="s" s="0">
        <v>946</v>
      </c>
      <c r="BO136" t="s" s="0">
        <v>3394</v>
      </c>
      <c r="BP136" t="s" s="0">
        <v>303</v>
      </c>
      <c r="BQ136" t="s" s="0">
        <v>3395</v>
      </c>
      <c r="BR136" t="s" s="0">
        <v>81</v>
      </c>
      <c r="BS136" t="s" s="0">
        <v>3396</v>
      </c>
      <c r="BT136" t="s" s="270">
        <f>HYPERLINK("https://www.webofscience.com/wos/woscc/full-record/WOS:001433512200004","View Record in Web of Science")</f>
        <v>120</v>
      </c>
      <c r="BU136" t="s" s="0">
        <v>2194</v>
      </c>
      <c r="BV136" t="s" s="0">
        <v>81</v>
      </c>
      <c r="BW136" t="s" s="0">
        <v>81</v>
      </c>
      <c r="BX136" t="s" s="0">
        <v>122</v>
      </c>
    </row>
    <row r="137">
      <c r="A137" t="s" s="0">
        <v>169</v>
      </c>
      <c r="B137" t="s" s="0">
        <v>77</v>
      </c>
      <c r="C137" t="s" s="0">
        <v>554</v>
      </c>
      <c r="D137" t="s" s="0">
        <v>77</v>
      </c>
      <c r="E137" t="s" s="0">
        <v>3397</v>
      </c>
      <c r="F137" t="s" s="0">
        <v>3398</v>
      </c>
      <c r="G137" t="s" s="0">
        <v>3399</v>
      </c>
      <c r="H137" t="s" s="0">
        <v>81</v>
      </c>
      <c r="I137" t="s" s="0">
        <v>218</v>
      </c>
      <c r="J137" t="s" s="0">
        <v>3400</v>
      </c>
      <c r="K137" t="s" s="0">
        <v>3401</v>
      </c>
      <c r="L137" t="s" s="0">
        <v>3402</v>
      </c>
      <c r="M137" t="s" s="0">
        <v>3403</v>
      </c>
      <c r="N137" t="s" s="0">
        <v>3404</v>
      </c>
      <c r="O137" t="s" s="0">
        <v>3405</v>
      </c>
      <c r="P137" t="s" s="0">
        <v>3406</v>
      </c>
      <c r="Q137" t="s" s="0">
        <v>90</v>
      </c>
      <c r="R137" t="s" s="0">
        <v>81</v>
      </c>
      <c r="S137" t="s" s="0">
        <v>81</v>
      </c>
      <c r="T137" t="s" s="0">
        <v>81</v>
      </c>
      <c r="U137" t="s" s="0">
        <v>81</v>
      </c>
      <c r="V137" t="s" s="0">
        <v>3407</v>
      </c>
      <c r="W137" t="s" s="0">
        <v>3408</v>
      </c>
      <c r="X137" t="s" s="0">
        <v>81</v>
      </c>
      <c r="Y137" t="s" s="0">
        <v>81</v>
      </c>
      <c r="Z137" t="s" s="0">
        <v>93</v>
      </c>
      <c r="AA137" t="s" s="0">
        <v>94</v>
      </c>
      <c r="AB137" t="s" s="0">
        <v>81</v>
      </c>
      <c r="AC137" t="s" s="0">
        <v>81</v>
      </c>
      <c r="AD137" t="s" s="0">
        <v>81</v>
      </c>
      <c r="AE137" t="s" s="0">
        <v>81</v>
      </c>
      <c r="AF137" t="s" s="0">
        <v>81</v>
      </c>
      <c r="AG137" t="s" s="0">
        <v>81</v>
      </c>
      <c r="AH137" t="s" s="0">
        <v>3409</v>
      </c>
      <c r="AI137" t="s" s="0">
        <v>3410</v>
      </c>
      <c r="AJ137" t="s" s="0">
        <v>3411</v>
      </c>
      <c r="AK137" t="s" s="0">
        <v>81</v>
      </c>
      <c r="AL137" t="s" s="0">
        <v>637</v>
      </c>
      <c r="AM137" t="s" s="0">
        <v>210</v>
      </c>
      <c r="AN137" t="s" s="0">
        <v>102</v>
      </c>
      <c r="AO137" t="s" s="0">
        <v>77</v>
      </c>
      <c r="AP137" t="s" s="0">
        <v>169</v>
      </c>
      <c r="AQ137" t="s" s="0">
        <v>288</v>
      </c>
      <c r="AR137" t="s" s="0">
        <v>289</v>
      </c>
      <c r="AS137" t="s" s="0">
        <v>290</v>
      </c>
      <c r="AT137" t="s" s="0">
        <v>81</v>
      </c>
      <c r="AU137" t="s" s="0">
        <v>3412</v>
      </c>
      <c r="AV137" t="s" s="0">
        <v>81</v>
      </c>
      <c r="AW137" t="s" s="0">
        <v>3413</v>
      </c>
      <c r="AX137" t="s" s="0">
        <v>3414</v>
      </c>
      <c r="AY137" t="s" s="0">
        <v>1117</v>
      </c>
      <c r="AZ137" t="s" s="0">
        <v>592</v>
      </c>
      <c r="BA137" t="s" s="0">
        <v>554</v>
      </c>
      <c r="BB137" t="s" s="0">
        <v>99</v>
      </c>
      <c r="BC137" t="s" s="0">
        <v>81</v>
      </c>
      <c r="BD137" t="s" s="0">
        <v>81</v>
      </c>
      <c r="BE137" t="s" s="0">
        <v>81</v>
      </c>
      <c r="BF137" t="s" s="0">
        <v>81</v>
      </c>
      <c r="BG137" t="s" s="0">
        <v>3415</v>
      </c>
      <c r="BH137" t="s" s="0">
        <v>3416</v>
      </c>
      <c r="BI137" t="s" s="0">
        <v>81</v>
      </c>
      <c r="BJ137" t="s" s="0">
        <v>3417</v>
      </c>
      <c r="BK137" t="s" s="271">
        <f>HYPERLINK("http://dx.doi.org/10.1016/j.mcpdig.2024.09.006","http://dx.doi.org/10.1016/j.mcpdig.2024.09.006")</f>
        <v>3418</v>
      </c>
      <c r="BL137" t="s" s="0">
        <v>81</v>
      </c>
      <c r="BM137" t="s" s="0">
        <v>3123</v>
      </c>
      <c r="BN137" t="s" s="0">
        <v>115</v>
      </c>
      <c r="BO137" t="s" s="0">
        <v>116</v>
      </c>
      <c r="BP137" t="s" s="0">
        <v>116</v>
      </c>
      <c r="BQ137" t="s" s="0">
        <v>3419</v>
      </c>
      <c r="BR137" t="s" s="0">
        <v>3420</v>
      </c>
      <c r="BS137" t="s" s="0">
        <v>3421</v>
      </c>
      <c r="BT137" t="s" s="272">
        <f>HYPERLINK("https://www.webofscience.com/wos/woscc/full-record/WOS:001578058800018","View Record in Web of Science")</f>
        <v>120</v>
      </c>
      <c r="BU137" t="s" s="0">
        <v>121</v>
      </c>
      <c r="BV137" t="s" s="0">
        <v>81</v>
      </c>
      <c r="BW137" t="s" s="0">
        <v>81</v>
      </c>
      <c r="BX137" t="s" s="0">
        <v>122</v>
      </c>
    </row>
    <row r="138">
      <c r="A138" t="s" s="0">
        <v>77</v>
      </c>
      <c r="B138" t="s" s="0">
        <v>77</v>
      </c>
      <c r="C138" t="s" s="0">
        <v>77</v>
      </c>
      <c r="D138" t="s" s="0">
        <v>77</v>
      </c>
      <c r="E138" t="s" s="0">
        <v>3422</v>
      </c>
      <c r="F138" t="s" s="0">
        <v>3423</v>
      </c>
      <c r="G138" t="s" s="0">
        <v>3424</v>
      </c>
      <c r="H138" t="s" s="0">
        <v>81</v>
      </c>
      <c r="I138" t="s" s="0">
        <v>3425</v>
      </c>
      <c r="J138" t="s" s="0">
        <v>3426</v>
      </c>
      <c r="K138" t="s" s="0">
        <v>3427</v>
      </c>
      <c r="L138" t="s" s="0">
        <v>81</v>
      </c>
      <c r="M138" t="s" s="0">
        <v>81</v>
      </c>
      <c r="N138" t="s" s="0">
        <v>81</v>
      </c>
      <c r="O138" t="s" s="0">
        <v>3428</v>
      </c>
      <c r="P138" t="s" s="0">
        <v>3429</v>
      </c>
      <c r="Q138" t="s" s="0">
        <v>90</v>
      </c>
      <c r="R138" t="s" s="0">
        <v>81</v>
      </c>
      <c r="S138" t="s" s="0">
        <v>81</v>
      </c>
      <c r="T138" t="s" s="0">
        <v>81</v>
      </c>
      <c r="U138" t="s" s="0">
        <v>81</v>
      </c>
      <c r="V138" t="s" s="0">
        <v>3430</v>
      </c>
      <c r="W138" t="s" s="0">
        <v>3431</v>
      </c>
      <c r="X138" t="s" s="0">
        <v>81</v>
      </c>
      <c r="Y138" t="s" s="0">
        <v>81</v>
      </c>
      <c r="Z138" t="s" s="0">
        <v>93</v>
      </c>
      <c r="AA138" t="s" s="0">
        <v>94</v>
      </c>
      <c r="AB138" t="s" s="0">
        <v>81</v>
      </c>
      <c r="AC138" t="s" s="0">
        <v>81</v>
      </c>
      <c r="AD138" t="s" s="0">
        <v>81</v>
      </c>
      <c r="AE138" t="s" s="0">
        <v>81</v>
      </c>
      <c r="AF138" t="s" s="0">
        <v>81</v>
      </c>
      <c r="AG138" t="s" s="0">
        <v>3432</v>
      </c>
      <c r="AH138" t="s" s="0">
        <v>3433</v>
      </c>
      <c r="AI138" t="s" s="0">
        <v>3434</v>
      </c>
      <c r="AJ138" t="s" s="0">
        <v>81</v>
      </c>
      <c r="AK138" t="s" s="0">
        <v>81</v>
      </c>
      <c r="AL138" t="s" s="0">
        <v>265</v>
      </c>
      <c r="AM138" t="s" s="0">
        <v>77</v>
      </c>
      <c r="AN138" t="s" s="0">
        <v>77</v>
      </c>
      <c r="AO138" t="s" s="0">
        <v>169</v>
      </c>
      <c r="AP138" t="s" s="0">
        <v>169</v>
      </c>
      <c r="AQ138" t="s" s="0">
        <v>3435</v>
      </c>
      <c r="AR138" t="s" s="0">
        <v>3436</v>
      </c>
      <c r="AS138" t="s" s="0">
        <v>3437</v>
      </c>
      <c r="AT138" t="s" s="0">
        <v>3438</v>
      </c>
      <c r="AU138" t="s" s="0">
        <v>81</v>
      </c>
      <c r="AV138" t="s" s="0">
        <v>81</v>
      </c>
      <c r="AW138" t="s" s="0">
        <v>3439</v>
      </c>
      <c r="AX138" t="s" s="0">
        <v>3440</v>
      </c>
      <c r="AY138" t="s" s="0">
        <v>295</v>
      </c>
      <c r="AZ138" t="s" s="0">
        <v>144</v>
      </c>
      <c r="BA138" t="s" s="0">
        <v>145</v>
      </c>
      <c r="BB138" t="s" s="0">
        <v>99</v>
      </c>
      <c r="BC138" t="s" s="0">
        <v>81</v>
      </c>
      <c r="BD138" t="s" s="0">
        <v>81</v>
      </c>
      <c r="BE138" t="s" s="0">
        <v>81</v>
      </c>
      <c r="BF138" t="s" s="0">
        <v>81</v>
      </c>
      <c r="BG138" t="s" s="0">
        <v>81</v>
      </c>
      <c r="BH138" t="s" s="0">
        <v>81</v>
      </c>
      <c r="BI138" t="s" s="0">
        <v>3441</v>
      </c>
      <c r="BJ138" t="s" s="0">
        <v>3442</v>
      </c>
      <c r="BK138" t="s" s="273">
        <f>HYPERLINK("http://dx.doi.org/10.1016/j.hlpt.2026.101183","http://dx.doi.org/10.1016/j.hlpt.2026.101183")</f>
        <v>3443</v>
      </c>
      <c r="BL138" t="s" s="0">
        <v>81</v>
      </c>
      <c r="BM138" t="s" s="0">
        <v>81</v>
      </c>
      <c r="BN138" t="s" s="0">
        <v>452</v>
      </c>
      <c r="BO138" t="s" s="0">
        <v>3444</v>
      </c>
      <c r="BP138" t="s" s="0">
        <v>2864</v>
      </c>
      <c r="BQ138" t="s" s="0">
        <v>3445</v>
      </c>
      <c r="BR138" t="s" s="0">
        <v>81</v>
      </c>
      <c r="BS138" t="s" s="0">
        <v>3446</v>
      </c>
      <c r="BT138" t="s" s="274">
        <f>HYPERLINK("https://www.webofscience.com/wos/woscc/full-record/WOS:001716296700001","View Record in Web of Science")</f>
        <v>120</v>
      </c>
      <c r="BU138" t="s" s="0">
        <v>81</v>
      </c>
      <c r="BV138" t="s" s="0">
        <v>81</v>
      </c>
      <c r="BW138" t="s" s="0">
        <v>81</v>
      </c>
      <c r="BX138" t="s" s="0">
        <v>122</v>
      </c>
    </row>
    <row r="139">
      <c r="A139" t="s" s="0">
        <v>77</v>
      </c>
      <c r="B139" t="s" s="0">
        <v>77</v>
      </c>
      <c r="C139" t="s" s="0">
        <v>77</v>
      </c>
      <c r="D139" t="s" s="0">
        <v>77</v>
      </c>
      <c r="E139" t="s" s="0">
        <v>3447</v>
      </c>
      <c r="F139" t="s" s="0">
        <v>3448</v>
      </c>
      <c r="G139" t="s" s="0">
        <v>3449</v>
      </c>
      <c r="H139" t="s" s="0">
        <v>81</v>
      </c>
      <c r="I139" t="s" s="0">
        <v>218</v>
      </c>
      <c r="J139" t="s" s="0">
        <v>3450</v>
      </c>
      <c r="K139" t="s" s="0">
        <v>3451</v>
      </c>
      <c r="L139" t="s" s="0">
        <v>81</v>
      </c>
      <c r="M139" t="s" s="0">
        <v>81</v>
      </c>
      <c r="N139" t="s" s="0">
        <v>81</v>
      </c>
      <c r="O139" t="s" s="0">
        <v>3452</v>
      </c>
      <c r="P139" t="s" s="0">
        <v>3453</v>
      </c>
      <c r="Q139" t="s" s="0">
        <v>90</v>
      </c>
      <c r="R139" t="s" s="0">
        <v>81</v>
      </c>
      <c r="S139" t="s" s="0">
        <v>81</v>
      </c>
      <c r="T139" t="s" s="0">
        <v>81</v>
      </c>
      <c r="U139" t="s" s="0">
        <v>81</v>
      </c>
      <c r="V139" t="s" s="0">
        <v>3454</v>
      </c>
      <c r="W139" t="s" s="0">
        <v>3455</v>
      </c>
      <c r="X139" t="s" s="0">
        <v>81</v>
      </c>
      <c r="Y139" t="s" s="0">
        <v>81</v>
      </c>
      <c r="Z139" t="s" s="0">
        <v>93</v>
      </c>
      <c r="AA139" t="s" s="0">
        <v>94</v>
      </c>
      <c r="AB139" t="s" s="0">
        <v>81</v>
      </c>
      <c r="AC139" t="s" s="0">
        <v>81</v>
      </c>
      <c r="AD139" t="s" s="0">
        <v>81</v>
      </c>
      <c r="AE139" t="s" s="0">
        <v>81</v>
      </c>
      <c r="AF139" t="s" s="0">
        <v>81</v>
      </c>
      <c r="AG139" t="s" s="0">
        <v>3456</v>
      </c>
      <c r="AH139" t="s" s="0">
        <v>3457</v>
      </c>
      <c r="AI139" t="s" s="0">
        <v>3458</v>
      </c>
      <c r="AJ139" t="s" s="0">
        <v>3459</v>
      </c>
      <c r="AK139" t="s" s="0">
        <v>81</v>
      </c>
      <c r="AL139" t="s" s="0">
        <v>261</v>
      </c>
      <c r="AM139" t="s" s="0">
        <v>77</v>
      </c>
      <c r="AN139" t="s" s="0">
        <v>77</v>
      </c>
      <c r="AO139" t="s" s="0">
        <v>169</v>
      </c>
      <c r="AP139" t="s" s="0">
        <v>99</v>
      </c>
      <c r="AQ139" t="s" s="0">
        <v>3460</v>
      </c>
      <c r="AR139" t="s" s="0">
        <v>660</v>
      </c>
      <c r="AS139" t="s" s="0">
        <v>3461</v>
      </c>
      <c r="AT139" t="s" s="0">
        <v>3462</v>
      </c>
      <c r="AU139" t="s" s="0">
        <v>3463</v>
      </c>
      <c r="AV139" t="s" s="0">
        <v>81</v>
      </c>
      <c r="AW139" t="s" s="0">
        <v>3464</v>
      </c>
      <c r="AX139" t="s" s="0">
        <v>3465</v>
      </c>
      <c r="AY139" t="s" s="0">
        <v>2055</v>
      </c>
      <c r="AZ139" t="s" s="0">
        <v>144</v>
      </c>
      <c r="BA139" t="s" s="0">
        <v>445</v>
      </c>
      <c r="BB139" t="s" s="0">
        <v>169</v>
      </c>
      <c r="BC139" t="s" s="0">
        <v>81</v>
      </c>
      <c r="BD139" t="s" s="0">
        <v>81</v>
      </c>
      <c r="BE139" t="s" s="0">
        <v>81</v>
      </c>
      <c r="BF139" t="s" s="0">
        <v>81</v>
      </c>
      <c r="BG139" t="s" s="0">
        <v>583</v>
      </c>
      <c r="BH139" t="s" s="0">
        <v>690</v>
      </c>
      <c r="BI139" t="s" s="0">
        <v>81</v>
      </c>
      <c r="BJ139" t="s" s="0">
        <v>3466</v>
      </c>
      <c r="BK139" t="s" s="275">
        <f>HYPERLINK("http://dx.doi.org/10.1016/j.cpet.2025.09.009","http://dx.doi.org/10.1016/j.cpet.2025.09.009")</f>
        <v>3467</v>
      </c>
      <c r="BL139" t="s" s="0">
        <v>81</v>
      </c>
      <c r="BM139" t="s" s="0">
        <v>801</v>
      </c>
      <c r="BN139" t="s" s="0">
        <v>102</v>
      </c>
      <c r="BO139" t="s" s="0">
        <v>182</v>
      </c>
      <c r="BP139" t="s" s="0">
        <v>182</v>
      </c>
      <c r="BQ139" t="s" s="0">
        <v>3468</v>
      </c>
      <c r="BR139" t="s" s="0">
        <v>3469</v>
      </c>
      <c r="BS139" t="s" s="0">
        <v>3470</v>
      </c>
      <c r="BT139" t="s" s="276">
        <f>HYPERLINK("https://www.webofscience.com/wos/woscc/full-record/WOS:001627002900004","View Record in Web of Science")</f>
        <v>120</v>
      </c>
      <c r="BU139" t="s" s="0">
        <v>81</v>
      </c>
      <c r="BV139" t="s" s="0">
        <v>81</v>
      </c>
      <c r="BW139" t="s" s="0">
        <v>81</v>
      </c>
      <c r="BX139" t="s" s="0">
        <v>122</v>
      </c>
    </row>
    <row r="140">
      <c r="A140" t="s" s="0">
        <v>77</v>
      </c>
      <c r="B140" t="s" s="0">
        <v>77</v>
      </c>
      <c r="C140" t="s" s="0">
        <v>77</v>
      </c>
      <c r="D140" t="s" s="0">
        <v>77</v>
      </c>
      <c r="E140" t="s" s="0">
        <v>3471</v>
      </c>
      <c r="F140" t="s" s="0">
        <v>3472</v>
      </c>
      <c r="G140" t="s" s="0">
        <v>3473</v>
      </c>
      <c r="H140" t="s" s="0">
        <v>81</v>
      </c>
      <c r="I140" t="s" s="0">
        <v>82</v>
      </c>
      <c r="J140" t="s" s="0">
        <v>3474</v>
      </c>
      <c r="K140" t="s" s="0">
        <v>3475</v>
      </c>
      <c r="L140" t="s" s="0">
        <v>81</v>
      </c>
      <c r="M140" t="s" s="0">
        <v>81</v>
      </c>
      <c r="N140" t="s" s="0">
        <v>81</v>
      </c>
      <c r="O140" t="s" s="0">
        <v>3476</v>
      </c>
      <c r="P140" t="s" s="0">
        <v>3477</v>
      </c>
      <c r="Q140" t="s" s="0">
        <v>90</v>
      </c>
      <c r="R140" t="s" s="0">
        <v>81</v>
      </c>
      <c r="S140" t="s" s="0">
        <v>81</v>
      </c>
      <c r="T140" t="s" s="0">
        <v>81</v>
      </c>
      <c r="U140" t="s" s="0">
        <v>81</v>
      </c>
      <c r="V140" t="s" s="0">
        <v>3478</v>
      </c>
      <c r="W140" t="s" s="0">
        <v>3479</v>
      </c>
      <c r="X140" t="s" s="0">
        <v>81</v>
      </c>
      <c r="Y140" t="s" s="0">
        <v>81</v>
      </c>
      <c r="Z140" t="s" s="0">
        <v>93</v>
      </c>
      <c r="AA140" t="s" s="0">
        <v>94</v>
      </c>
      <c r="AB140" t="s" s="0">
        <v>81</v>
      </c>
      <c r="AC140" t="s" s="0">
        <v>81</v>
      </c>
      <c r="AD140" t="s" s="0">
        <v>81</v>
      </c>
      <c r="AE140" t="s" s="0">
        <v>81</v>
      </c>
      <c r="AF140" t="s" s="0">
        <v>81</v>
      </c>
      <c r="AG140" t="s" s="0">
        <v>81</v>
      </c>
      <c r="AH140" t="s" s="0">
        <v>3480</v>
      </c>
      <c r="AI140" t="s" s="0">
        <v>3481</v>
      </c>
      <c r="AJ140" t="s" s="0">
        <v>3482</v>
      </c>
      <c r="AK140" t="s" s="0">
        <v>81</v>
      </c>
      <c r="AL140" t="s" s="0">
        <v>301</v>
      </c>
      <c r="AM140" t="s" s="0">
        <v>328</v>
      </c>
      <c r="AN140" t="s" s="0">
        <v>102</v>
      </c>
      <c r="AO140" t="s" s="0">
        <v>77</v>
      </c>
      <c r="AP140" t="s" s="0">
        <v>554</v>
      </c>
      <c r="AQ140" t="s" s="0">
        <v>439</v>
      </c>
      <c r="AR140" t="s" s="0">
        <v>201</v>
      </c>
      <c r="AS140" t="s" s="0">
        <v>440</v>
      </c>
      <c r="AT140" t="s" s="0">
        <v>3483</v>
      </c>
      <c r="AU140" t="s" s="0">
        <v>81</v>
      </c>
      <c r="AV140" t="s" s="0">
        <v>81</v>
      </c>
      <c r="AW140" t="s" s="0">
        <v>3484</v>
      </c>
      <c r="AX140" t="s" s="0">
        <v>3485</v>
      </c>
      <c r="AY140" t="s" s="0">
        <v>3486</v>
      </c>
      <c r="AZ140" t="s" s="0">
        <v>110</v>
      </c>
      <c r="BA140" t="s" s="0">
        <v>352</v>
      </c>
      <c r="BB140" t="s" s="0">
        <v>169</v>
      </c>
      <c r="BC140" t="s" s="0">
        <v>81</v>
      </c>
      <c r="BD140" t="s" s="0">
        <v>81</v>
      </c>
      <c r="BE140" t="s" s="0">
        <v>81</v>
      </c>
      <c r="BF140" t="s" s="0">
        <v>81</v>
      </c>
      <c r="BG140" t="s" s="0">
        <v>81</v>
      </c>
      <c r="BH140" t="s" s="0">
        <v>81</v>
      </c>
      <c r="BI140" t="s" s="0">
        <v>3487</v>
      </c>
      <c r="BJ140" t="s" s="0">
        <v>3488</v>
      </c>
      <c r="BK140" t="s" s="277">
        <f>HYPERLINK("http://dx.doi.org/10.1186/s13018-025-05955-1","http://dx.doi.org/10.1186/s13018-025-05955-1")</f>
        <v>3489</v>
      </c>
      <c r="BL140" t="s" s="0">
        <v>81</v>
      </c>
      <c r="BM140" t="s" s="0">
        <v>81</v>
      </c>
      <c r="BN140" t="s" s="0">
        <v>328</v>
      </c>
      <c r="BO140" t="s" s="0">
        <v>2524</v>
      </c>
      <c r="BP140" t="s" s="0">
        <v>2524</v>
      </c>
      <c r="BQ140" t="s" s="0">
        <v>3490</v>
      </c>
      <c r="BR140" t="s" s="0">
        <v>3491</v>
      </c>
      <c r="BS140" t="s" s="0">
        <v>3492</v>
      </c>
      <c r="BT140" t="s" s="278">
        <f>HYPERLINK("https://www.webofscience.com/wos/woscc/full-record/WOS:001498558800001","View Record in Web of Science")</f>
        <v>120</v>
      </c>
      <c r="BU140" t="s" s="0">
        <v>121</v>
      </c>
      <c r="BV140" t="s" s="0">
        <v>81</v>
      </c>
      <c r="BW140" t="s" s="0">
        <v>81</v>
      </c>
      <c r="BX140" t="s" s="0">
        <v>122</v>
      </c>
    </row>
    <row r="141">
      <c r="A141" t="s" s="0">
        <v>77</v>
      </c>
      <c r="B141" t="s" s="0">
        <v>77</v>
      </c>
      <c r="C141" t="s" s="0">
        <v>77</v>
      </c>
      <c r="D141" t="s" s="0">
        <v>77</v>
      </c>
      <c r="E141" t="s" s="0">
        <v>3493</v>
      </c>
      <c r="F141" t="s" s="0">
        <v>3494</v>
      </c>
      <c r="G141" t="s" s="0">
        <v>3495</v>
      </c>
      <c r="H141" t="s" s="0">
        <v>81</v>
      </c>
      <c r="I141" t="s" s="0">
        <v>82</v>
      </c>
      <c r="J141" t="s" s="0">
        <v>3496</v>
      </c>
      <c r="K141" t="s" s="0">
        <v>3497</v>
      </c>
      <c r="L141" t="s" s="0">
        <v>3498</v>
      </c>
      <c r="M141" t="s" s="0">
        <v>3499</v>
      </c>
      <c r="N141" t="s" s="0">
        <v>3500</v>
      </c>
      <c r="O141" t="s" s="0">
        <v>3501</v>
      </c>
      <c r="P141" t="s" s="0">
        <v>3502</v>
      </c>
      <c r="Q141" t="s" s="0">
        <v>90</v>
      </c>
      <c r="R141" t="s" s="0">
        <v>81</v>
      </c>
      <c r="S141" t="s" s="0">
        <v>81</v>
      </c>
      <c r="T141" t="s" s="0">
        <v>81</v>
      </c>
      <c r="U141" t="s" s="0">
        <v>81</v>
      </c>
      <c r="V141" t="s" s="0">
        <v>3503</v>
      </c>
      <c r="W141" t="s" s="0">
        <v>3504</v>
      </c>
      <c r="X141" t="s" s="0">
        <v>81</v>
      </c>
      <c r="Y141" t="s" s="0">
        <v>81</v>
      </c>
      <c r="Z141" t="s" s="0">
        <v>93</v>
      </c>
      <c r="AA141" t="s" s="0">
        <v>94</v>
      </c>
      <c r="AB141" t="s" s="0">
        <v>81</v>
      </c>
      <c r="AC141" t="s" s="0">
        <v>81</v>
      </c>
      <c r="AD141" t="s" s="0">
        <v>81</v>
      </c>
      <c r="AE141" t="s" s="0">
        <v>81</v>
      </c>
      <c r="AF141" t="s" s="0">
        <v>81</v>
      </c>
      <c r="AG141" t="s" s="0">
        <v>3505</v>
      </c>
      <c r="AH141" t="s" s="0">
        <v>81</v>
      </c>
      <c r="AI141" t="s" s="0">
        <v>81</v>
      </c>
      <c r="AJ141" t="s" s="0">
        <v>81</v>
      </c>
      <c r="AK141" t="s" s="0">
        <v>81</v>
      </c>
      <c r="AL141" t="s" s="0">
        <v>393</v>
      </c>
      <c r="AM141" t="s" s="0">
        <v>77</v>
      </c>
      <c r="AN141" t="s" s="0">
        <v>77</v>
      </c>
      <c r="AO141" t="s" s="0">
        <v>77</v>
      </c>
      <c r="AP141" t="s" s="0">
        <v>77</v>
      </c>
      <c r="AQ141" t="s" s="0">
        <v>353</v>
      </c>
      <c r="AR141" t="s" s="0">
        <v>354</v>
      </c>
      <c r="AS141" t="s" s="0">
        <v>355</v>
      </c>
      <c r="AT141" t="s" s="0">
        <v>3506</v>
      </c>
      <c r="AU141" t="s" s="0">
        <v>81</v>
      </c>
      <c r="AV141" t="s" s="0">
        <v>81</v>
      </c>
      <c r="AW141" t="s" s="0">
        <v>3507</v>
      </c>
      <c r="AX141" t="s" s="0">
        <v>3508</v>
      </c>
      <c r="AY141" t="s" s="0">
        <v>1733</v>
      </c>
      <c r="AZ141" t="s" s="0">
        <v>144</v>
      </c>
      <c r="BA141" t="s" s="0">
        <v>265</v>
      </c>
      <c r="BB141" t="s" s="0">
        <v>81</v>
      </c>
      <c r="BC141" t="s" s="0">
        <v>81</v>
      </c>
      <c r="BD141" t="s" s="0">
        <v>81</v>
      </c>
      <c r="BE141" t="s" s="0">
        <v>81</v>
      </c>
      <c r="BF141" t="s" s="0">
        <v>81</v>
      </c>
      <c r="BG141" t="s" s="0">
        <v>81</v>
      </c>
      <c r="BH141" t="s" s="0">
        <v>81</v>
      </c>
      <c r="BI141" t="s" s="0">
        <v>3509</v>
      </c>
      <c r="BJ141" t="s" s="0">
        <v>3510</v>
      </c>
      <c r="BK141" t="s" s="279">
        <f>HYPERLINK("http://dx.doi.org/10.3389/fonc.2026.1808714","http://dx.doi.org/10.3389/fonc.2026.1808714")</f>
        <v>3511</v>
      </c>
      <c r="BL141" t="s" s="0">
        <v>81</v>
      </c>
      <c r="BM141" t="s" s="0">
        <v>532</v>
      </c>
      <c r="BN141" t="s" s="0">
        <v>360</v>
      </c>
      <c r="BO141" t="s" s="0">
        <v>1433</v>
      </c>
      <c r="BP141" t="s" s="0">
        <v>1433</v>
      </c>
      <c r="BQ141" t="s" s="0">
        <v>3512</v>
      </c>
      <c r="BR141" t="s" s="0">
        <v>3513</v>
      </c>
      <c r="BS141" t="s" s="0">
        <v>3514</v>
      </c>
      <c r="BT141" t="s" s="280">
        <f>HYPERLINK("https://www.webofscience.com/wos/woscc/full-record/WOS:001808629200001","View Record in Web of Science")</f>
        <v>120</v>
      </c>
      <c r="BU141" t="s" s="0">
        <v>1216</v>
      </c>
      <c r="BV141" t="s" s="0">
        <v>81</v>
      </c>
      <c r="BW141" t="s" s="0">
        <v>81</v>
      </c>
      <c r="BX141" t="s" s="0">
        <v>122</v>
      </c>
    </row>
    <row r="142">
      <c r="A142" t="s" s="0">
        <v>77</v>
      </c>
      <c r="B142" t="s" s="0">
        <v>77</v>
      </c>
      <c r="C142" t="s" s="0">
        <v>77</v>
      </c>
      <c r="D142" t="s" s="0">
        <v>77</v>
      </c>
      <c r="E142" t="s" s="0">
        <v>3515</v>
      </c>
      <c r="F142" t="s" s="0">
        <v>3516</v>
      </c>
      <c r="G142" t="s" s="0">
        <v>3517</v>
      </c>
      <c r="H142" t="s" s="0">
        <v>81</v>
      </c>
      <c r="I142" t="s" s="0">
        <v>82</v>
      </c>
      <c r="J142" t="s" s="0">
        <v>3518</v>
      </c>
      <c r="K142" t="s" s="0">
        <v>3519</v>
      </c>
      <c r="L142" t="s" s="0">
        <v>3520</v>
      </c>
      <c r="M142" t="s" s="0">
        <v>3520</v>
      </c>
      <c r="N142" t="s" s="0">
        <v>3521</v>
      </c>
      <c r="O142" t="s" s="0">
        <v>3522</v>
      </c>
      <c r="P142" t="s" s="0">
        <v>3523</v>
      </c>
      <c r="Q142" t="s" s="0">
        <v>90</v>
      </c>
      <c r="R142" t="s" s="0">
        <v>81</v>
      </c>
      <c r="S142" t="s" s="0">
        <v>81</v>
      </c>
      <c r="T142" t="s" s="0">
        <v>81</v>
      </c>
      <c r="U142" t="s" s="0">
        <v>81</v>
      </c>
      <c r="V142" t="s" s="0">
        <v>3524</v>
      </c>
      <c r="W142" t="s" s="0">
        <v>3525</v>
      </c>
      <c r="X142" t="s" s="0">
        <v>81</v>
      </c>
      <c r="Y142" t="s" s="0">
        <v>81</v>
      </c>
      <c r="Z142" t="s" s="0">
        <v>93</v>
      </c>
      <c r="AA142" t="s" s="0">
        <v>94</v>
      </c>
      <c r="AB142" t="s" s="0">
        <v>81</v>
      </c>
      <c r="AC142" t="s" s="0">
        <v>81</v>
      </c>
      <c r="AD142" t="s" s="0">
        <v>81</v>
      </c>
      <c r="AE142" t="s" s="0">
        <v>81</v>
      </c>
      <c r="AF142" t="s" s="0">
        <v>81</v>
      </c>
      <c r="AG142" t="s" s="0">
        <v>81</v>
      </c>
      <c r="AH142" t="s" s="0">
        <v>81</v>
      </c>
      <c r="AI142" t="s" s="0">
        <v>3526</v>
      </c>
      <c r="AJ142" t="s" s="0">
        <v>3527</v>
      </c>
      <c r="AK142" t="s" s="0">
        <v>81</v>
      </c>
      <c r="AL142" t="s" s="0">
        <v>360</v>
      </c>
      <c r="AM142" t="s" s="0">
        <v>452</v>
      </c>
      <c r="AN142" t="s" s="0">
        <v>210</v>
      </c>
      <c r="AO142" t="s" s="0">
        <v>77</v>
      </c>
      <c r="AP142" t="s" s="0">
        <v>169</v>
      </c>
      <c r="AQ142" t="s" s="0">
        <v>499</v>
      </c>
      <c r="AR142" t="s" s="0">
        <v>500</v>
      </c>
      <c r="AS142" t="s" s="0">
        <v>501</v>
      </c>
      <c r="AT142" t="s" s="0">
        <v>81</v>
      </c>
      <c r="AU142" t="s" s="0">
        <v>3528</v>
      </c>
      <c r="AV142" t="s" s="0">
        <v>81</v>
      </c>
      <c r="AW142" t="s" s="0">
        <v>3529</v>
      </c>
      <c r="AX142" t="s" s="0">
        <v>3530</v>
      </c>
      <c r="AY142" t="s" s="0">
        <v>3531</v>
      </c>
      <c r="AZ142" t="s" s="0">
        <v>110</v>
      </c>
      <c r="BA142" t="s" s="0">
        <v>265</v>
      </c>
      <c r="BB142" t="s" s="0">
        <v>169</v>
      </c>
      <c r="BC142" t="s" s="0">
        <v>81</v>
      </c>
      <c r="BD142" t="s" s="0">
        <v>81</v>
      </c>
      <c r="BE142" t="s" s="0">
        <v>81</v>
      </c>
      <c r="BF142" t="s" s="0">
        <v>81</v>
      </c>
      <c r="BG142" t="s" s="0">
        <v>81</v>
      </c>
      <c r="BH142" t="s" s="0">
        <v>81</v>
      </c>
      <c r="BI142" t="s" s="0">
        <v>3532</v>
      </c>
      <c r="BJ142" t="s" s="0">
        <v>3533</v>
      </c>
      <c r="BK142" t="s" s="281">
        <f>HYPERLINK("http://dx.doi.org/10.1007/s12672-025-02005-4","http://dx.doi.org/10.1007/s12672-025-02005-4")</f>
        <v>3534</v>
      </c>
      <c r="BL142" t="s" s="0">
        <v>81</v>
      </c>
      <c r="BM142" t="s" s="0">
        <v>81</v>
      </c>
      <c r="BN142" t="s" s="0">
        <v>100</v>
      </c>
      <c r="BO142" t="s" s="0">
        <v>3535</v>
      </c>
      <c r="BP142" t="s" s="0">
        <v>3535</v>
      </c>
      <c r="BQ142" t="s" s="0">
        <v>3536</v>
      </c>
      <c r="BR142" t="s" s="0">
        <v>3537</v>
      </c>
      <c r="BS142" t="s" s="0">
        <v>3538</v>
      </c>
      <c r="BT142" t="s" s="282">
        <f>HYPERLINK("https://www.webofscience.com/wos/woscc/full-record/WOS:001432321900001","View Record in Web of Science")</f>
        <v>120</v>
      </c>
      <c r="BU142" t="s" s="0">
        <v>121</v>
      </c>
      <c r="BV142" t="s" s="0">
        <v>81</v>
      </c>
      <c r="BW142" t="s" s="0">
        <v>81</v>
      </c>
      <c r="BX142" t="s" s="0">
        <v>122</v>
      </c>
    </row>
    <row r="143">
      <c r="A143" t="s" s="0">
        <v>77</v>
      </c>
      <c r="B143" t="s" s="0">
        <v>77</v>
      </c>
      <c r="C143" t="s" s="0">
        <v>77</v>
      </c>
      <c r="D143" t="s" s="0">
        <v>77</v>
      </c>
      <c r="E143" t="s" s="0">
        <v>3539</v>
      </c>
      <c r="F143" t="s" s="0">
        <v>3540</v>
      </c>
      <c r="G143" t="s" s="0">
        <v>3541</v>
      </c>
      <c r="H143" t="s" s="0">
        <v>81</v>
      </c>
      <c r="I143" t="s" s="0">
        <v>82</v>
      </c>
      <c r="J143" t="s" s="0">
        <v>3542</v>
      </c>
      <c r="K143" t="s" s="0">
        <v>3543</v>
      </c>
      <c r="L143" t="s" s="0">
        <v>81</v>
      </c>
      <c r="M143" t="s" s="0">
        <v>81</v>
      </c>
      <c r="N143" t="s" s="0">
        <v>81</v>
      </c>
      <c r="O143" t="s" s="0">
        <v>3544</v>
      </c>
      <c r="P143" t="s" s="0">
        <v>3545</v>
      </c>
      <c r="Q143" t="s" s="0">
        <v>90</v>
      </c>
      <c r="R143" t="s" s="0">
        <v>81</v>
      </c>
      <c r="S143" t="s" s="0">
        <v>81</v>
      </c>
      <c r="T143" t="s" s="0">
        <v>81</v>
      </c>
      <c r="U143" t="s" s="0">
        <v>81</v>
      </c>
      <c r="V143" t="s" s="0">
        <v>3546</v>
      </c>
      <c r="W143" t="s" s="0">
        <v>3547</v>
      </c>
      <c r="X143" t="s" s="0">
        <v>81</v>
      </c>
      <c r="Y143" t="s" s="0">
        <v>81</v>
      </c>
      <c r="Z143" t="s" s="0">
        <v>93</v>
      </c>
      <c r="AA143" t="s" s="0">
        <v>94</v>
      </c>
      <c r="AB143" t="s" s="0">
        <v>81</v>
      </c>
      <c r="AC143" t="s" s="0">
        <v>81</v>
      </c>
      <c r="AD143" t="s" s="0">
        <v>81</v>
      </c>
      <c r="AE143" t="s" s="0">
        <v>81</v>
      </c>
      <c r="AF143" t="s" s="0">
        <v>81</v>
      </c>
      <c r="AG143" t="s" s="0">
        <v>3548</v>
      </c>
      <c r="AH143" t="s" s="0">
        <v>81</v>
      </c>
      <c r="AI143" t="s" s="0">
        <v>3549</v>
      </c>
      <c r="AJ143" t="s" s="0">
        <v>3550</v>
      </c>
      <c r="AK143" t="s" s="0">
        <v>81</v>
      </c>
      <c r="AL143" t="s" s="0">
        <v>1799</v>
      </c>
      <c r="AM143" t="s" s="0">
        <v>77</v>
      </c>
      <c r="AN143" t="s" s="0">
        <v>77</v>
      </c>
      <c r="AO143" t="s" s="0">
        <v>169</v>
      </c>
      <c r="AP143" t="s" s="0">
        <v>169</v>
      </c>
      <c r="AQ143" t="s" s="0">
        <v>499</v>
      </c>
      <c r="AR143" t="s" s="0">
        <v>500</v>
      </c>
      <c r="AS143" t="s" s="0">
        <v>501</v>
      </c>
      <c r="AT143" t="s" s="0">
        <v>3551</v>
      </c>
      <c r="AU143" t="s" s="0">
        <v>3552</v>
      </c>
      <c r="AV143" t="s" s="0">
        <v>81</v>
      </c>
      <c r="AW143" t="s" s="0">
        <v>3553</v>
      </c>
      <c r="AX143" t="s" s="0">
        <v>3554</v>
      </c>
      <c r="AY143" t="s" s="0">
        <v>209</v>
      </c>
      <c r="AZ143" t="s" s="0">
        <v>144</v>
      </c>
      <c r="BA143" t="s" s="0">
        <v>1543</v>
      </c>
      <c r="BB143" t="s" s="0">
        <v>99</v>
      </c>
      <c r="BC143" t="s" s="0">
        <v>81</v>
      </c>
      <c r="BD143" t="s" s="0">
        <v>81</v>
      </c>
      <c r="BE143" t="s" s="0">
        <v>81</v>
      </c>
      <c r="BF143" t="s" s="0">
        <v>81</v>
      </c>
      <c r="BG143" t="s" s="0">
        <v>3555</v>
      </c>
      <c r="BH143" t="s" s="0">
        <v>3556</v>
      </c>
      <c r="BI143" t="s" s="0">
        <v>81</v>
      </c>
      <c r="BJ143" t="s" s="0">
        <v>3557</v>
      </c>
      <c r="BK143" t="s" s="283">
        <f>HYPERLINK("http://dx.doi.org/10.1007/s11695-026-08578-5","http://dx.doi.org/10.1007/s11695-026-08578-5")</f>
        <v>3558</v>
      </c>
      <c r="BL143" t="s" s="0">
        <v>81</v>
      </c>
      <c r="BM143" t="s" s="0">
        <v>177</v>
      </c>
      <c r="BN143" t="s" s="0">
        <v>328</v>
      </c>
      <c r="BO143" t="s" s="0">
        <v>3559</v>
      </c>
      <c r="BP143" t="s" s="0">
        <v>3559</v>
      </c>
      <c r="BQ143" t="s" s="0">
        <v>3560</v>
      </c>
      <c r="BR143" t="s" s="0">
        <v>3561</v>
      </c>
      <c r="BS143" t="s" s="0">
        <v>3562</v>
      </c>
      <c r="BT143" t="s" s="284">
        <f>HYPERLINK("https://www.webofscience.com/wos/woscc/full-record/WOS:001715625000001","View Record in Web of Science")</f>
        <v>120</v>
      </c>
      <c r="BU143" t="s" s="0">
        <v>81</v>
      </c>
      <c r="BV143" t="s" s="0">
        <v>81</v>
      </c>
      <c r="BW143" t="s" s="0">
        <v>81</v>
      </c>
      <c r="BX143" t="s" s="0">
        <v>122</v>
      </c>
    </row>
    <row r="144">
      <c r="A144" t="s" s="0">
        <v>77</v>
      </c>
      <c r="B144" t="s" s="0">
        <v>77</v>
      </c>
      <c r="C144" t="s" s="0">
        <v>77</v>
      </c>
      <c r="D144" t="s" s="0">
        <v>77</v>
      </c>
      <c r="E144" t="s" s="0">
        <v>3563</v>
      </c>
      <c r="F144" t="s" s="0">
        <v>3564</v>
      </c>
      <c r="G144" t="s" s="0">
        <v>3565</v>
      </c>
      <c r="H144" t="s" s="0">
        <v>81</v>
      </c>
      <c r="I144" t="s" s="0">
        <v>82</v>
      </c>
      <c r="J144" t="s" s="0">
        <v>3566</v>
      </c>
      <c r="K144" t="s" s="0">
        <v>3567</v>
      </c>
      <c r="L144" t="s" s="0">
        <v>3568</v>
      </c>
      <c r="M144" t="s" s="0">
        <v>3569</v>
      </c>
      <c r="N144" t="s" s="0">
        <v>3570</v>
      </c>
      <c r="O144" t="s" s="0">
        <v>3571</v>
      </c>
      <c r="P144" t="s" s="0">
        <v>3572</v>
      </c>
      <c r="Q144" t="s" s="0">
        <v>90</v>
      </c>
      <c r="R144" t="s" s="0">
        <v>81</v>
      </c>
      <c r="S144" t="s" s="0">
        <v>81</v>
      </c>
      <c r="T144" t="s" s="0">
        <v>81</v>
      </c>
      <c r="U144" t="s" s="0">
        <v>81</v>
      </c>
      <c r="V144" t="s" s="0">
        <v>3573</v>
      </c>
      <c r="W144" t="s" s="0">
        <v>92</v>
      </c>
      <c r="X144" t="s" s="0">
        <v>81</v>
      </c>
      <c r="Y144" t="s" s="0">
        <v>81</v>
      </c>
      <c r="Z144" t="s" s="0">
        <v>93</v>
      </c>
      <c r="AA144" t="s" s="0">
        <v>94</v>
      </c>
      <c r="AB144" t="s" s="0">
        <v>81</v>
      </c>
      <c r="AC144" t="s" s="0">
        <v>81</v>
      </c>
      <c r="AD144" t="s" s="0">
        <v>81</v>
      </c>
      <c r="AE144" t="s" s="0">
        <v>81</v>
      </c>
      <c r="AF144" t="s" s="0">
        <v>81</v>
      </c>
      <c r="AG144" t="s" s="0">
        <v>3574</v>
      </c>
      <c r="AH144" t="s" s="0">
        <v>3575</v>
      </c>
      <c r="AI144" t="s" s="0">
        <v>81</v>
      </c>
      <c r="AJ144" t="s" s="0">
        <v>3576</v>
      </c>
      <c r="AK144" t="s" s="0">
        <v>81</v>
      </c>
      <c r="AL144" t="s" s="0">
        <v>1451</v>
      </c>
      <c r="AM144" t="s" s="0">
        <v>77</v>
      </c>
      <c r="AN144" t="s" s="0">
        <v>77</v>
      </c>
      <c r="AO144" t="s" s="0">
        <v>77</v>
      </c>
      <c r="AP144" t="s" s="0">
        <v>77</v>
      </c>
      <c r="AQ144" t="s" s="0">
        <v>103</v>
      </c>
      <c r="AR144" t="s" s="0">
        <v>104</v>
      </c>
      <c r="AS144" t="s" s="0">
        <v>105</v>
      </c>
      <c r="AT144" t="s" s="0">
        <v>1405</v>
      </c>
      <c r="AU144" t="s" s="0">
        <v>106</v>
      </c>
      <c r="AV144" t="s" s="0">
        <v>81</v>
      </c>
      <c r="AW144" t="s" s="0">
        <v>107</v>
      </c>
      <c r="AX144" t="s" s="0">
        <v>108</v>
      </c>
      <c r="AY144" t="s" s="0">
        <v>3577</v>
      </c>
      <c r="AZ144" t="s" s="0">
        <v>144</v>
      </c>
      <c r="BA144" t="s" s="0">
        <v>637</v>
      </c>
      <c r="BB144" t="s" s="0">
        <v>81</v>
      </c>
      <c r="BC144" t="s" s="0">
        <v>81</v>
      </c>
      <c r="BD144" t="s" s="0">
        <v>81</v>
      </c>
      <c r="BE144" t="s" s="0">
        <v>81</v>
      </c>
      <c r="BF144" t="s" s="0">
        <v>81</v>
      </c>
      <c r="BG144" t="s" s="0">
        <v>81</v>
      </c>
      <c r="BH144" t="s" s="0">
        <v>81</v>
      </c>
      <c r="BI144" t="s" s="0">
        <v>3578</v>
      </c>
      <c r="BJ144" t="s" s="0">
        <v>3579</v>
      </c>
      <c r="BK144" t="s" s="285">
        <f>HYPERLINK("http://dx.doi.org/10.2196/93393","http://dx.doi.org/10.2196/93393")</f>
        <v>3580</v>
      </c>
      <c r="BL144" t="s" s="0">
        <v>81</v>
      </c>
      <c r="BM144" t="s" s="0">
        <v>81</v>
      </c>
      <c r="BN144" t="s" s="0">
        <v>352</v>
      </c>
      <c r="BO144" t="s" s="0">
        <v>116</v>
      </c>
      <c r="BP144" t="s" s="0">
        <v>116</v>
      </c>
      <c r="BQ144" t="s" s="0">
        <v>3581</v>
      </c>
      <c r="BR144" t="s" s="0">
        <v>3582</v>
      </c>
      <c r="BS144" t="s" s="0">
        <v>3583</v>
      </c>
      <c r="BT144" t="s" s="286">
        <f>HYPERLINK("https://www.webofscience.com/wos/woscc/full-record/WOS:001844579300004","View Record in Web of Science")</f>
        <v>120</v>
      </c>
      <c r="BU144" t="s" s="0">
        <v>121</v>
      </c>
      <c r="BV144" t="s" s="0">
        <v>81</v>
      </c>
      <c r="BW144" t="s" s="0">
        <v>81</v>
      </c>
      <c r="BX144" t="s" s="0">
        <v>122</v>
      </c>
    </row>
    <row r="145">
      <c r="A145" t="s" s="0">
        <v>77</v>
      </c>
      <c r="B145" t="s" s="0">
        <v>77</v>
      </c>
      <c r="C145" t="s" s="0">
        <v>77</v>
      </c>
      <c r="D145" t="s" s="0">
        <v>77</v>
      </c>
      <c r="E145" t="s" s="0">
        <v>3584</v>
      </c>
      <c r="F145" t="s" s="0">
        <v>3585</v>
      </c>
      <c r="G145" t="s" s="0">
        <v>3586</v>
      </c>
      <c r="H145" t="s" s="0">
        <v>81</v>
      </c>
      <c r="I145" t="s" s="0">
        <v>218</v>
      </c>
      <c r="J145" t="s" s="0">
        <v>3587</v>
      </c>
      <c r="K145" t="s" s="0">
        <v>3588</v>
      </c>
      <c r="L145" t="s" s="0">
        <v>81</v>
      </c>
      <c r="M145" t="s" s="0">
        <v>81</v>
      </c>
      <c r="N145" t="s" s="0">
        <v>81</v>
      </c>
      <c r="O145" t="s" s="0">
        <v>3589</v>
      </c>
      <c r="P145" t="s" s="0">
        <v>3590</v>
      </c>
      <c r="Q145" t="s" s="0">
        <v>90</v>
      </c>
      <c r="R145" t="s" s="0">
        <v>81</v>
      </c>
      <c r="S145" t="s" s="0">
        <v>81</v>
      </c>
      <c r="T145" t="s" s="0">
        <v>81</v>
      </c>
      <c r="U145" t="s" s="0">
        <v>81</v>
      </c>
      <c r="V145" t="s" s="0">
        <v>3591</v>
      </c>
      <c r="W145" t="s" s="0">
        <v>524</v>
      </c>
      <c r="X145" t="s" s="0">
        <v>81</v>
      </c>
      <c r="Y145" t="s" s="0">
        <v>81</v>
      </c>
      <c r="Z145" t="s" s="0">
        <v>93</v>
      </c>
      <c r="AA145" t="s" s="0">
        <v>94</v>
      </c>
      <c r="AB145" t="s" s="0">
        <v>81</v>
      </c>
      <c r="AC145" t="s" s="0">
        <v>81</v>
      </c>
      <c r="AD145" t="s" s="0">
        <v>81</v>
      </c>
      <c r="AE145" t="s" s="0">
        <v>81</v>
      </c>
      <c r="AF145" t="s" s="0">
        <v>81</v>
      </c>
      <c r="AG145" t="s" s="0">
        <v>3592</v>
      </c>
      <c r="AH145" t="s" s="0">
        <v>3593</v>
      </c>
      <c r="AI145" t="s" s="0">
        <v>3594</v>
      </c>
      <c r="AJ145" t="s" s="0">
        <v>3595</v>
      </c>
      <c r="AK145" t="s" s="0">
        <v>81</v>
      </c>
      <c r="AL145" t="s" s="0">
        <v>3391</v>
      </c>
      <c r="AM145" t="s" s="0">
        <v>77</v>
      </c>
      <c r="AN145" t="s" s="0">
        <v>77</v>
      </c>
      <c r="AO145" t="s" s="0">
        <v>169</v>
      </c>
      <c r="AP145" t="s" s="0">
        <v>169</v>
      </c>
      <c r="AQ145" t="s" s="0">
        <v>527</v>
      </c>
      <c r="AR145" t="s" s="0">
        <v>528</v>
      </c>
      <c r="AS145" t="s" s="0">
        <v>529</v>
      </c>
      <c r="AT145" t="s" s="0">
        <v>81</v>
      </c>
      <c r="AU145" t="s" s="0">
        <v>530</v>
      </c>
      <c r="AV145" t="s" s="0">
        <v>81</v>
      </c>
      <c r="AW145" t="s" s="0">
        <v>524</v>
      </c>
      <c r="AX145" t="s" s="0">
        <v>531</v>
      </c>
      <c r="AY145" t="s" s="0">
        <v>508</v>
      </c>
      <c r="AZ145" t="s" s="0">
        <v>144</v>
      </c>
      <c r="BA145" t="s" s="0">
        <v>328</v>
      </c>
      <c r="BB145" t="s" s="0">
        <v>169</v>
      </c>
      <c r="BC145" t="s" s="0">
        <v>81</v>
      </c>
      <c r="BD145" t="s" s="0">
        <v>81</v>
      </c>
      <c r="BE145" t="s" s="0">
        <v>81</v>
      </c>
      <c r="BF145" t="s" s="0">
        <v>81</v>
      </c>
      <c r="BG145" t="s" s="0">
        <v>81</v>
      </c>
      <c r="BH145" t="s" s="0">
        <v>81</v>
      </c>
      <c r="BI145" t="s" s="0">
        <v>3596</v>
      </c>
      <c r="BJ145" t="s" s="0">
        <v>3597</v>
      </c>
      <c r="BK145" t="s" s="287">
        <f>HYPERLINK("http://dx.doi.org/10.1093/jamiaopen/ooag017","http://dx.doi.org/10.1093/jamiaopen/ooag017")</f>
        <v>3598</v>
      </c>
      <c r="BL145" t="s" s="0">
        <v>81</v>
      </c>
      <c r="BM145" t="s" s="0">
        <v>81</v>
      </c>
      <c r="BN145" t="s" s="0">
        <v>102</v>
      </c>
      <c r="BO145" t="s" s="0">
        <v>116</v>
      </c>
      <c r="BP145" t="s" s="0">
        <v>116</v>
      </c>
      <c r="BQ145" t="s" s="0">
        <v>3599</v>
      </c>
      <c r="BR145" t="s" s="0">
        <v>3600</v>
      </c>
      <c r="BS145" t="s" s="0">
        <v>3601</v>
      </c>
      <c r="BT145" t="s" s="288">
        <f>HYPERLINK("https://www.webofscience.com/wos/woscc/full-record/WOS:001696983400001","View Record in Web of Science")</f>
        <v>120</v>
      </c>
      <c r="BU145" t="s" s="0">
        <v>121</v>
      </c>
      <c r="BV145" t="s" s="0">
        <v>81</v>
      </c>
      <c r="BW145" t="s" s="0">
        <v>81</v>
      </c>
      <c r="BX145" t="s" s="0">
        <v>122</v>
      </c>
    </row>
    <row r="146">
      <c r="A146" t="s" s="0">
        <v>77</v>
      </c>
      <c r="B146" t="s" s="0">
        <v>77</v>
      </c>
      <c r="C146" t="s" s="0">
        <v>77</v>
      </c>
      <c r="D146" t="s" s="0">
        <v>77</v>
      </c>
      <c r="E146" t="s" s="0">
        <v>3602</v>
      </c>
      <c r="F146" t="s" s="0">
        <v>3603</v>
      </c>
      <c r="G146" t="s" s="0">
        <v>3604</v>
      </c>
      <c r="H146" t="s" s="0">
        <v>81</v>
      </c>
      <c r="I146" t="s" s="0">
        <v>82</v>
      </c>
      <c r="J146" t="s" s="0">
        <v>3605</v>
      </c>
      <c r="K146" t="s" s="0">
        <v>3606</v>
      </c>
      <c r="L146" t="s" s="0">
        <v>3607</v>
      </c>
      <c r="M146" t="s" s="0">
        <v>3608</v>
      </c>
      <c r="N146" t="s" s="0">
        <v>3609</v>
      </c>
      <c r="O146" t="s" s="0">
        <v>3610</v>
      </c>
      <c r="P146" t="s" s="0">
        <v>3611</v>
      </c>
      <c r="Q146" t="s" s="0">
        <v>90</v>
      </c>
      <c r="R146" t="s" s="0">
        <v>81</v>
      </c>
      <c r="S146" t="s" s="0">
        <v>81</v>
      </c>
      <c r="T146" t="s" s="0">
        <v>81</v>
      </c>
      <c r="U146" t="s" s="0">
        <v>81</v>
      </c>
      <c r="V146" t="s" s="0">
        <v>3612</v>
      </c>
      <c r="W146" t="s" s="0">
        <v>3613</v>
      </c>
      <c r="X146" t="s" s="0">
        <v>81</v>
      </c>
      <c r="Y146" t="s" s="0">
        <v>81</v>
      </c>
      <c r="Z146" t="s" s="0">
        <v>93</v>
      </c>
      <c r="AA146" t="s" s="0">
        <v>196</v>
      </c>
      <c r="AB146" t="s" s="0">
        <v>81</v>
      </c>
      <c r="AC146" t="s" s="0">
        <v>81</v>
      </c>
      <c r="AD146" t="s" s="0">
        <v>81</v>
      </c>
      <c r="AE146" t="s" s="0">
        <v>81</v>
      </c>
      <c r="AF146" t="s" s="0">
        <v>81</v>
      </c>
      <c r="AG146" t="s" s="0">
        <v>3614</v>
      </c>
      <c r="AH146" t="s" s="0">
        <v>81</v>
      </c>
      <c r="AI146" t="s" s="0">
        <v>81</v>
      </c>
      <c r="AJ146" t="s" s="0">
        <v>3615</v>
      </c>
      <c r="AK146" t="s" s="0">
        <v>81</v>
      </c>
      <c r="AL146" t="s" s="0">
        <v>3616</v>
      </c>
      <c r="AM146" t="s" s="0">
        <v>169</v>
      </c>
      <c r="AN146" t="s" s="0">
        <v>169</v>
      </c>
      <c r="AO146" t="s" s="0">
        <v>115</v>
      </c>
      <c r="AP146" t="s" s="0">
        <v>115</v>
      </c>
      <c r="AQ146" t="s" s="0">
        <v>2366</v>
      </c>
      <c r="AR146" t="s" s="0">
        <v>2367</v>
      </c>
      <c r="AS146" t="s" s="0">
        <v>2368</v>
      </c>
      <c r="AT146" t="s" s="0">
        <v>3617</v>
      </c>
      <c r="AU146" t="s" s="0">
        <v>81</v>
      </c>
      <c r="AV146" t="s" s="0">
        <v>81</v>
      </c>
      <c r="AW146" t="s" s="0">
        <v>3618</v>
      </c>
      <c r="AX146" t="s" s="0">
        <v>3619</v>
      </c>
      <c r="AY146" t="s" s="0">
        <v>81</v>
      </c>
      <c r="AZ146" t="s" s="0">
        <v>144</v>
      </c>
      <c r="BA146" t="s" s="0">
        <v>81</v>
      </c>
      <c r="BB146" t="s" s="0">
        <v>81</v>
      </c>
      <c r="BC146" t="s" s="0">
        <v>81</v>
      </c>
      <c r="BD146" t="s" s="0">
        <v>81</v>
      </c>
      <c r="BE146" t="s" s="0">
        <v>81</v>
      </c>
      <c r="BF146" t="s" s="0">
        <v>81</v>
      </c>
      <c r="BG146" t="s" s="0">
        <v>81</v>
      </c>
      <c r="BH146" t="s" s="0">
        <v>81</v>
      </c>
      <c r="BI146" t="s" s="0">
        <v>81</v>
      </c>
      <c r="BJ146" t="s" s="0">
        <v>3620</v>
      </c>
      <c r="BK146" t="s" s="289">
        <f>HYPERLINK("http://dx.doi.org/10.1109/TCSS.2026.3661295","http://dx.doi.org/10.1109/TCSS.2026.3661295")</f>
        <v>3621</v>
      </c>
      <c r="BL146" t="s" s="0">
        <v>81</v>
      </c>
      <c r="BM146" t="s" s="0">
        <v>177</v>
      </c>
      <c r="BN146" t="s" s="0">
        <v>671</v>
      </c>
      <c r="BO146" t="s" s="0">
        <v>3622</v>
      </c>
      <c r="BP146" t="s" s="0">
        <v>303</v>
      </c>
      <c r="BQ146" t="s" s="0">
        <v>3623</v>
      </c>
      <c r="BR146" t="s" s="0">
        <v>81</v>
      </c>
      <c r="BS146" t="s" s="0">
        <v>3624</v>
      </c>
      <c r="BT146" t="s" s="290">
        <f>HYPERLINK("https://www.webofscience.com/wos/woscc/full-record/WOS:001727399100001","View Record in Web of Science")</f>
        <v>120</v>
      </c>
      <c r="BU146" t="s" s="0">
        <v>81</v>
      </c>
      <c r="BV146" t="s" s="0">
        <v>81</v>
      </c>
      <c r="BW146" t="s" s="0">
        <v>81</v>
      </c>
      <c r="BX146" t="s" s="0">
        <v>122</v>
      </c>
    </row>
    <row r="147">
      <c r="A147" t="s" s="0">
        <v>169</v>
      </c>
      <c r="B147" t="s" s="0">
        <v>77</v>
      </c>
      <c r="C147" t="s" s="0">
        <v>77</v>
      </c>
      <c r="D147" t="s" s="0">
        <v>77</v>
      </c>
      <c r="E147" t="s" s="0">
        <v>3625</v>
      </c>
      <c r="F147" t="s" s="0">
        <v>3626</v>
      </c>
      <c r="G147" t="s" s="0">
        <v>3627</v>
      </c>
      <c r="H147" t="s" s="0">
        <v>81</v>
      </c>
      <c r="I147" t="s" s="0">
        <v>82</v>
      </c>
      <c r="J147" t="s" s="0">
        <v>3628</v>
      </c>
      <c r="K147" t="s" s="0">
        <v>3629</v>
      </c>
      <c r="L147" t="s" s="0">
        <v>81</v>
      </c>
      <c r="M147" t="s" s="0">
        <v>81</v>
      </c>
      <c r="N147" t="s" s="0">
        <v>81</v>
      </c>
      <c r="O147" t="s" s="0">
        <v>3630</v>
      </c>
      <c r="P147" t="s" s="0">
        <v>3631</v>
      </c>
      <c r="Q147" t="s" s="0">
        <v>90</v>
      </c>
      <c r="R147" t="s" s="0">
        <v>81</v>
      </c>
      <c r="S147" t="s" s="0">
        <v>81</v>
      </c>
      <c r="T147" t="s" s="0">
        <v>81</v>
      </c>
      <c r="U147" t="s" s="0">
        <v>81</v>
      </c>
      <c r="V147" t="s" s="0">
        <v>3632</v>
      </c>
      <c r="W147" t="s" s="0">
        <v>3633</v>
      </c>
      <c r="X147" t="s" s="0">
        <v>81</v>
      </c>
      <c r="Y147" t="s" s="0">
        <v>81</v>
      </c>
      <c r="Z147" t="s" s="0">
        <v>93</v>
      </c>
      <c r="AA147" t="s" s="0">
        <v>94</v>
      </c>
      <c r="AB147" t="s" s="0">
        <v>81</v>
      </c>
      <c r="AC147" t="s" s="0">
        <v>81</v>
      </c>
      <c r="AD147" t="s" s="0">
        <v>81</v>
      </c>
      <c r="AE147" t="s" s="0">
        <v>81</v>
      </c>
      <c r="AF147" t="s" s="0">
        <v>81</v>
      </c>
      <c r="AG147" t="s" s="0">
        <v>3634</v>
      </c>
      <c r="AH147" t="s" s="0">
        <v>81</v>
      </c>
      <c r="AI147" t="s" s="0">
        <v>3635</v>
      </c>
      <c r="AJ147" t="s" s="0">
        <v>3636</v>
      </c>
      <c r="AK147" t="s" s="0">
        <v>81</v>
      </c>
      <c r="AL147" t="s" s="0">
        <v>1543</v>
      </c>
      <c r="AM147" t="s" s="0">
        <v>1232</v>
      </c>
      <c r="AN147" t="s" s="0">
        <v>136</v>
      </c>
      <c r="AO147" t="s" s="0">
        <v>210</v>
      </c>
      <c r="AP147" t="s" s="0">
        <v>111</v>
      </c>
      <c r="AQ147" t="s" s="0">
        <v>3637</v>
      </c>
      <c r="AR147" t="s" s="0">
        <v>528</v>
      </c>
      <c r="AS147" t="s" s="0">
        <v>3638</v>
      </c>
      <c r="AT147" t="s" s="0">
        <v>3639</v>
      </c>
      <c r="AU147" t="s" s="0">
        <v>3640</v>
      </c>
      <c r="AV147" t="s" s="0">
        <v>81</v>
      </c>
      <c r="AW147" t="s" s="0">
        <v>3641</v>
      </c>
      <c r="AX147" t="s" s="0">
        <v>3642</v>
      </c>
      <c r="AY147" t="s" s="0">
        <v>508</v>
      </c>
      <c r="AZ147" t="s" s="0">
        <v>144</v>
      </c>
      <c r="BA147" t="s" s="0">
        <v>3643</v>
      </c>
      <c r="BB147" t="s" s="0">
        <v>81</v>
      </c>
      <c r="BC147" t="s" s="0">
        <v>81</v>
      </c>
      <c r="BD147" t="s" s="0">
        <v>81</v>
      </c>
      <c r="BE147" t="s" s="0">
        <v>81</v>
      </c>
      <c r="BF147" t="s" s="0">
        <v>81</v>
      </c>
      <c r="BG147" t="s" s="0">
        <v>81</v>
      </c>
      <c r="BH147" t="s" s="0">
        <v>81</v>
      </c>
      <c r="BI147" t="s" s="0">
        <v>3644</v>
      </c>
      <c r="BJ147" t="s" s="0">
        <v>3645</v>
      </c>
      <c r="BK147" t="s" s="291">
        <f>HYPERLINK("http://dx.doi.org/10.1016/j.is.2025.102620","http://dx.doi.org/10.1016/j.is.2025.102620")</f>
        <v>3646</v>
      </c>
      <c r="BL147" t="s" s="0">
        <v>81</v>
      </c>
      <c r="BM147" t="s" s="0">
        <v>666</v>
      </c>
      <c r="BN147" t="s" s="0">
        <v>328</v>
      </c>
      <c r="BO147" t="s" s="0">
        <v>930</v>
      </c>
      <c r="BP147" t="s" s="0">
        <v>303</v>
      </c>
      <c r="BQ147" t="s" s="0">
        <v>3647</v>
      </c>
      <c r="BR147" t="s" s="0">
        <v>81</v>
      </c>
      <c r="BS147" t="s" s="0">
        <v>3648</v>
      </c>
      <c r="BT147" t="s" s="292">
        <f>HYPERLINK("https://www.webofscience.com/wos/woscc/full-record/WOS:001577795500001","View Record in Web of Science")</f>
        <v>120</v>
      </c>
      <c r="BU147" t="s" s="0">
        <v>81</v>
      </c>
      <c r="BV147" t="s" s="0">
        <v>81</v>
      </c>
      <c r="BW147" t="s" s="0">
        <v>81</v>
      </c>
      <c r="BX147" t="s" s="0">
        <v>122</v>
      </c>
    </row>
    <row r="148">
      <c r="A148" t="s" s="0">
        <v>77</v>
      </c>
      <c r="B148" t="s" s="0">
        <v>77</v>
      </c>
      <c r="C148" t="s" s="0">
        <v>77</v>
      </c>
      <c r="D148" t="s" s="0">
        <v>77</v>
      </c>
      <c r="E148" t="s" s="0">
        <v>3649</v>
      </c>
      <c r="F148" t="s" s="0">
        <v>3650</v>
      </c>
      <c r="G148" t="s" s="0">
        <v>3651</v>
      </c>
      <c r="H148" t="s" s="0">
        <v>81</v>
      </c>
      <c r="I148" t="s" s="0">
        <v>82</v>
      </c>
      <c r="J148" t="s" s="0">
        <v>3652</v>
      </c>
      <c r="K148" t="s" s="0">
        <v>3653</v>
      </c>
      <c r="L148" t="s" s="0">
        <v>3654</v>
      </c>
      <c r="M148" t="s" s="0">
        <v>3655</v>
      </c>
      <c r="N148" t="s" s="0">
        <v>3656</v>
      </c>
      <c r="O148" t="s" s="0">
        <v>3657</v>
      </c>
      <c r="P148" t="s" s="0">
        <v>3658</v>
      </c>
      <c r="Q148" t="s" s="0">
        <v>90</v>
      </c>
      <c r="R148" t="s" s="0">
        <v>81</v>
      </c>
      <c r="S148" t="s" s="0">
        <v>81</v>
      </c>
      <c r="T148" t="s" s="0">
        <v>81</v>
      </c>
      <c r="U148" t="s" s="0">
        <v>81</v>
      </c>
      <c r="V148" t="s" s="0">
        <v>3659</v>
      </c>
      <c r="W148" t="s" s="0">
        <v>3660</v>
      </c>
      <c r="X148" t="s" s="0">
        <v>81</v>
      </c>
      <c r="Y148" t="s" s="0">
        <v>81</v>
      </c>
      <c r="Z148" t="s" s="0">
        <v>93</v>
      </c>
      <c r="AA148" t="s" s="0">
        <v>94</v>
      </c>
      <c r="AB148" t="s" s="0">
        <v>81</v>
      </c>
      <c r="AC148" t="s" s="0">
        <v>81</v>
      </c>
      <c r="AD148" t="s" s="0">
        <v>81</v>
      </c>
      <c r="AE148" t="s" s="0">
        <v>81</v>
      </c>
      <c r="AF148" t="s" s="0">
        <v>81</v>
      </c>
      <c r="AG148" t="s" s="0">
        <v>81</v>
      </c>
      <c r="AH148" t="s" s="0">
        <v>81</v>
      </c>
      <c r="AI148" t="s" s="0">
        <v>81</v>
      </c>
      <c r="AJ148" t="s" s="0">
        <v>81</v>
      </c>
      <c r="AK148" t="s" s="0">
        <v>81</v>
      </c>
      <c r="AL148" t="s" s="0">
        <v>136</v>
      </c>
      <c r="AM148" t="s" s="0">
        <v>77</v>
      </c>
      <c r="AN148" t="s" s="0">
        <v>77</v>
      </c>
      <c r="AO148" t="s" s="0">
        <v>77</v>
      </c>
      <c r="AP148" t="s" s="0">
        <v>77</v>
      </c>
      <c r="AQ148" t="s" s="0">
        <v>768</v>
      </c>
      <c r="AR148" t="s" s="0">
        <v>769</v>
      </c>
      <c r="AS148" t="s" s="0">
        <v>770</v>
      </c>
      <c r="AT148" t="s" s="0">
        <v>3661</v>
      </c>
      <c r="AU148" t="s" s="0">
        <v>81</v>
      </c>
      <c r="AV148" t="s" s="0">
        <v>81</v>
      </c>
      <c r="AW148" t="s" s="0">
        <v>3662</v>
      </c>
      <c r="AX148" t="s" s="0">
        <v>3663</v>
      </c>
      <c r="AY148" t="s" s="0">
        <v>3664</v>
      </c>
      <c r="AZ148" t="s" s="0">
        <v>144</v>
      </c>
      <c r="BA148" t="s" s="0">
        <v>168</v>
      </c>
      <c r="BB148" t="s" s="0">
        <v>554</v>
      </c>
      <c r="BC148" t="s" s="0">
        <v>81</v>
      </c>
      <c r="BD148" t="s" s="0">
        <v>81</v>
      </c>
      <c r="BE148" t="s" s="0">
        <v>81</v>
      </c>
      <c r="BF148" t="s" s="0">
        <v>81</v>
      </c>
      <c r="BG148" t="s" s="0">
        <v>81</v>
      </c>
      <c r="BH148" t="s" s="0">
        <v>81</v>
      </c>
      <c r="BI148" t="s" s="0">
        <v>3665</v>
      </c>
      <c r="BJ148" t="s" s="0">
        <v>3666</v>
      </c>
      <c r="BK148" t="s" s="293">
        <f>HYPERLINK("http://dx.doi.org/10.34133/csbj.0151","http://dx.doi.org/10.34133/csbj.0151")</f>
        <v>3667</v>
      </c>
      <c r="BL148" t="s" s="0">
        <v>81</v>
      </c>
      <c r="BM148" t="s" s="0">
        <v>81</v>
      </c>
      <c r="BN148" t="s" s="0">
        <v>328</v>
      </c>
      <c r="BO148" t="s" s="0">
        <v>3668</v>
      </c>
      <c r="BP148" t="s" s="0">
        <v>3668</v>
      </c>
      <c r="BQ148" t="s" s="0">
        <v>3669</v>
      </c>
      <c r="BR148" t="s" s="0">
        <v>81</v>
      </c>
      <c r="BS148" t="s" s="0">
        <v>3670</v>
      </c>
      <c r="BT148" t="s" s="294">
        <f>HYPERLINK("https://www.webofscience.com/wos/woscc/full-record/WOS:001845390700001","View Record in Web of Science")</f>
        <v>120</v>
      </c>
      <c r="BU148" t="s" s="0">
        <v>1216</v>
      </c>
      <c r="BV148" t="s" s="0">
        <v>81</v>
      </c>
      <c r="BW148" t="s" s="0">
        <v>81</v>
      </c>
      <c r="BX148" t="s" s="0">
        <v>122</v>
      </c>
    </row>
    <row r="149">
      <c r="A149" t="s" s="0">
        <v>77</v>
      </c>
      <c r="B149" t="s" s="0">
        <v>77</v>
      </c>
      <c r="C149" t="s" s="0">
        <v>554</v>
      </c>
      <c r="D149" t="s" s="0">
        <v>77</v>
      </c>
      <c r="E149" t="s" s="0">
        <v>3671</v>
      </c>
      <c r="F149" t="s" s="0">
        <v>3672</v>
      </c>
      <c r="G149" t="s" s="0">
        <v>3673</v>
      </c>
      <c r="H149" t="s" s="0">
        <v>81</v>
      </c>
      <c r="I149" t="s" s="0">
        <v>82</v>
      </c>
      <c r="J149" t="s" s="0">
        <v>3674</v>
      </c>
      <c r="K149" t="s" s="0">
        <v>3675</v>
      </c>
      <c r="L149" t="s" s="0">
        <v>3676</v>
      </c>
      <c r="M149" t="s" s="0">
        <v>3676</v>
      </c>
      <c r="N149" t="s" s="0">
        <v>3677</v>
      </c>
      <c r="O149" t="s" s="0">
        <v>3678</v>
      </c>
      <c r="P149" t="s" s="0">
        <v>3679</v>
      </c>
      <c r="Q149" t="s" s="0">
        <v>90</v>
      </c>
      <c r="R149" t="s" s="0">
        <v>81</v>
      </c>
      <c r="S149" t="s" s="0">
        <v>81</v>
      </c>
      <c r="T149" t="s" s="0">
        <v>81</v>
      </c>
      <c r="U149" t="s" s="0">
        <v>81</v>
      </c>
      <c r="V149" t="s" s="0">
        <v>3680</v>
      </c>
      <c r="W149" t="s" s="0">
        <v>3339</v>
      </c>
      <c r="X149" t="s" s="0">
        <v>81</v>
      </c>
      <c r="Y149" t="s" s="0">
        <v>81</v>
      </c>
      <c r="Z149" t="s" s="0">
        <v>93</v>
      </c>
      <c r="AA149" t="s" s="0">
        <v>94</v>
      </c>
      <c r="AB149" t="s" s="0">
        <v>81</v>
      </c>
      <c r="AC149" t="s" s="0">
        <v>81</v>
      </c>
      <c r="AD149" t="s" s="0">
        <v>81</v>
      </c>
      <c r="AE149" t="s" s="0">
        <v>81</v>
      </c>
      <c r="AF149" t="s" s="0">
        <v>81</v>
      </c>
      <c r="AG149" t="s" s="0">
        <v>81</v>
      </c>
      <c r="AH149" t="s" s="0">
        <v>3681</v>
      </c>
      <c r="AI149" t="s" s="0">
        <v>3682</v>
      </c>
      <c r="AJ149" t="s" s="0">
        <v>3683</v>
      </c>
      <c r="AK149" t="s" s="0">
        <v>81</v>
      </c>
      <c r="AL149" t="s" s="0">
        <v>583</v>
      </c>
      <c r="AM149" t="s" s="0">
        <v>1118</v>
      </c>
      <c r="AN149" t="s" s="0">
        <v>526</v>
      </c>
      <c r="AO149" t="s" s="0">
        <v>101</v>
      </c>
      <c r="AP149" t="s" s="0">
        <v>386</v>
      </c>
      <c r="AQ149" t="s" s="0">
        <v>321</v>
      </c>
      <c r="AR149" t="s" s="0">
        <v>322</v>
      </c>
      <c r="AS149" t="s" s="0">
        <v>323</v>
      </c>
      <c r="AT149" t="s" s="0">
        <v>3341</v>
      </c>
      <c r="AU149" t="s" s="0">
        <v>81</v>
      </c>
      <c r="AV149" t="s" s="0">
        <v>81</v>
      </c>
      <c r="AW149" t="s" s="0">
        <v>3342</v>
      </c>
      <c r="AX149" t="s" s="0">
        <v>3343</v>
      </c>
      <c r="AY149" t="s" s="0">
        <v>2602</v>
      </c>
      <c r="AZ149" t="s" s="0">
        <v>110</v>
      </c>
      <c r="BA149" t="s" s="0">
        <v>145</v>
      </c>
      <c r="BB149" t="s" s="0">
        <v>169</v>
      </c>
      <c r="BC149" t="s" s="0">
        <v>81</v>
      </c>
      <c r="BD149" t="s" s="0">
        <v>81</v>
      </c>
      <c r="BE149" t="s" s="0">
        <v>81</v>
      </c>
      <c r="BF149" t="s" s="0">
        <v>81</v>
      </c>
      <c r="BG149" t="s" s="0">
        <v>81</v>
      </c>
      <c r="BH149" t="s" s="0">
        <v>81</v>
      </c>
      <c r="BI149" t="s" s="0">
        <v>3684</v>
      </c>
      <c r="BJ149" t="s" s="0">
        <v>3685</v>
      </c>
      <c r="BK149" t="s" s="295">
        <f>HYPERLINK("http://dx.doi.org/10.1038/s41598-025-09138-0","http://dx.doi.org/10.1038/s41598-025-09138-0")</f>
        <v>3686</v>
      </c>
      <c r="BL149" t="s" s="0">
        <v>81</v>
      </c>
      <c r="BM149" t="s" s="0">
        <v>81</v>
      </c>
      <c r="BN149" t="s" s="0">
        <v>509</v>
      </c>
      <c r="BO149" t="s" s="0">
        <v>638</v>
      </c>
      <c r="BP149" t="s" s="0">
        <v>639</v>
      </c>
      <c r="BQ149" t="s" s="0">
        <v>3687</v>
      </c>
      <c r="BR149" t="s" s="0">
        <v>3688</v>
      </c>
      <c r="BS149" t="s" s="0">
        <v>3689</v>
      </c>
      <c r="BT149" t="s" s="296">
        <f>HYPERLINK("https://www.webofscience.com/wos/woscc/full-record/WOS:001541577700003","View Record in Web of Science")</f>
        <v>120</v>
      </c>
      <c r="BU149" t="s" s="0">
        <v>121</v>
      </c>
      <c r="BV149" t="s" s="0">
        <v>81</v>
      </c>
      <c r="BW149" t="s" s="0">
        <v>81</v>
      </c>
      <c r="BX149" t="s" s="0">
        <v>122</v>
      </c>
    </row>
    <row r="150">
      <c r="A150" t="s" s="0">
        <v>77</v>
      </c>
      <c r="B150" t="s" s="0">
        <v>77</v>
      </c>
      <c r="C150" t="s" s="0">
        <v>77</v>
      </c>
      <c r="D150" t="s" s="0">
        <v>77</v>
      </c>
      <c r="E150" t="s" s="0">
        <v>3690</v>
      </c>
      <c r="F150" t="s" s="0">
        <v>3691</v>
      </c>
      <c r="G150" t="s" s="0">
        <v>3692</v>
      </c>
      <c r="H150" t="s" s="0">
        <v>81</v>
      </c>
      <c r="I150" t="s" s="0">
        <v>82</v>
      </c>
      <c r="J150" t="s" s="0">
        <v>3693</v>
      </c>
      <c r="K150" t="s" s="0">
        <v>3694</v>
      </c>
      <c r="L150" t="s" s="0">
        <v>3695</v>
      </c>
      <c r="M150" t="s" s="0">
        <v>3696</v>
      </c>
      <c r="N150" t="s" s="0">
        <v>3697</v>
      </c>
      <c r="O150" t="s" s="0">
        <v>3698</v>
      </c>
      <c r="P150" t="s" s="0">
        <v>3699</v>
      </c>
      <c r="Q150" t="s" s="0">
        <v>90</v>
      </c>
      <c r="R150" t="s" s="0">
        <v>81</v>
      </c>
      <c r="S150" t="s" s="0">
        <v>81</v>
      </c>
      <c r="T150" t="s" s="0">
        <v>81</v>
      </c>
      <c r="U150" t="s" s="0">
        <v>81</v>
      </c>
      <c r="V150" t="s" s="0">
        <v>3700</v>
      </c>
      <c r="W150" t="s" s="0">
        <v>380</v>
      </c>
      <c r="X150" t="s" s="0">
        <v>81</v>
      </c>
      <c r="Y150" t="s" s="0">
        <v>81</v>
      </c>
      <c r="Z150" t="s" s="0">
        <v>93</v>
      </c>
      <c r="AA150" t="s" s="0">
        <v>94</v>
      </c>
      <c r="AB150" t="s" s="0">
        <v>81</v>
      </c>
      <c r="AC150" t="s" s="0">
        <v>81</v>
      </c>
      <c r="AD150" t="s" s="0">
        <v>81</v>
      </c>
      <c r="AE150" t="s" s="0">
        <v>81</v>
      </c>
      <c r="AF150" t="s" s="0">
        <v>81</v>
      </c>
      <c r="AG150" t="s" s="0">
        <v>3701</v>
      </c>
      <c r="AH150" t="s" s="0">
        <v>81</v>
      </c>
      <c r="AI150" t="s" s="0">
        <v>3702</v>
      </c>
      <c r="AJ150" t="s" s="0">
        <v>3703</v>
      </c>
      <c r="AK150" t="s" s="0">
        <v>81</v>
      </c>
      <c r="AL150" t="s" s="0">
        <v>2163</v>
      </c>
      <c r="AM150" t="s" s="0">
        <v>554</v>
      </c>
      <c r="AN150" t="s" s="0">
        <v>554</v>
      </c>
      <c r="AO150" t="s" s="0">
        <v>452</v>
      </c>
      <c r="AP150" t="s" s="0">
        <v>386</v>
      </c>
      <c r="AQ150" t="s" s="0">
        <v>103</v>
      </c>
      <c r="AR150" t="s" s="0">
        <v>104</v>
      </c>
      <c r="AS150" t="s" s="0">
        <v>105</v>
      </c>
      <c r="AT150" t="s" s="0">
        <v>81</v>
      </c>
      <c r="AU150" t="s" s="0">
        <v>387</v>
      </c>
      <c r="AV150" t="s" s="0">
        <v>81</v>
      </c>
      <c r="AW150" t="s" s="0">
        <v>388</v>
      </c>
      <c r="AX150" t="s" s="0">
        <v>389</v>
      </c>
      <c r="AY150" t="s" s="0">
        <v>110</v>
      </c>
      <c r="AZ150" t="s" s="0">
        <v>110</v>
      </c>
      <c r="BA150" t="s" s="0">
        <v>115</v>
      </c>
      <c r="BB150" t="s" s="0">
        <v>81</v>
      </c>
      <c r="BC150" t="s" s="0">
        <v>81</v>
      </c>
      <c r="BD150" t="s" s="0">
        <v>81</v>
      </c>
      <c r="BE150" t="s" s="0">
        <v>81</v>
      </c>
      <c r="BF150" t="s" s="0">
        <v>81</v>
      </c>
      <c r="BG150" t="s" s="0">
        <v>81</v>
      </c>
      <c r="BH150" t="s" s="0">
        <v>81</v>
      </c>
      <c r="BI150" t="s" s="0">
        <v>3704</v>
      </c>
      <c r="BJ150" t="s" s="0">
        <v>3705</v>
      </c>
      <c r="BK150" t="s" s="297">
        <f>HYPERLINK("http://dx.doi.org/10.2196/78432","http://dx.doi.org/10.2196/78432")</f>
        <v>3706</v>
      </c>
      <c r="BL150" t="s" s="0">
        <v>81</v>
      </c>
      <c r="BM150" t="s" s="0">
        <v>81</v>
      </c>
      <c r="BN150" t="s" s="0">
        <v>445</v>
      </c>
      <c r="BO150" t="s" s="0">
        <v>244</v>
      </c>
      <c r="BP150" t="s" s="0">
        <v>244</v>
      </c>
      <c r="BQ150" t="s" s="0">
        <v>3707</v>
      </c>
      <c r="BR150" t="s" s="0">
        <v>3708</v>
      </c>
      <c r="BS150" t="s" s="0">
        <v>3709</v>
      </c>
      <c r="BT150" t="s" s="298">
        <f>HYPERLINK("https://www.webofscience.com/wos/woscc/full-record/WOS:001635976700001","View Record in Web of Science")</f>
        <v>120</v>
      </c>
      <c r="BU150" t="s" s="0">
        <v>121</v>
      </c>
      <c r="BV150" t="s" s="0">
        <v>81</v>
      </c>
      <c r="BW150" t="s" s="0">
        <v>81</v>
      </c>
      <c r="BX150" t="s" s="0">
        <v>122</v>
      </c>
    </row>
    <row r="151">
      <c r="A151" t="s" s="0">
        <v>77</v>
      </c>
      <c r="B151" t="s" s="0">
        <v>77</v>
      </c>
      <c r="C151" t="s" s="0">
        <v>77</v>
      </c>
      <c r="D151" t="s" s="0">
        <v>77</v>
      </c>
      <c r="E151" t="s" s="0">
        <v>3710</v>
      </c>
      <c r="F151" t="s" s="0">
        <v>3711</v>
      </c>
      <c r="G151" t="s" s="0">
        <v>3712</v>
      </c>
      <c r="H151" t="s" s="0">
        <v>81</v>
      </c>
      <c r="I151" t="s" s="0">
        <v>82</v>
      </c>
      <c r="J151" t="s" s="0">
        <v>3713</v>
      </c>
      <c r="K151" t="s" s="0">
        <v>3714</v>
      </c>
      <c r="L151" t="s" s="0">
        <v>81</v>
      </c>
      <c r="M151" t="s" s="0">
        <v>81</v>
      </c>
      <c r="N151" t="s" s="0">
        <v>81</v>
      </c>
      <c r="O151" t="s" s="0">
        <v>3715</v>
      </c>
      <c r="P151" t="s" s="0">
        <v>3716</v>
      </c>
      <c r="Q151" t="s" s="0">
        <v>90</v>
      </c>
      <c r="R151" t="s" s="0">
        <v>81</v>
      </c>
      <c r="S151" t="s" s="0">
        <v>81</v>
      </c>
      <c r="T151" t="s" s="0">
        <v>81</v>
      </c>
      <c r="U151" t="s" s="0">
        <v>81</v>
      </c>
      <c r="V151" t="s" s="0">
        <v>3717</v>
      </c>
      <c r="W151" t="s" s="0">
        <v>3718</v>
      </c>
      <c r="X151" t="s" s="0">
        <v>81</v>
      </c>
      <c r="Y151" t="s" s="0">
        <v>81</v>
      </c>
      <c r="Z151" t="s" s="0">
        <v>93</v>
      </c>
      <c r="AA151" t="s" s="0">
        <v>196</v>
      </c>
      <c r="AB151" t="s" s="0">
        <v>81</v>
      </c>
      <c r="AC151" t="s" s="0">
        <v>81</v>
      </c>
      <c r="AD151" t="s" s="0">
        <v>81</v>
      </c>
      <c r="AE151" t="s" s="0">
        <v>81</v>
      </c>
      <c r="AF151" t="s" s="0">
        <v>81</v>
      </c>
      <c r="AG151" t="s" s="0">
        <v>3719</v>
      </c>
      <c r="AH151" t="s" s="0">
        <v>81</v>
      </c>
      <c r="AI151" t="s" s="0">
        <v>81</v>
      </c>
      <c r="AJ151" t="s" s="0">
        <v>81</v>
      </c>
      <c r="AK151" t="s" s="0">
        <v>81</v>
      </c>
      <c r="AL151" t="s" s="0">
        <v>301</v>
      </c>
      <c r="AM151" t="s" s="0">
        <v>77</v>
      </c>
      <c r="AN151" t="s" s="0">
        <v>77</v>
      </c>
      <c r="AO151" t="s" s="0">
        <v>101</v>
      </c>
      <c r="AP151" t="s" s="0">
        <v>101</v>
      </c>
      <c r="AQ151" t="s" s="0">
        <v>1544</v>
      </c>
      <c r="AR151" t="s" s="0">
        <v>1545</v>
      </c>
      <c r="AS151" t="s" s="0">
        <v>1546</v>
      </c>
      <c r="AT151" t="s" s="0">
        <v>3720</v>
      </c>
      <c r="AU151" t="s" s="0">
        <v>3721</v>
      </c>
      <c r="AV151" t="s" s="0">
        <v>81</v>
      </c>
      <c r="AW151" t="s" s="0">
        <v>3722</v>
      </c>
      <c r="AX151" t="s" s="0">
        <v>3723</v>
      </c>
      <c r="AY151" t="s" s="0">
        <v>81</v>
      </c>
      <c r="AZ151" t="s" s="0">
        <v>144</v>
      </c>
      <c r="BA151" t="s" s="0">
        <v>81</v>
      </c>
      <c r="BB151" t="s" s="0">
        <v>81</v>
      </c>
      <c r="BC151" t="s" s="0">
        <v>81</v>
      </c>
      <c r="BD151" t="s" s="0">
        <v>81</v>
      </c>
      <c r="BE151" t="s" s="0">
        <v>81</v>
      </c>
      <c r="BF151" t="s" s="0">
        <v>81</v>
      </c>
      <c r="BG151" t="s" s="0">
        <v>81</v>
      </c>
      <c r="BH151" t="s" s="0">
        <v>81</v>
      </c>
      <c r="BI151" t="s" s="0">
        <v>81</v>
      </c>
      <c r="BJ151" t="s" s="0">
        <v>3724</v>
      </c>
      <c r="BK151" t="s" s="299">
        <f>HYPERLINK("http://dx.doi.org/10.1002/ohn.70309","http://dx.doi.org/10.1002/ohn.70309")</f>
        <v>3725</v>
      </c>
      <c r="BL151" t="s" s="0">
        <v>81</v>
      </c>
      <c r="BM151" t="s" s="0">
        <v>295</v>
      </c>
      <c r="BN151" t="s" s="0">
        <v>328</v>
      </c>
      <c r="BO151" t="s" s="0">
        <v>3726</v>
      </c>
      <c r="BP151" t="s" s="0">
        <v>3726</v>
      </c>
      <c r="BQ151" t="s" s="0">
        <v>3727</v>
      </c>
      <c r="BR151" t="s" s="0">
        <v>3728</v>
      </c>
      <c r="BS151" t="s" s="0">
        <v>3729</v>
      </c>
      <c r="BT151" t="s" s="300">
        <f>HYPERLINK("https://www.webofscience.com/wos/woscc/full-record/WOS:001777999100001","View Record in Web of Science")</f>
        <v>120</v>
      </c>
      <c r="BU151" t="s" s="0">
        <v>81</v>
      </c>
      <c r="BV151" t="s" s="0">
        <v>81</v>
      </c>
      <c r="BW151" t="s" s="0">
        <v>81</v>
      </c>
      <c r="BX151" t="s" s="0">
        <v>122</v>
      </c>
    </row>
    <row r="152">
      <c r="A152" t="s" s="0">
        <v>77</v>
      </c>
      <c r="B152" t="s" s="0">
        <v>77</v>
      </c>
      <c r="C152" t="s" s="0">
        <v>77</v>
      </c>
      <c r="D152" t="s" s="0">
        <v>77</v>
      </c>
      <c r="E152" t="s" s="0">
        <v>3730</v>
      </c>
      <c r="F152" t="s" s="0">
        <v>3731</v>
      </c>
      <c r="G152" t="s" s="0">
        <v>3732</v>
      </c>
      <c r="H152" t="s" s="0">
        <v>81</v>
      </c>
      <c r="I152" t="s" s="0">
        <v>82</v>
      </c>
      <c r="J152" t="s" s="0">
        <v>3733</v>
      </c>
      <c r="K152" t="s" s="0">
        <v>3734</v>
      </c>
      <c r="L152" t="s" s="0">
        <v>3735</v>
      </c>
      <c r="M152" t="s" s="0">
        <v>3736</v>
      </c>
      <c r="N152" t="s" s="0">
        <v>3737</v>
      </c>
      <c r="O152" t="s" s="0">
        <v>3738</v>
      </c>
      <c r="P152" t="s" s="0">
        <v>3739</v>
      </c>
      <c r="Q152" t="s" s="0">
        <v>90</v>
      </c>
      <c r="R152" t="s" s="0">
        <v>81</v>
      </c>
      <c r="S152" t="s" s="0">
        <v>81</v>
      </c>
      <c r="T152" t="s" s="0">
        <v>81</v>
      </c>
      <c r="U152" t="s" s="0">
        <v>81</v>
      </c>
      <c r="V152" t="s" s="0">
        <v>3740</v>
      </c>
      <c r="W152" t="s" s="0">
        <v>380</v>
      </c>
      <c r="X152" t="s" s="0">
        <v>81</v>
      </c>
      <c r="Y152" t="s" s="0">
        <v>81</v>
      </c>
      <c r="Z152" t="s" s="0">
        <v>93</v>
      </c>
      <c r="AA152" t="s" s="0">
        <v>94</v>
      </c>
      <c r="AB152" t="s" s="0">
        <v>81</v>
      </c>
      <c r="AC152" t="s" s="0">
        <v>81</v>
      </c>
      <c r="AD152" t="s" s="0">
        <v>81</v>
      </c>
      <c r="AE152" t="s" s="0">
        <v>81</v>
      </c>
      <c r="AF152" t="s" s="0">
        <v>81</v>
      </c>
      <c r="AG152" t="s" s="0">
        <v>3741</v>
      </c>
      <c r="AH152" t="s" s="0">
        <v>3742</v>
      </c>
      <c r="AI152" t="s" s="0">
        <v>3743</v>
      </c>
      <c r="AJ152" t="s" s="0">
        <v>3744</v>
      </c>
      <c r="AK152" t="s" s="0">
        <v>81</v>
      </c>
      <c r="AL152" t="s" s="0">
        <v>168</v>
      </c>
      <c r="AM152" t="s" s="0">
        <v>77</v>
      </c>
      <c r="AN152" t="s" s="0">
        <v>77</v>
      </c>
      <c r="AO152" t="s" s="0">
        <v>77</v>
      </c>
      <c r="AP152" t="s" s="0">
        <v>77</v>
      </c>
      <c r="AQ152" t="s" s="0">
        <v>103</v>
      </c>
      <c r="AR152" t="s" s="0">
        <v>104</v>
      </c>
      <c r="AS152" t="s" s="0">
        <v>105</v>
      </c>
      <c r="AT152" t="s" s="0">
        <v>81</v>
      </c>
      <c r="AU152" t="s" s="0">
        <v>387</v>
      </c>
      <c r="AV152" t="s" s="0">
        <v>81</v>
      </c>
      <c r="AW152" t="s" s="0">
        <v>388</v>
      </c>
      <c r="AX152" t="s" s="0">
        <v>389</v>
      </c>
      <c r="AY152" t="s" s="0">
        <v>144</v>
      </c>
      <c r="AZ152" t="s" s="0">
        <v>144</v>
      </c>
      <c r="BA152" t="s" s="0">
        <v>509</v>
      </c>
      <c r="BB152" t="s" s="0">
        <v>81</v>
      </c>
      <c r="BC152" t="s" s="0">
        <v>81</v>
      </c>
      <c r="BD152" t="s" s="0">
        <v>81</v>
      </c>
      <c r="BE152" t="s" s="0">
        <v>81</v>
      </c>
      <c r="BF152" t="s" s="0">
        <v>81</v>
      </c>
      <c r="BG152" t="s" s="0">
        <v>81</v>
      </c>
      <c r="BH152" t="s" s="0">
        <v>81</v>
      </c>
      <c r="BI152" t="s" s="0">
        <v>3745</v>
      </c>
      <c r="BJ152" t="s" s="0">
        <v>3746</v>
      </c>
      <c r="BK152" t="s" s="301">
        <f>HYPERLINK("http://dx.doi.org/10.2196/86145","http://dx.doi.org/10.2196/86145")</f>
        <v>3747</v>
      </c>
      <c r="BL152" t="s" s="0">
        <v>81</v>
      </c>
      <c r="BM152" t="s" s="0">
        <v>81</v>
      </c>
      <c r="BN152" t="s" s="0">
        <v>509</v>
      </c>
      <c r="BO152" t="s" s="0">
        <v>244</v>
      </c>
      <c r="BP152" t="s" s="0">
        <v>244</v>
      </c>
      <c r="BQ152" t="s" s="0">
        <v>3748</v>
      </c>
      <c r="BR152" t="s" s="0">
        <v>3749</v>
      </c>
      <c r="BS152" t="s" s="0">
        <v>3750</v>
      </c>
      <c r="BT152" t="s" s="302">
        <f>HYPERLINK("https://www.webofscience.com/wos/woscc/full-record/WOS:001835224600003","View Record in Web of Science")</f>
        <v>120</v>
      </c>
      <c r="BU152" t="s" s="0">
        <v>1216</v>
      </c>
      <c r="BV152" t="s" s="0">
        <v>81</v>
      </c>
      <c r="BW152" t="s" s="0">
        <v>81</v>
      </c>
      <c r="BX152" t="s" s="0">
        <v>122</v>
      </c>
    </row>
    <row r="153">
      <c r="A153" t="s" s="0">
        <v>77</v>
      </c>
      <c r="B153" t="s" s="0">
        <v>77</v>
      </c>
      <c r="C153" t="s" s="0">
        <v>169</v>
      </c>
      <c r="D153" t="s" s="0">
        <v>77</v>
      </c>
      <c r="E153" t="s" s="0">
        <v>3751</v>
      </c>
      <c r="F153" t="s" s="0">
        <v>3752</v>
      </c>
      <c r="G153" t="s" s="0">
        <v>3753</v>
      </c>
      <c r="H153" t="s" s="0">
        <v>81</v>
      </c>
      <c r="I153" t="s" s="0">
        <v>82</v>
      </c>
      <c r="J153" t="s" s="0">
        <v>3754</v>
      </c>
      <c r="K153" t="s" s="0">
        <v>3755</v>
      </c>
      <c r="L153" t="s" s="0">
        <v>81</v>
      </c>
      <c r="M153" t="s" s="0">
        <v>81</v>
      </c>
      <c r="N153" t="s" s="0">
        <v>81</v>
      </c>
      <c r="O153" t="s" s="0">
        <v>3756</v>
      </c>
      <c r="P153" t="s" s="0">
        <v>3757</v>
      </c>
      <c r="Q153" t="s" s="0">
        <v>90</v>
      </c>
      <c r="R153" t="s" s="0">
        <v>81</v>
      </c>
      <c r="S153" t="s" s="0">
        <v>81</v>
      </c>
      <c r="T153" t="s" s="0">
        <v>81</v>
      </c>
      <c r="U153" t="s" s="0">
        <v>81</v>
      </c>
      <c r="V153" t="s" s="0">
        <v>3758</v>
      </c>
      <c r="W153" t="s" s="0">
        <v>3759</v>
      </c>
      <c r="X153" t="s" s="0">
        <v>81</v>
      </c>
      <c r="Y153" t="s" s="0">
        <v>81</v>
      </c>
      <c r="Z153" t="s" s="0">
        <v>93</v>
      </c>
      <c r="AA153" t="s" s="0">
        <v>94</v>
      </c>
      <c r="AB153" t="s" s="0">
        <v>81</v>
      </c>
      <c r="AC153" t="s" s="0">
        <v>81</v>
      </c>
      <c r="AD153" t="s" s="0">
        <v>81</v>
      </c>
      <c r="AE153" t="s" s="0">
        <v>81</v>
      </c>
      <c r="AF153" t="s" s="0">
        <v>81</v>
      </c>
      <c r="AG153" t="s" s="0">
        <v>3760</v>
      </c>
      <c r="AH153" t="s" s="0">
        <v>3761</v>
      </c>
      <c r="AI153" t="s" s="0">
        <v>3762</v>
      </c>
      <c r="AJ153" t="s" s="0">
        <v>3763</v>
      </c>
      <c r="AK153" t="s" s="0">
        <v>81</v>
      </c>
      <c r="AL153" t="s" s="0">
        <v>2026</v>
      </c>
      <c r="AM153" t="s" s="0">
        <v>101</v>
      </c>
      <c r="AN153" t="s" s="0">
        <v>101</v>
      </c>
      <c r="AO153" t="s" s="0">
        <v>169</v>
      </c>
      <c r="AP153" t="s" s="0">
        <v>101</v>
      </c>
      <c r="AQ153" t="s" s="0">
        <v>1844</v>
      </c>
      <c r="AR153" t="s" s="0">
        <v>1845</v>
      </c>
      <c r="AS153" t="s" s="0">
        <v>3764</v>
      </c>
      <c r="AT153" t="s" s="0">
        <v>3765</v>
      </c>
      <c r="AU153" t="s" s="0">
        <v>3766</v>
      </c>
      <c r="AV153" t="s" s="0">
        <v>81</v>
      </c>
      <c r="AW153" t="s" s="0">
        <v>3767</v>
      </c>
      <c r="AX153" t="s" s="0">
        <v>3768</v>
      </c>
      <c r="AY153" t="s" s="0">
        <v>3769</v>
      </c>
      <c r="AZ153" t="s" s="0">
        <v>110</v>
      </c>
      <c r="BA153" t="s" s="0">
        <v>287</v>
      </c>
      <c r="BB153" t="s" s="0">
        <v>169</v>
      </c>
      <c r="BC153" t="s" s="0">
        <v>81</v>
      </c>
      <c r="BD153" t="s" s="0">
        <v>81</v>
      </c>
      <c r="BE153" t="s" s="0">
        <v>81</v>
      </c>
      <c r="BF153" t="s" s="0">
        <v>81</v>
      </c>
      <c r="BG153" t="s" s="0">
        <v>81</v>
      </c>
      <c r="BH153" t="s" s="0">
        <v>81</v>
      </c>
      <c r="BI153" t="s" s="0">
        <v>328</v>
      </c>
      <c r="BJ153" t="s" s="0">
        <v>3770</v>
      </c>
      <c r="BK153" t="s" s="303">
        <f>HYPERLINK("http://dx.doi.org/10.1007/s00296-025-06053-5","http://dx.doi.org/10.1007/s00296-025-06053-5")</f>
        <v>3771</v>
      </c>
      <c r="BL153" t="s" s="0">
        <v>81</v>
      </c>
      <c r="BM153" t="s" s="0">
        <v>81</v>
      </c>
      <c r="BN153" t="s" s="0">
        <v>386</v>
      </c>
      <c r="BO153" t="s" s="0">
        <v>3772</v>
      </c>
      <c r="BP153" t="s" s="0">
        <v>3772</v>
      </c>
      <c r="BQ153" t="s" s="0">
        <v>3773</v>
      </c>
      <c r="BR153" t="s" s="0">
        <v>3774</v>
      </c>
      <c r="BS153" t="s" s="0">
        <v>3775</v>
      </c>
      <c r="BT153" t="s" s="304">
        <f>HYPERLINK("https://www.webofscience.com/wos/woscc/full-record/WOS:001633461600003","View Record in Web of Science")</f>
        <v>120</v>
      </c>
      <c r="BU153" t="s" s="0">
        <v>81</v>
      </c>
      <c r="BV153" t="s" s="0">
        <v>81</v>
      </c>
      <c r="BW153" t="s" s="0">
        <v>81</v>
      </c>
      <c r="BX153" t="s" s="0">
        <v>122</v>
      </c>
    </row>
    <row r="154">
      <c r="A154" t="s" s="0">
        <v>77</v>
      </c>
      <c r="B154" t="s" s="0">
        <v>77</v>
      </c>
      <c r="C154" t="s" s="0">
        <v>77</v>
      </c>
      <c r="D154" t="s" s="0">
        <v>77</v>
      </c>
      <c r="E154" t="s" s="0">
        <v>3776</v>
      </c>
      <c r="F154" t="s" s="0">
        <v>3777</v>
      </c>
      <c r="G154" t="s" s="0">
        <v>3778</v>
      </c>
      <c r="H154" t="s" s="0">
        <v>81</v>
      </c>
      <c r="I154" t="s" s="0">
        <v>82</v>
      </c>
      <c r="J154" t="s" s="0">
        <v>3779</v>
      </c>
      <c r="K154" t="s" s="0">
        <v>3780</v>
      </c>
      <c r="L154" t="s" s="0">
        <v>3781</v>
      </c>
      <c r="M154" t="s" s="0">
        <v>3782</v>
      </c>
      <c r="N154" t="s" s="0">
        <v>3783</v>
      </c>
      <c r="O154" t="s" s="0">
        <v>3784</v>
      </c>
      <c r="P154" t="s" s="0">
        <v>81</v>
      </c>
      <c r="Q154" t="s" s="0">
        <v>90</v>
      </c>
      <c r="R154" t="s" s="0">
        <v>81</v>
      </c>
      <c r="S154" t="s" s="0">
        <v>81</v>
      </c>
      <c r="T154" t="s" s="0">
        <v>81</v>
      </c>
      <c r="U154" t="s" s="0">
        <v>81</v>
      </c>
      <c r="V154" t="s" s="0">
        <v>3785</v>
      </c>
      <c r="W154" t="s" s="0">
        <v>380</v>
      </c>
      <c r="X154" t="s" s="0">
        <v>81</v>
      </c>
      <c r="Y154" t="s" s="0">
        <v>81</v>
      </c>
      <c r="Z154" t="s" s="0">
        <v>93</v>
      </c>
      <c r="AA154" t="s" s="0">
        <v>94</v>
      </c>
      <c r="AB154" t="s" s="0">
        <v>81</v>
      </c>
      <c r="AC154" t="s" s="0">
        <v>81</v>
      </c>
      <c r="AD154" t="s" s="0">
        <v>81</v>
      </c>
      <c r="AE154" t="s" s="0">
        <v>81</v>
      </c>
      <c r="AF154" t="s" s="0">
        <v>81</v>
      </c>
      <c r="AG154" t="s" s="0">
        <v>3786</v>
      </c>
      <c r="AH154" t="s" s="0">
        <v>3787</v>
      </c>
      <c r="AI154" t="s" s="0">
        <v>81</v>
      </c>
      <c r="AJ154" t="s" s="0">
        <v>81</v>
      </c>
      <c r="AK154" t="s" s="0">
        <v>81</v>
      </c>
      <c r="AL154" t="s" s="0">
        <v>469</v>
      </c>
      <c r="AM154" t="s" s="0">
        <v>77</v>
      </c>
      <c r="AN154" t="s" s="0">
        <v>77</v>
      </c>
      <c r="AO154" t="s" s="0">
        <v>101</v>
      </c>
      <c r="AP154" t="s" s="0">
        <v>101</v>
      </c>
      <c r="AQ154" t="s" s="0">
        <v>103</v>
      </c>
      <c r="AR154" t="s" s="0">
        <v>104</v>
      </c>
      <c r="AS154" t="s" s="0">
        <v>105</v>
      </c>
      <c r="AT154" t="s" s="0">
        <v>81</v>
      </c>
      <c r="AU154" t="s" s="0">
        <v>387</v>
      </c>
      <c r="AV154" t="s" s="0">
        <v>81</v>
      </c>
      <c r="AW154" t="s" s="0">
        <v>388</v>
      </c>
      <c r="AX154" t="s" s="0">
        <v>389</v>
      </c>
      <c r="AY154" t="s" s="0">
        <v>144</v>
      </c>
      <c r="AZ154" t="s" s="0">
        <v>144</v>
      </c>
      <c r="BA154" t="s" s="0">
        <v>509</v>
      </c>
      <c r="BB154" t="s" s="0">
        <v>81</v>
      </c>
      <c r="BC154" t="s" s="0">
        <v>81</v>
      </c>
      <c r="BD154" t="s" s="0">
        <v>81</v>
      </c>
      <c r="BE154" t="s" s="0">
        <v>81</v>
      </c>
      <c r="BF154" t="s" s="0">
        <v>81</v>
      </c>
      <c r="BG154" t="s" s="0">
        <v>81</v>
      </c>
      <c r="BH154" t="s" s="0">
        <v>81</v>
      </c>
      <c r="BI154" t="s" s="0">
        <v>3788</v>
      </c>
      <c r="BJ154" t="s" s="0">
        <v>3789</v>
      </c>
      <c r="BK154" t="s" s="305">
        <f>HYPERLINK("http://dx.doi.org/10.2196/78838","http://dx.doi.org/10.2196/78838")</f>
        <v>3790</v>
      </c>
      <c r="BL154" t="s" s="0">
        <v>81</v>
      </c>
      <c r="BM154" t="s" s="0">
        <v>81</v>
      </c>
      <c r="BN154" t="s" s="0">
        <v>102</v>
      </c>
      <c r="BO154" t="s" s="0">
        <v>244</v>
      </c>
      <c r="BP154" t="s" s="0">
        <v>244</v>
      </c>
      <c r="BQ154" t="s" s="0">
        <v>3791</v>
      </c>
      <c r="BR154" t="s" s="0">
        <v>3792</v>
      </c>
      <c r="BS154" t="s" s="0">
        <v>3793</v>
      </c>
      <c r="BT154" t="s" s="306">
        <f>HYPERLINK("https://www.webofscience.com/wos/woscc/full-record/WOS:001709758500003","View Record in Web of Science")</f>
        <v>120</v>
      </c>
      <c r="BU154" t="s" s="0">
        <v>121</v>
      </c>
      <c r="BV154" t="s" s="0">
        <v>81</v>
      </c>
      <c r="BW154" t="s" s="0">
        <v>81</v>
      </c>
      <c r="BX154" t="s" s="0">
        <v>122</v>
      </c>
    </row>
    <row r="155">
      <c r="A155" t="s" s="0">
        <v>77</v>
      </c>
      <c r="B155" t="s" s="0">
        <v>77</v>
      </c>
      <c r="C155" t="s" s="0">
        <v>77</v>
      </c>
      <c r="D155" t="s" s="0">
        <v>77</v>
      </c>
      <c r="E155" t="s" s="0">
        <v>3794</v>
      </c>
      <c r="F155" t="s" s="0">
        <v>3795</v>
      </c>
      <c r="G155" t="s" s="0">
        <v>3796</v>
      </c>
      <c r="H155" t="s" s="0">
        <v>81</v>
      </c>
      <c r="I155" t="s" s="0">
        <v>82</v>
      </c>
      <c r="J155" t="s" s="0">
        <v>3797</v>
      </c>
      <c r="K155" t="s" s="0">
        <v>3798</v>
      </c>
      <c r="L155" t="s" s="0">
        <v>81</v>
      </c>
      <c r="M155" t="s" s="0">
        <v>81</v>
      </c>
      <c r="N155" t="s" s="0">
        <v>3799</v>
      </c>
      <c r="O155" t="s" s="0">
        <v>3800</v>
      </c>
      <c r="P155" t="s" s="0">
        <v>3801</v>
      </c>
      <c r="Q155" t="s" s="0">
        <v>90</v>
      </c>
      <c r="R155" t="s" s="0">
        <v>81</v>
      </c>
      <c r="S155" t="s" s="0">
        <v>81</v>
      </c>
      <c r="T155" t="s" s="0">
        <v>81</v>
      </c>
      <c r="U155" t="s" s="0">
        <v>81</v>
      </c>
      <c r="V155" t="s" s="0">
        <v>3802</v>
      </c>
      <c r="W155" t="s" s="0">
        <v>3803</v>
      </c>
      <c r="X155" t="s" s="0">
        <v>81</v>
      </c>
      <c r="Y155" t="s" s="0">
        <v>81</v>
      </c>
      <c r="Z155" t="s" s="0">
        <v>93</v>
      </c>
      <c r="AA155" t="s" s="0">
        <v>196</v>
      </c>
      <c r="AB155" t="s" s="0">
        <v>81</v>
      </c>
      <c r="AC155" t="s" s="0">
        <v>81</v>
      </c>
      <c r="AD155" t="s" s="0">
        <v>81</v>
      </c>
      <c r="AE155" t="s" s="0">
        <v>81</v>
      </c>
      <c r="AF155" t="s" s="0">
        <v>81</v>
      </c>
      <c r="AG155" t="s" s="0">
        <v>3804</v>
      </c>
      <c r="AH155" t="s" s="0">
        <v>3805</v>
      </c>
      <c r="AI155" t="s" s="0">
        <v>3806</v>
      </c>
      <c r="AJ155" t="s" s="0">
        <v>81</v>
      </c>
      <c r="AK155" t="s" s="0">
        <v>81</v>
      </c>
      <c r="AL155" t="s" s="0">
        <v>946</v>
      </c>
      <c r="AM155" t="s" s="0">
        <v>77</v>
      </c>
      <c r="AN155" t="s" s="0">
        <v>77</v>
      </c>
      <c r="AO155" t="s" s="0">
        <v>77</v>
      </c>
      <c r="AP155" t="s" s="0">
        <v>77</v>
      </c>
      <c r="AQ155" t="s" s="0">
        <v>2412</v>
      </c>
      <c r="AR155" t="s" s="0">
        <v>2413</v>
      </c>
      <c r="AS155" t="s" s="0">
        <v>2414</v>
      </c>
      <c r="AT155" t="s" s="0">
        <v>3807</v>
      </c>
      <c r="AU155" t="s" s="0">
        <v>3808</v>
      </c>
      <c r="AV155" t="s" s="0">
        <v>81</v>
      </c>
      <c r="AW155" t="s" s="0">
        <v>3809</v>
      </c>
      <c r="AX155" t="s" s="0">
        <v>3810</v>
      </c>
      <c r="AY155" t="s" s="0">
        <v>81</v>
      </c>
      <c r="AZ155" t="s" s="0">
        <v>144</v>
      </c>
      <c r="BA155" t="s" s="0">
        <v>81</v>
      </c>
      <c r="BB155" t="s" s="0">
        <v>81</v>
      </c>
      <c r="BC155" t="s" s="0">
        <v>81</v>
      </c>
      <c r="BD155" t="s" s="0">
        <v>81</v>
      </c>
      <c r="BE155" t="s" s="0">
        <v>81</v>
      </c>
      <c r="BF155" t="s" s="0">
        <v>81</v>
      </c>
      <c r="BG155" t="s" s="0">
        <v>81</v>
      </c>
      <c r="BH155" t="s" s="0">
        <v>81</v>
      </c>
      <c r="BI155" t="s" s="0">
        <v>81</v>
      </c>
      <c r="BJ155" t="s" s="0">
        <v>3811</v>
      </c>
      <c r="BK155" t="s" s="307">
        <f>HYPERLINK("http://dx.doi.org/10.1177/00031348261471464","http://dx.doi.org/10.1177/00031348261471464")</f>
        <v>3812</v>
      </c>
      <c r="BL155" t="s" s="0">
        <v>81</v>
      </c>
      <c r="BM155" t="s" s="0">
        <v>143</v>
      </c>
      <c r="BN155" t="s" s="0">
        <v>210</v>
      </c>
      <c r="BO155" t="s" s="0">
        <v>3559</v>
      </c>
      <c r="BP155" t="s" s="0">
        <v>3559</v>
      </c>
      <c r="BQ155" t="s" s="0">
        <v>3813</v>
      </c>
      <c r="BR155" t="s" s="0">
        <v>3814</v>
      </c>
      <c r="BS155" t="s" s="0">
        <v>3815</v>
      </c>
      <c r="BT155" t="s" s="308">
        <f>HYPERLINK("https://www.webofscience.com/wos/woscc/full-record/WOS:001830908100001","View Record in Web of Science")</f>
        <v>120</v>
      </c>
      <c r="BU155" t="s" s="0">
        <v>81</v>
      </c>
      <c r="BV155" t="s" s="0">
        <v>81</v>
      </c>
      <c r="BW155" t="s" s="0">
        <v>81</v>
      </c>
      <c r="BX155" t="s" s="0">
        <v>122</v>
      </c>
    </row>
    <row r="156">
      <c r="A156" t="s" s="0">
        <v>77</v>
      </c>
      <c r="B156" t="s" s="0">
        <v>77</v>
      </c>
      <c r="C156" t="s" s="0">
        <v>77</v>
      </c>
      <c r="D156" t="s" s="0">
        <v>77</v>
      </c>
      <c r="E156" t="s" s="0">
        <v>3816</v>
      </c>
      <c r="F156" t="s" s="0">
        <v>3817</v>
      </c>
      <c r="G156" t="s" s="0">
        <v>3818</v>
      </c>
      <c r="H156" t="s" s="0">
        <v>81</v>
      </c>
      <c r="I156" t="s" s="0">
        <v>82</v>
      </c>
      <c r="J156" t="s" s="0">
        <v>3819</v>
      </c>
      <c r="K156" t="s" s="0">
        <v>3820</v>
      </c>
      <c r="L156" t="s" s="0">
        <v>3821</v>
      </c>
      <c r="M156" t="s" s="0">
        <v>3822</v>
      </c>
      <c r="N156" t="s" s="0">
        <v>3823</v>
      </c>
      <c r="O156" t="s" s="0">
        <v>3824</v>
      </c>
      <c r="P156" t="s" s="0">
        <v>3825</v>
      </c>
      <c r="Q156" t="s" s="0">
        <v>90</v>
      </c>
      <c r="R156" t="s" s="0">
        <v>81</v>
      </c>
      <c r="S156" t="s" s="0">
        <v>81</v>
      </c>
      <c r="T156" t="s" s="0">
        <v>81</v>
      </c>
      <c r="U156" t="s" s="0">
        <v>81</v>
      </c>
      <c r="V156" t="s" s="0">
        <v>3826</v>
      </c>
      <c r="W156" t="s" s="0">
        <v>92</v>
      </c>
      <c r="X156" t="s" s="0">
        <v>81</v>
      </c>
      <c r="Y156" t="s" s="0">
        <v>81</v>
      </c>
      <c r="Z156" t="s" s="0">
        <v>93</v>
      </c>
      <c r="AA156" t="s" s="0">
        <v>94</v>
      </c>
      <c r="AB156" t="s" s="0">
        <v>81</v>
      </c>
      <c r="AC156" t="s" s="0">
        <v>81</v>
      </c>
      <c r="AD156" t="s" s="0">
        <v>81</v>
      </c>
      <c r="AE156" t="s" s="0">
        <v>81</v>
      </c>
      <c r="AF156" t="s" s="0">
        <v>81</v>
      </c>
      <c r="AG156" t="s" s="0">
        <v>3827</v>
      </c>
      <c r="AH156" t="s" s="0">
        <v>3828</v>
      </c>
      <c r="AI156" t="s" s="0">
        <v>3829</v>
      </c>
      <c r="AJ156" t="s" s="0">
        <v>3830</v>
      </c>
      <c r="AK156" t="s" s="0">
        <v>81</v>
      </c>
      <c r="AL156" t="s" s="0">
        <v>581</v>
      </c>
      <c r="AM156" t="s" s="0">
        <v>452</v>
      </c>
      <c r="AN156" t="s" s="0">
        <v>386</v>
      </c>
      <c r="AO156" t="s" s="0">
        <v>169</v>
      </c>
      <c r="AP156" t="s" s="0">
        <v>452</v>
      </c>
      <c r="AQ156" t="s" s="0">
        <v>103</v>
      </c>
      <c r="AR156" t="s" s="0">
        <v>104</v>
      </c>
      <c r="AS156" t="s" s="0">
        <v>105</v>
      </c>
      <c r="AT156" t="s" s="0">
        <v>1405</v>
      </c>
      <c r="AU156" t="s" s="0">
        <v>106</v>
      </c>
      <c r="AV156" t="s" s="0">
        <v>81</v>
      </c>
      <c r="AW156" t="s" s="0">
        <v>107</v>
      </c>
      <c r="AX156" t="s" s="0">
        <v>108</v>
      </c>
      <c r="AY156" t="s" s="0">
        <v>3831</v>
      </c>
      <c r="AZ156" t="s" s="0">
        <v>110</v>
      </c>
      <c r="BA156" t="s" s="0">
        <v>111</v>
      </c>
      <c r="BB156" t="s" s="0">
        <v>81</v>
      </c>
      <c r="BC156" t="s" s="0">
        <v>81</v>
      </c>
      <c r="BD156" t="s" s="0">
        <v>81</v>
      </c>
      <c r="BE156" t="s" s="0">
        <v>81</v>
      </c>
      <c r="BF156" t="s" s="0">
        <v>81</v>
      </c>
      <c r="BG156" t="s" s="0">
        <v>81</v>
      </c>
      <c r="BH156" t="s" s="0">
        <v>81</v>
      </c>
      <c r="BI156" t="s" s="0">
        <v>3832</v>
      </c>
      <c r="BJ156" t="s" s="0">
        <v>3833</v>
      </c>
      <c r="BK156" t="s" s="309">
        <f>HYPERLINK("http://dx.doi.org/10.2196/75052","http://dx.doi.org/10.2196/75052")</f>
        <v>3834</v>
      </c>
      <c r="BL156" t="s" s="0">
        <v>81</v>
      </c>
      <c r="BM156" t="s" s="0">
        <v>81</v>
      </c>
      <c r="BN156" t="s" s="0">
        <v>1118</v>
      </c>
      <c r="BO156" t="s" s="0">
        <v>116</v>
      </c>
      <c r="BP156" t="s" s="0">
        <v>116</v>
      </c>
      <c r="BQ156" t="s" s="0">
        <v>3835</v>
      </c>
      <c r="BR156" t="s" s="0">
        <v>3836</v>
      </c>
      <c r="BS156" t="s" s="0">
        <v>3837</v>
      </c>
      <c r="BT156" t="s" s="310">
        <f>HYPERLINK("https://www.webofscience.com/wos/woscc/full-record/WOS:001513740800001","View Record in Web of Science")</f>
        <v>120</v>
      </c>
      <c r="BU156" t="s" s="0">
        <v>121</v>
      </c>
      <c r="BV156" t="s" s="0">
        <v>81</v>
      </c>
      <c r="BW156" t="s" s="0">
        <v>81</v>
      </c>
      <c r="BX156" t="s" s="0">
        <v>122</v>
      </c>
    </row>
    <row r="157">
      <c r="A157" t="s" s="0">
        <v>77</v>
      </c>
      <c r="B157" t="s" s="0">
        <v>77</v>
      </c>
      <c r="C157" t="s" s="0">
        <v>169</v>
      </c>
      <c r="D157" t="s" s="0">
        <v>77</v>
      </c>
      <c r="E157" t="s" s="0">
        <v>3838</v>
      </c>
      <c r="F157" t="s" s="0">
        <v>3839</v>
      </c>
      <c r="G157" t="s" s="0">
        <v>3840</v>
      </c>
      <c r="H157" t="s" s="0">
        <v>81</v>
      </c>
      <c r="I157" t="s" s="0">
        <v>82</v>
      </c>
      <c r="J157" t="s" s="0">
        <v>3841</v>
      </c>
      <c r="K157" t="s" s="0">
        <v>81</v>
      </c>
      <c r="L157" t="s" s="0">
        <v>3842</v>
      </c>
      <c r="M157" t="s" s="0">
        <v>3842</v>
      </c>
      <c r="N157" t="s" s="0">
        <v>3843</v>
      </c>
      <c r="O157" t="s" s="0">
        <v>3844</v>
      </c>
      <c r="P157" t="s" s="0">
        <v>3140</v>
      </c>
      <c r="Q157" t="s" s="0">
        <v>90</v>
      </c>
      <c r="R157" t="s" s="0">
        <v>81</v>
      </c>
      <c r="S157" t="s" s="0">
        <v>81</v>
      </c>
      <c r="T157" t="s" s="0">
        <v>81</v>
      </c>
      <c r="U157" t="s" s="0">
        <v>81</v>
      </c>
      <c r="V157" t="s" s="0">
        <v>3845</v>
      </c>
      <c r="W157" t="s" s="0">
        <v>3846</v>
      </c>
      <c r="X157" t="s" s="0">
        <v>81</v>
      </c>
      <c r="Y157" t="s" s="0">
        <v>81</v>
      </c>
      <c r="Z157" t="s" s="0">
        <v>93</v>
      </c>
      <c r="AA157" t="s" s="0">
        <v>94</v>
      </c>
      <c r="AB157" t="s" s="0">
        <v>81</v>
      </c>
      <c r="AC157" t="s" s="0">
        <v>81</v>
      </c>
      <c r="AD157" t="s" s="0">
        <v>81</v>
      </c>
      <c r="AE157" t="s" s="0">
        <v>81</v>
      </c>
      <c r="AF157" t="s" s="0">
        <v>81</v>
      </c>
      <c r="AG157" t="s" s="0">
        <v>3847</v>
      </c>
      <c r="AH157" t="s" s="0">
        <v>3848</v>
      </c>
      <c r="AI157" t="s" s="0">
        <v>81</v>
      </c>
      <c r="AJ157" t="s" s="0">
        <v>3849</v>
      </c>
      <c r="AK157" t="s" s="0">
        <v>81</v>
      </c>
      <c r="AL157" t="s" s="0">
        <v>1543</v>
      </c>
      <c r="AM157" t="s" s="0">
        <v>438</v>
      </c>
      <c r="AN157" t="s" s="0">
        <v>1232</v>
      </c>
      <c r="AO157" t="s" s="0">
        <v>77</v>
      </c>
      <c r="AP157" t="s" s="0">
        <v>320</v>
      </c>
      <c r="AQ157" t="s" s="0">
        <v>712</v>
      </c>
      <c r="AR157" t="s" s="0">
        <v>500</v>
      </c>
      <c r="AS157" t="s" s="0">
        <v>3042</v>
      </c>
      <c r="AT157" t="s" s="0">
        <v>3850</v>
      </c>
      <c r="AU157" t="s" s="0">
        <v>3851</v>
      </c>
      <c r="AV157" t="s" s="0">
        <v>81</v>
      </c>
      <c r="AW157" t="s" s="0">
        <v>3852</v>
      </c>
      <c r="AX157" t="s" s="0">
        <v>3853</v>
      </c>
      <c r="AY157" t="s" s="0">
        <v>2627</v>
      </c>
      <c r="AZ157" t="s" s="0">
        <v>110</v>
      </c>
      <c r="BA157" t="s" s="0">
        <v>850</v>
      </c>
      <c r="BB157" t="s" s="0">
        <v>101</v>
      </c>
      <c r="BC157" t="s" s="0">
        <v>81</v>
      </c>
      <c r="BD157" t="s" s="0">
        <v>81</v>
      </c>
      <c r="BE157" t="s" s="0">
        <v>81</v>
      </c>
      <c r="BF157" t="s" s="0">
        <v>81</v>
      </c>
      <c r="BG157" t="s" s="0">
        <v>81</v>
      </c>
      <c r="BH157" t="s" s="0">
        <v>81</v>
      </c>
      <c r="BI157" t="s" s="0">
        <v>81</v>
      </c>
      <c r="BJ157" t="s" s="0">
        <v>3854</v>
      </c>
      <c r="BK157" t="s" s="311">
        <f>HYPERLINK("http://dx.doi.org/10.1016/j.jpainsymman.2024.11.016","http://dx.doi.org/10.1016/j.jpainsymman.2024.11.016")</f>
        <v>3855</v>
      </c>
      <c r="BL157" t="s" s="0">
        <v>81</v>
      </c>
      <c r="BM157" t="s" s="0">
        <v>1357</v>
      </c>
      <c r="BN157" t="s" s="0">
        <v>328</v>
      </c>
      <c r="BO157" t="s" s="0">
        <v>3856</v>
      </c>
      <c r="BP157" t="s" s="0">
        <v>3857</v>
      </c>
      <c r="BQ157" t="s" s="0">
        <v>3858</v>
      </c>
      <c r="BR157" t="s" s="0">
        <v>3859</v>
      </c>
      <c r="BS157" t="s" s="0">
        <v>3860</v>
      </c>
      <c r="BT157" t="s" s="312">
        <f>HYPERLINK("https://www.webofscience.com/wos/woscc/full-record/WOS:001422708600001","View Record in Web of Science")</f>
        <v>120</v>
      </c>
      <c r="BU157" t="s" s="0">
        <v>81</v>
      </c>
      <c r="BV157" t="s" s="0">
        <v>81</v>
      </c>
      <c r="BW157" t="s" s="0">
        <v>81</v>
      </c>
      <c r="BX157" t="s" s="0">
        <v>122</v>
      </c>
    </row>
    <row r="158">
      <c r="A158" t="s" s="0">
        <v>77</v>
      </c>
      <c r="B158" t="s" s="0">
        <v>77</v>
      </c>
      <c r="C158" t="s" s="0">
        <v>77</v>
      </c>
      <c r="D158" t="s" s="0">
        <v>77</v>
      </c>
      <c r="E158" t="s" s="0">
        <v>3861</v>
      </c>
      <c r="F158" t="s" s="0">
        <v>3862</v>
      </c>
      <c r="G158" t="s" s="0">
        <v>3863</v>
      </c>
      <c r="H158" t="s" s="0">
        <v>81</v>
      </c>
      <c r="I158" t="s" s="0">
        <v>82</v>
      </c>
      <c r="J158" t="s" s="0">
        <v>3864</v>
      </c>
      <c r="K158" t="s" s="0">
        <v>3865</v>
      </c>
      <c r="L158" t="s" s="0">
        <v>3866</v>
      </c>
      <c r="M158" t="s" s="0">
        <v>3866</v>
      </c>
      <c r="N158" t="s" s="0">
        <v>3867</v>
      </c>
      <c r="O158" t="s" s="0">
        <v>3868</v>
      </c>
      <c r="P158" t="s" s="0">
        <v>3869</v>
      </c>
      <c r="Q158" t="s" s="0">
        <v>90</v>
      </c>
      <c r="R158" t="s" s="0">
        <v>81</v>
      </c>
      <c r="S158" t="s" s="0">
        <v>81</v>
      </c>
      <c r="T158" t="s" s="0">
        <v>81</v>
      </c>
      <c r="U158" t="s" s="0">
        <v>81</v>
      </c>
      <c r="V158" t="s" s="0">
        <v>3870</v>
      </c>
      <c r="W158" t="s" s="0">
        <v>2461</v>
      </c>
      <c r="X158" t="s" s="0">
        <v>81</v>
      </c>
      <c r="Y158" t="s" s="0">
        <v>81</v>
      </c>
      <c r="Z158" t="s" s="0">
        <v>93</v>
      </c>
      <c r="AA158" t="s" s="0">
        <v>94</v>
      </c>
      <c r="AB158" t="s" s="0">
        <v>81</v>
      </c>
      <c r="AC158" t="s" s="0">
        <v>81</v>
      </c>
      <c r="AD158" t="s" s="0">
        <v>81</v>
      </c>
      <c r="AE158" t="s" s="0">
        <v>81</v>
      </c>
      <c r="AF158" t="s" s="0">
        <v>81</v>
      </c>
      <c r="AG158" t="s" s="0">
        <v>3871</v>
      </c>
      <c r="AH158" t="s" s="0">
        <v>81</v>
      </c>
      <c r="AI158" t="s" s="0">
        <v>3872</v>
      </c>
      <c r="AJ158" t="s" s="0">
        <v>81</v>
      </c>
      <c r="AK158" t="s" s="0">
        <v>81</v>
      </c>
      <c r="AL158" t="s" s="0">
        <v>1580</v>
      </c>
      <c r="AM158" t="s" s="0">
        <v>77</v>
      </c>
      <c r="AN158" t="s" s="0">
        <v>77</v>
      </c>
      <c r="AO158" t="s" s="0">
        <v>101</v>
      </c>
      <c r="AP158" t="s" s="0">
        <v>101</v>
      </c>
      <c r="AQ158" t="s" s="0">
        <v>137</v>
      </c>
      <c r="AR158" t="s" s="0">
        <v>138</v>
      </c>
      <c r="AS158" t="s" s="0">
        <v>139</v>
      </c>
      <c r="AT158" t="s" s="0">
        <v>81</v>
      </c>
      <c r="AU158" t="s" s="0">
        <v>2465</v>
      </c>
      <c r="AV158" t="s" s="0">
        <v>81</v>
      </c>
      <c r="AW158" t="s" s="0">
        <v>2461</v>
      </c>
      <c r="AX158" t="s" s="0">
        <v>2466</v>
      </c>
      <c r="AY158" t="s" s="0">
        <v>2544</v>
      </c>
      <c r="AZ158" t="s" s="0">
        <v>144</v>
      </c>
      <c r="BA158" t="s" s="0">
        <v>115</v>
      </c>
      <c r="BB158" t="s" s="0">
        <v>99</v>
      </c>
      <c r="BC158" t="s" s="0">
        <v>81</v>
      </c>
      <c r="BD158" t="s" s="0">
        <v>81</v>
      </c>
      <c r="BE158" t="s" s="0">
        <v>81</v>
      </c>
      <c r="BF158" t="s" s="0">
        <v>81</v>
      </c>
      <c r="BG158" t="s" s="0">
        <v>81</v>
      </c>
      <c r="BH158" t="s" s="0">
        <v>81</v>
      </c>
      <c r="BI158" t="s" s="0">
        <v>3873</v>
      </c>
      <c r="BJ158" t="s" s="0">
        <v>3874</v>
      </c>
      <c r="BK158" t="s" s="313">
        <f>HYPERLINK("http://dx.doi.org/10.3390/bioengineering13040378","http://dx.doi.org/10.3390/bioengineering13040378")</f>
        <v>3875</v>
      </c>
      <c r="BL158" t="s" s="0">
        <v>81</v>
      </c>
      <c r="BM158" t="s" s="0">
        <v>177</v>
      </c>
      <c r="BN158" t="s" s="0">
        <v>526</v>
      </c>
      <c r="BO158" t="s" s="0">
        <v>2471</v>
      </c>
      <c r="BP158" t="s" s="0">
        <v>2472</v>
      </c>
      <c r="BQ158" t="s" s="0">
        <v>3876</v>
      </c>
      <c r="BR158" t="s" s="0">
        <v>3877</v>
      </c>
      <c r="BS158" t="s" s="0">
        <v>3878</v>
      </c>
      <c r="BT158" t="s" s="314">
        <f>HYPERLINK("https://www.webofscience.com/wos/woscc/full-record/WOS:001751099800001","View Record in Web of Science")</f>
        <v>120</v>
      </c>
      <c r="BU158" t="s" s="0">
        <v>121</v>
      </c>
      <c r="BV158" t="s" s="0">
        <v>81</v>
      </c>
      <c r="BW158" t="s" s="0">
        <v>81</v>
      </c>
      <c r="BX158" t="s" s="0">
        <v>122</v>
      </c>
    </row>
    <row r="159">
      <c r="A159" t="s" s="0">
        <v>77</v>
      </c>
      <c r="B159" t="s" s="0">
        <v>77</v>
      </c>
      <c r="C159" t="s" s="0">
        <v>77</v>
      </c>
      <c r="D159" t="s" s="0">
        <v>77</v>
      </c>
      <c r="E159" t="s" s="0">
        <v>3879</v>
      </c>
      <c r="F159" t="s" s="0">
        <v>3880</v>
      </c>
      <c r="G159" t="s" s="0">
        <v>3881</v>
      </c>
      <c r="H159" t="s" s="0">
        <v>81</v>
      </c>
      <c r="I159" t="s" s="0">
        <v>82</v>
      </c>
      <c r="J159" t="s" s="0">
        <v>3882</v>
      </c>
      <c r="K159" t="s" s="0">
        <v>3883</v>
      </c>
      <c r="L159" t="s" s="0">
        <v>81</v>
      </c>
      <c r="M159" t="s" s="0">
        <v>81</v>
      </c>
      <c r="N159" t="s" s="0">
        <v>81</v>
      </c>
      <c r="O159" t="s" s="0">
        <v>3884</v>
      </c>
      <c r="P159" t="s" s="0">
        <v>3885</v>
      </c>
      <c r="Q159" t="s" s="0">
        <v>90</v>
      </c>
      <c r="R159" t="s" s="0">
        <v>81</v>
      </c>
      <c r="S159" t="s" s="0">
        <v>81</v>
      </c>
      <c r="T159" t="s" s="0">
        <v>81</v>
      </c>
      <c r="U159" t="s" s="0">
        <v>81</v>
      </c>
      <c r="V159" t="s" s="0">
        <v>3886</v>
      </c>
      <c r="W159" t="s" s="0">
        <v>3887</v>
      </c>
      <c r="X159" t="s" s="0">
        <v>81</v>
      </c>
      <c r="Y159" t="s" s="0">
        <v>81</v>
      </c>
      <c r="Z159" t="s" s="0">
        <v>93</v>
      </c>
      <c r="AA159" t="s" s="0">
        <v>94</v>
      </c>
      <c r="AB159" t="s" s="0">
        <v>81</v>
      </c>
      <c r="AC159" t="s" s="0">
        <v>81</v>
      </c>
      <c r="AD159" t="s" s="0">
        <v>81</v>
      </c>
      <c r="AE159" t="s" s="0">
        <v>81</v>
      </c>
      <c r="AF159" t="s" s="0">
        <v>81</v>
      </c>
      <c r="AG159" t="s" s="0">
        <v>3888</v>
      </c>
      <c r="AH159" t="s" s="0">
        <v>81</v>
      </c>
      <c r="AI159" t="s" s="0">
        <v>3889</v>
      </c>
      <c r="AJ159" t="s" s="0">
        <v>3890</v>
      </c>
      <c r="AK159" t="s" s="0">
        <v>81</v>
      </c>
      <c r="AL159" t="s" s="0">
        <v>393</v>
      </c>
      <c r="AM159" t="s" s="0">
        <v>99</v>
      </c>
      <c r="AN159" t="s" s="0">
        <v>99</v>
      </c>
      <c r="AO159" t="s" s="0">
        <v>554</v>
      </c>
      <c r="AP159" t="s" s="0">
        <v>101</v>
      </c>
      <c r="AQ159" t="s" s="0">
        <v>712</v>
      </c>
      <c r="AR159" t="s" s="0">
        <v>500</v>
      </c>
      <c r="AS159" t="s" s="0">
        <v>713</v>
      </c>
      <c r="AT159" t="s" s="0">
        <v>3891</v>
      </c>
      <c r="AU159" t="s" s="0">
        <v>3892</v>
      </c>
      <c r="AV159" t="s" s="0">
        <v>81</v>
      </c>
      <c r="AW159" t="s" s="0">
        <v>3893</v>
      </c>
      <c r="AX159" t="s" s="0">
        <v>3894</v>
      </c>
      <c r="AY159" t="s" s="0">
        <v>666</v>
      </c>
      <c r="AZ159" t="s" s="0">
        <v>110</v>
      </c>
      <c r="BA159" t="s" s="0">
        <v>3895</v>
      </c>
      <c r="BB159" t="s" s="0">
        <v>81</v>
      </c>
      <c r="BC159" t="s" s="0">
        <v>81</v>
      </c>
      <c r="BD159" t="s" s="0">
        <v>81</v>
      </c>
      <c r="BE159" t="s" s="0">
        <v>81</v>
      </c>
      <c r="BF159" t="s" s="0">
        <v>81</v>
      </c>
      <c r="BG159" t="s" s="0">
        <v>81</v>
      </c>
      <c r="BH159" t="s" s="0">
        <v>81</v>
      </c>
      <c r="BI159" t="s" s="0">
        <v>3896</v>
      </c>
      <c r="BJ159" t="s" s="0">
        <v>3897</v>
      </c>
      <c r="BK159" t="s" s="315">
        <f>HYPERLINK("http://dx.doi.org/10.1016/j.clinimag.2025.110557","http://dx.doi.org/10.1016/j.clinimag.2025.110557")</f>
        <v>3898</v>
      </c>
      <c r="BL159" t="s" s="0">
        <v>81</v>
      </c>
      <c r="BM159" t="s" s="0">
        <v>1056</v>
      </c>
      <c r="BN159" t="s" s="0">
        <v>328</v>
      </c>
      <c r="BO159" t="s" s="0">
        <v>182</v>
      </c>
      <c r="BP159" t="s" s="0">
        <v>182</v>
      </c>
      <c r="BQ159" t="s" s="0">
        <v>3899</v>
      </c>
      <c r="BR159" t="s" s="0">
        <v>3900</v>
      </c>
      <c r="BS159" t="s" s="0">
        <v>3901</v>
      </c>
      <c r="BT159" t="s" s="316">
        <f>HYPERLINK("https://www.webofscience.com/wos/woscc/full-record/WOS:001532910400001","View Record in Web of Science")</f>
        <v>120</v>
      </c>
      <c r="BU159" t="s" s="0">
        <v>306</v>
      </c>
      <c r="BV159" t="s" s="0">
        <v>81</v>
      </c>
      <c r="BW159" t="s" s="0">
        <v>81</v>
      </c>
      <c r="BX159" t="s" s="0">
        <v>122</v>
      </c>
    </row>
    <row r="160">
      <c r="A160" t="s" s="0">
        <v>77</v>
      </c>
      <c r="B160" t="s" s="0">
        <v>77</v>
      </c>
      <c r="C160" t="s" s="0">
        <v>77</v>
      </c>
      <c r="D160" t="s" s="0">
        <v>77</v>
      </c>
      <c r="E160" t="s" s="0">
        <v>3902</v>
      </c>
      <c r="F160" t="s" s="0">
        <v>3903</v>
      </c>
      <c r="G160" t="s" s="0">
        <v>3904</v>
      </c>
      <c r="H160" t="s" s="0">
        <v>81</v>
      </c>
      <c r="I160" t="s" s="0">
        <v>82</v>
      </c>
      <c r="J160" t="s" s="0">
        <v>3905</v>
      </c>
      <c r="K160" t="s" s="0">
        <v>81</v>
      </c>
      <c r="L160" t="s" s="0">
        <v>81</v>
      </c>
      <c r="M160" t="s" s="0">
        <v>81</v>
      </c>
      <c r="N160" t="s" s="0">
        <v>81</v>
      </c>
      <c r="O160" t="s" s="0">
        <v>3906</v>
      </c>
      <c r="P160" t="s" s="0">
        <v>3907</v>
      </c>
      <c r="Q160" t="s" s="0">
        <v>90</v>
      </c>
      <c r="R160" t="s" s="0">
        <v>81</v>
      </c>
      <c r="S160" t="s" s="0">
        <v>81</v>
      </c>
      <c r="T160" t="s" s="0">
        <v>81</v>
      </c>
      <c r="U160" t="s" s="0">
        <v>81</v>
      </c>
      <c r="V160" t="s" s="0">
        <v>3908</v>
      </c>
      <c r="W160" t="s" s="0">
        <v>3909</v>
      </c>
      <c r="X160" t="s" s="0">
        <v>81</v>
      </c>
      <c r="Y160" t="s" s="0">
        <v>81</v>
      </c>
      <c r="Z160" t="s" s="0">
        <v>93</v>
      </c>
      <c r="AA160" t="s" s="0">
        <v>94</v>
      </c>
      <c r="AB160" t="s" s="0">
        <v>81</v>
      </c>
      <c r="AC160" t="s" s="0">
        <v>81</v>
      </c>
      <c r="AD160" t="s" s="0">
        <v>81</v>
      </c>
      <c r="AE160" t="s" s="0">
        <v>81</v>
      </c>
      <c r="AF160" t="s" s="0">
        <v>81</v>
      </c>
      <c r="AG160" t="s" s="0">
        <v>3910</v>
      </c>
      <c r="AH160" t="s" s="0">
        <v>3911</v>
      </c>
      <c r="AI160" t="s" s="0">
        <v>81</v>
      </c>
      <c r="AJ160" t="s" s="0">
        <v>81</v>
      </c>
      <c r="AK160" t="s" s="0">
        <v>81</v>
      </c>
      <c r="AL160" t="s" s="0">
        <v>944</v>
      </c>
      <c r="AM160" t="s" s="0">
        <v>77</v>
      </c>
      <c r="AN160" t="s" s="0">
        <v>77</v>
      </c>
      <c r="AO160" t="s" s="0">
        <v>77</v>
      </c>
      <c r="AP160" t="s" s="0">
        <v>77</v>
      </c>
      <c r="AQ160" t="s" s="0">
        <v>3435</v>
      </c>
      <c r="AR160" t="s" s="0">
        <v>3436</v>
      </c>
      <c r="AS160" t="s" s="0">
        <v>3437</v>
      </c>
      <c r="AT160" t="s" s="0">
        <v>3912</v>
      </c>
      <c r="AU160" t="s" s="0">
        <v>3913</v>
      </c>
      <c r="AV160" t="s" s="0">
        <v>81</v>
      </c>
      <c r="AW160" t="s" s="0">
        <v>3914</v>
      </c>
      <c r="AX160" t="s" s="0">
        <v>3915</v>
      </c>
      <c r="AY160" t="s" s="0">
        <v>3916</v>
      </c>
      <c r="AZ160" t="s" s="0">
        <v>144</v>
      </c>
      <c r="BA160" t="s" s="0">
        <v>2676</v>
      </c>
      <c r="BB160" t="s" s="0">
        <v>81</v>
      </c>
      <c r="BC160" t="s" s="0">
        <v>81</v>
      </c>
      <c r="BD160" t="s" s="0">
        <v>81</v>
      </c>
      <c r="BE160" t="s" s="0">
        <v>81</v>
      </c>
      <c r="BF160" t="s" s="0">
        <v>81</v>
      </c>
      <c r="BG160" t="s" s="0">
        <v>81</v>
      </c>
      <c r="BH160" t="s" s="0">
        <v>81</v>
      </c>
      <c r="BI160" t="s" s="0">
        <v>3917</v>
      </c>
      <c r="BJ160" t="s" s="0">
        <v>3918</v>
      </c>
      <c r="BK160" t="s" s="317">
        <f>HYPERLINK("http://dx.doi.org/10.1016/j.jdent.2026.106828","http://dx.doi.org/10.1016/j.jdent.2026.106828")</f>
        <v>3919</v>
      </c>
      <c r="BL160" t="s" s="0">
        <v>81</v>
      </c>
      <c r="BM160" t="s" s="0">
        <v>81</v>
      </c>
      <c r="BN160" t="s" s="0">
        <v>102</v>
      </c>
      <c r="BO160" t="s" s="0">
        <v>1934</v>
      </c>
      <c r="BP160" t="s" s="0">
        <v>1934</v>
      </c>
      <c r="BQ160" t="s" s="0">
        <v>3920</v>
      </c>
      <c r="BR160" t="s" s="0">
        <v>3921</v>
      </c>
      <c r="BS160" t="s" s="0">
        <v>3922</v>
      </c>
      <c r="BT160" t="s" s="318">
        <f>HYPERLINK("https://www.webofscience.com/wos/woscc/full-record/WOS:001843998200001","View Record in Web of Science")</f>
        <v>120</v>
      </c>
      <c r="BU160" t="s" s="0">
        <v>306</v>
      </c>
      <c r="BV160" t="s" s="0">
        <v>81</v>
      </c>
      <c r="BW160" t="s" s="0">
        <v>81</v>
      </c>
      <c r="BX160" t="s" s="0">
        <v>122</v>
      </c>
    </row>
    <row r="161">
      <c r="A161" t="s" s="0">
        <v>77</v>
      </c>
      <c r="B161" t="s" s="0">
        <v>77</v>
      </c>
      <c r="C161" t="s" s="0">
        <v>77</v>
      </c>
      <c r="D161" t="s" s="0">
        <v>77</v>
      </c>
      <c r="E161" t="s" s="0">
        <v>3923</v>
      </c>
      <c r="F161" t="s" s="0">
        <v>3924</v>
      </c>
      <c r="G161" t="s" s="0">
        <v>3925</v>
      </c>
      <c r="H161" t="s" s="0">
        <v>81</v>
      </c>
      <c r="I161" t="s" s="0">
        <v>82</v>
      </c>
      <c r="J161" t="s" s="0">
        <v>3926</v>
      </c>
      <c r="K161" t="s" s="0">
        <v>3927</v>
      </c>
      <c r="L161" t="s" s="0">
        <v>3928</v>
      </c>
      <c r="M161" t="s" s="0">
        <v>3928</v>
      </c>
      <c r="N161" t="s" s="0">
        <v>3929</v>
      </c>
      <c r="O161" t="s" s="0">
        <v>3930</v>
      </c>
      <c r="P161" t="s" s="0">
        <v>3931</v>
      </c>
      <c r="Q161" t="s" s="0">
        <v>90</v>
      </c>
      <c r="R161" t="s" s="0">
        <v>81</v>
      </c>
      <c r="S161" t="s" s="0">
        <v>81</v>
      </c>
      <c r="T161" t="s" s="0">
        <v>81</v>
      </c>
      <c r="U161" t="s" s="0">
        <v>81</v>
      </c>
      <c r="V161" t="s" s="0">
        <v>3932</v>
      </c>
      <c r="W161" t="s" s="0">
        <v>3933</v>
      </c>
      <c r="X161" t="s" s="0">
        <v>81</v>
      </c>
      <c r="Y161" t="s" s="0">
        <v>81</v>
      </c>
      <c r="Z161" t="s" s="0">
        <v>93</v>
      </c>
      <c r="AA161" t="s" s="0">
        <v>94</v>
      </c>
      <c r="AB161" t="s" s="0">
        <v>81</v>
      </c>
      <c r="AC161" t="s" s="0">
        <v>81</v>
      </c>
      <c r="AD161" t="s" s="0">
        <v>81</v>
      </c>
      <c r="AE161" t="s" s="0">
        <v>81</v>
      </c>
      <c r="AF161" t="s" s="0">
        <v>81</v>
      </c>
      <c r="AG161" t="s" s="0">
        <v>3934</v>
      </c>
      <c r="AH161" t="s" s="0">
        <v>81</v>
      </c>
      <c r="AI161" t="s" s="0">
        <v>3935</v>
      </c>
      <c r="AJ161" t="s" s="0">
        <v>81</v>
      </c>
      <c r="AK161" t="s" s="0">
        <v>81</v>
      </c>
      <c r="AL161" t="s" s="0">
        <v>199</v>
      </c>
      <c r="AM161" t="s" s="0">
        <v>77</v>
      </c>
      <c r="AN161" t="s" s="0">
        <v>77</v>
      </c>
      <c r="AO161" t="s" s="0">
        <v>169</v>
      </c>
      <c r="AP161" t="s" s="0">
        <v>169</v>
      </c>
      <c r="AQ161" t="s" s="0">
        <v>3936</v>
      </c>
      <c r="AR161" t="s" s="0">
        <v>138</v>
      </c>
      <c r="AS161" t="s" s="0">
        <v>3937</v>
      </c>
      <c r="AT161" t="s" s="0">
        <v>3938</v>
      </c>
      <c r="AU161" t="s" s="0">
        <v>3939</v>
      </c>
      <c r="AV161" t="s" s="0">
        <v>81</v>
      </c>
      <c r="AW161" t="s" s="0">
        <v>3940</v>
      </c>
      <c r="AX161" t="s" s="0">
        <v>3941</v>
      </c>
      <c r="AY161" t="s" s="0">
        <v>143</v>
      </c>
      <c r="AZ161" t="s" s="0">
        <v>144</v>
      </c>
      <c r="BA161" t="s" s="0">
        <v>2229</v>
      </c>
      <c r="BB161" t="s" s="0">
        <v>101</v>
      </c>
      <c r="BC161" t="s" s="0">
        <v>81</v>
      </c>
      <c r="BD161" t="s" s="0">
        <v>81</v>
      </c>
      <c r="BE161" t="s" s="0">
        <v>81</v>
      </c>
      <c r="BF161" t="s" s="0">
        <v>81</v>
      </c>
      <c r="BG161" t="s" s="0">
        <v>3942</v>
      </c>
      <c r="BH161" t="s" s="0">
        <v>3943</v>
      </c>
      <c r="BI161" t="s" s="0">
        <v>81</v>
      </c>
      <c r="BJ161" t="s" s="0">
        <v>3944</v>
      </c>
      <c r="BK161" t="s" s="319">
        <f>HYPERLINK("http://dx.doi.org/10.1159/000551433","http://dx.doi.org/10.1159/000551433")</f>
        <v>3945</v>
      </c>
      <c r="BL161" t="s" s="0">
        <v>81</v>
      </c>
      <c r="BM161" t="s" s="0">
        <v>209</v>
      </c>
      <c r="BN161" t="s" s="0">
        <v>328</v>
      </c>
      <c r="BO161" t="s" s="0">
        <v>1190</v>
      </c>
      <c r="BP161" t="s" s="0">
        <v>1190</v>
      </c>
      <c r="BQ161" t="s" s="0">
        <v>3946</v>
      </c>
      <c r="BR161" t="s" s="0">
        <v>3947</v>
      </c>
      <c r="BS161" t="s" s="0">
        <v>3948</v>
      </c>
      <c r="BT161" t="s" s="320">
        <f>HYPERLINK("https://www.webofscience.com/wos/woscc/full-record/WOS:001795898700001","View Record in Web of Science")</f>
        <v>120</v>
      </c>
      <c r="BU161" t="s" s="0">
        <v>81</v>
      </c>
      <c r="BV161" t="s" s="0">
        <v>81</v>
      </c>
      <c r="BW161" t="s" s="0">
        <v>81</v>
      </c>
      <c r="BX161" t="s" s="0">
        <v>122</v>
      </c>
    </row>
    <row r="162">
      <c r="A162" t="s" s="0">
        <v>77</v>
      </c>
      <c r="B162" t="s" s="0">
        <v>77</v>
      </c>
      <c r="C162" t="s" s="0">
        <v>77</v>
      </c>
      <c r="D162" t="s" s="0">
        <v>77</v>
      </c>
      <c r="E162" t="s" s="0">
        <v>3949</v>
      </c>
      <c r="F162" t="s" s="0">
        <v>3950</v>
      </c>
      <c r="G162" t="s" s="0">
        <v>3951</v>
      </c>
      <c r="H162" t="s" s="0">
        <v>81</v>
      </c>
      <c r="I162" t="s" s="0">
        <v>568</v>
      </c>
      <c r="J162" t="s" s="0">
        <v>3952</v>
      </c>
      <c r="K162" t="s" s="0">
        <v>3953</v>
      </c>
      <c r="L162" t="s" s="0">
        <v>81</v>
      </c>
      <c r="M162" t="s" s="0">
        <v>81</v>
      </c>
      <c r="N162" t="s" s="0">
        <v>81</v>
      </c>
      <c r="O162" t="s" s="0">
        <v>3954</v>
      </c>
      <c r="P162" t="s" s="0">
        <v>3955</v>
      </c>
      <c r="Q162" t="s" s="0">
        <v>90</v>
      </c>
      <c r="R162" t="s" s="0">
        <v>81</v>
      </c>
      <c r="S162" t="s" s="0">
        <v>81</v>
      </c>
      <c r="T162" t="s" s="0">
        <v>81</v>
      </c>
      <c r="U162" t="s" s="0">
        <v>81</v>
      </c>
      <c r="V162" t="s" s="0">
        <v>3956</v>
      </c>
      <c r="W162" t="s" s="0">
        <v>3957</v>
      </c>
      <c r="X162" t="s" s="0">
        <v>81</v>
      </c>
      <c r="Y162" t="s" s="0">
        <v>81</v>
      </c>
      <c r="Z162" t="s" s="0">
        <v>93</v>
      </c>
      <c r="AA162" t="s" s="0">
        <v>94</v>
      </c>
      <c r="AB162" t="s" s="0">
        <v>81</v>
      </c>
      <c r="AC162" t="s" s="0">
        <v>81</v>
      </c>
      <c r="AD162" t="s" s="0">
        <v>81</v>
      </c>
      <c r="AE162" t="s" s="0">
        <v>81</v>
      </c>
      <c r="AF162" t="s" s="0">
        <v>81</v>
      </c>
      <c r="AG162" t="s" s="0">
        <v>3958</v>
      </c>
      <c r="AH162" t="s" s="0">
        <v>3959</v>
      </c>
      <c r="AI162" t="s" s="0">
        <v>81</v>
      </c>
      <c r="AJ162" t="s" s="0">
        <v>81</v>
      </c>
      <c r="AK162" t="s" s="0">
        <v>81</v>
      </c>
      <c r="AL162" t="s" s="0">
        <v>1543</v>
      </c>
      <c r="AM162" t="s" s="0">
        <v>77</v>
      </c>
      <c r="AN162" t="s" s="0">
        <v>77</v>
      </c>
      <c r="AO162" t="s" s="0">
        <v>169</v>
      </c>
      <c r="AP162" t="s" s="0">
        <v>169</v>
      </c>
      <c r="AQ162" t="s" s="0">
        <v>353</v>
      </c>
      <c r="AR162" t="s" s="0">
        <v>354</v>
      </c>
      <c r="AS162" t="s" s="0">
        <v>355</v>
      </c>
      <c r="AT162" t="s" s="0">
        <v>3960</v>
      </c>
      <c r="AU162" t="s" s="0">
        <v>81</v>
      </c>
      <c r="AV162" t="s" s="0">
        <v>81</v>
      </c>
      <c r="AW162" t="s" s="0">
        <v>3961</v>
      </c>
      <c r="AX162" t="s" s="0">
        <v>3962</v>
      </c>
      <c r="AY162" t="s" s="0">
        <v>3963</v>
      </c>
      <c r="AZ162" t="s" s="0">
        <v>144</v>
      </c>
      <c r="BA162" t="s" s="0">
        <v>946</v>
      </c>
      <c r="BB162" t="s" s="0">
        <v>81</v>
      </c>
      <c r="BC162" t="s" s="0">
        <v>81</v>
      </c>
      <c r="BD162" t="s" s="0">
        <v>81</v>
      </c>
      <c r="BE162" t="s" s="0">
        <v>81</v>
      </c>
      <c r="BF162" t="s" s="0">
        <v>81</v>
      </c>
      <c r="BG162" t="s" s="0">
        <v>81</v>
      </c>
      <c r="BH162" t="s" s="0">
        <v>81</v>
      </c>
      <c r="BI162" t="s" s="0">
        <v>3964</v>
      </c>
      <c r="BJ162" t="s" s="0">
        <v>3965</v>
      </c>
      <c r="BK162" t="s" s="321">
        <f>HYPERLINK("http://dx.doi.org/10.3389/fpsyt.2026.1782288","http://dx.doi.org/10.3389/fpsyt.2026.1782288")</f>
        <v>3966</v>
      </c>
      <c r="BL162" t="s" s="0">
        <v>81</v>
      </c>
      <c r="BM162" t="s" s="0">
        <v>209</v>
      </c>
      <c r="BN162" t="s" s="0">
        <v>102</v>
      </c>
      <c r="BO162" t="s" s="0">
        <v>598</v>
      </c>
      <c r="BP162" t="s" s="0">
        <v>598</v>
      </c>
      <c r="BQ162" t="s" s="0">
        <v>3967</v>
      </c>
      <c r="BR162" t="s" s="0">
        <v>3968</v>
      </c>
      <c r="BS162" t="s" s="0">
        <v>3969</v>
      </c>
      <c r="BT162" t="s" s="322">
        <f>HYPERLINK("https://www.webofscience.com/wos/woscc/full-record/WOS:001763140300001","View Record in Web of Science")</f>
        <v>120</v>
      </c>
      <c r="BU162" t="s" s="0">
        <v>121</v>
      </c>
      <c r="BV162" t="s" s="0">
        <v>81</v>
      </c>
      <c r="BW162" t="s" s="0">
        <v>81</v>
      </c>
      <c r="BX162" t="s" s="0">
        <v>122</v>
      </c>
    </row>
    <row r="163">
      <c r="A163" t="s" s="0">
        <v>77</v>
      </c>
      <c r="B163" t="s" s="0">
        <v>77</v>
      </c>
      <c r="C163" t="s" s="0">
        <v>77</v>
      </c>
      <c r="D163" t="s" s="0">
        <v>77</v>
      </c>
      <c r="E163" t="s" s="0">
        <v>3970</v>
      </c>
      <c r="F163" t="s" s="0">
        <v>3971</v>
      </c>
      <c r="G163" t="s" s="0">
        <v>3972</v>
      </c>
      <c r="H163" t="s" s="0">
        <v>81</v>
      </c>
      <c r="I163" t="s" s="0">
        <v>82</v>
      </c>
      <c r="J163" t="s" s="0">
        <v>3973</v>
      </c>
      <c r="K163" t="s" s="0">
        <v>3401</v>
      </c>
      <c r="L163" t="s" s="0">
        <v>3974</v>
      </c>
      <c r="M163" t="s" s="0">
        <v>3975</v>
      </c>
      <c r="N163" t="s" s="0">
        <v>3976</v>
      </c>
      <c r="O163" t="s" s="0">
        <v>3977</v>
      </c>
      <c r="P163" t="s" s="0">
        <v>3978</v>
      </c>
      <c r="Q163" t="s" s="0">
        <v>90</v>
      </c>
      <c r="R163" t="s" s="0">
        <v>81</v>
      </c>
      <c r="S163" t="s" s="0">
        <v>81</v>
      </c>
      <c r="T163" t="s" s="0">
        <v>81</v>
      </c>
      <c r="U163" t="s" s="0">
        <v>81</v>
      </c>
      <c r="V163" t="s" s="0">
        <v>3979</v>
      </c>
      <c r="W163" t="s" s="0">
        <v>92</v>
      </c>
      <c r="X163" t="s" s="0">
        <v>81</v>
      </c>
      <c r="Y163" t="s" s="0">
        <v>81</v>
      </c>
      <c r="Z163" t="s" s="0">
        <v>93</v>
      </c>
      <c r="AA163" t="s" s="0">
        <v>94</v>
      </c>
      <c r="AB163" t="s" s="0">
        <v>81</v>
      </c>
      <c r="AC163" t="s" s="0">
        <v>81</v>
      </c>
      <c r="AD163" t="s" s="0">
        <v>81</v>
      </c>
      <c r="AE163" t="s" s="0">
        <v>81</v>
      </c>
      <c r="AF163" t="s" s="0">
        <v>81</v>
      </c>
      <c r="AG163" t="s" s="0">
        <v>3980</v>
      </c>
      <c r="AH163" t="s" s="0">
        <v>81</v>
      </c>
      <c r="AI163" t="s" s="0">
        <v>3981</v>
      </c>
      <c r="AJ163" t="s" s="0">
        <v>81</v>
      </c>
      <c r="AK163" t="s" s="0">
        <v>81</v>
      </c>
      <c r="AL163" t="s" s="0">
        <v>239</v>
      </c>
      <c r="AM163" t="s" s="0">
        <v>169</v>
      </c>
      <c r="AN163" t="s" s="0">
        <v>169</v>
      </c>
      <c r="AO163" t="s" s="0">
        <v>77</v>
      </c>
      <c r="AP163" t="s" s="0">
        <v>77</v>
      </c>
      <c r="AQ163" t="s" s="0">
        <v>103</v>
      </c>
      <c r="AR163" t="s" s="0">
        <v>104</v>
      </c>
      <c r="AS163" t="s" s="0">
        <v>105</v>
      </c>
      <c r="AT163" t="s" s="0">
        <v>1405</v>
      </c>
      <c r="AU163" t="s" s="0">
        <v>106</v>
      </c>
      <c r="AV163" t="s" s="0">
        <v>81</v>
      </c>
      <c r="AW163" t="s" s="0">
        <v>107</v>
      </c>
      <c r="AX163" t="s" s="0">
        <v>108</v>
      </c>
      <c r="AY163" t="s" s="0">
        <v>558</v>
      </c>
      <c r="AZ163" t="s" s="0">
        <v>144</v>
      </c>
      <c r="BA163" t="s" s="0">
        <v>637</v>
      </c>
      <c r="BB163" t="s" s="0">
        <v>81</v>
      </c>
      <c r="BC163" t="s" s="0">
        <v>81</v>
      </c>
      <c r="BD163" t="s" s="0">
        <v>81</v>
      </c>
      <c r="BE163" t="s" s="0">
        <v>81</v>
      </c>
      <c r="BF163" t="s" s="0">
        <v>81</v>
      </c>
      <c r="BG163" t="s" s="0">
        <v>81</v>
      </c>
      <c r="BH163" t="s" s="0">
        <v>81</v>
      </c>
      <c r="BI163" t="s" s="0">
        <v>3982</v>
      </c>
      <c r="BJ163" t="s" s="0">
        <v>3983</v>
      </c>
      <c r="BK163" t="s" s="323">
        <f>HYPERLINK("http://dx.doi.org/10.2196/84444","http://dx.doi.org/10.2196/84444")</f>
        <v>3984</v>
      </c>
      <c r="BL163" t="s" s="0">
        <v>81</v>
      </c>
      <c r="BM163" t="s" s="0">
        <v>81</v>
      </c>
      <c r="BN163" t="s" s="0">
        <v>1118</v>
      </c>
      <c r="BO163" t="s" s="0">
        <v>116</v>
      </c>
      <c r="BP163" t="s" s="0">
        <v>116</v>
      </c>
      <c r="BQ163" t="s" s="0">
        <v>3985</v>
      </c>
      <c r="BR163" t="s" s="0">
        <v>3986</v>
      </c>
      <c r="BS163" t="s" s="0">
        <v>3987</v>
      </c>
      <c r="BT163" t="s" s="324">
        <f>HYPERLINK("https://www.webofscience.com/wos/woscc/full-record/WOS:001783714600001","View Record in Web of Science")</f>
        <v>120</v>
      </c>
      <c r="BU163" t="s" s="0">
        <v>121</v>
      </c>
      <c r="BV163" t="s" s="0">
        <v>81</v>
      </c>
      <c r="BW163" t="s" s="0">
        <v>81</v>
      </c>
      <c r="BX163" t="s" s="0">
        <v>122</v>
      </c>
    </row>
    <row r="164">
      <c r="A164" t="s" s="0">
        <v>77</v>
      </c>
      <c r="B164" t="s" s="0">
        <v>77</v>
      </c>
      <c r="C164" t="s" s="0">
        <v>77</v>
      </c>
      <c r="D164" t="s" s="0">
        <v>77</v>
      </c>
      <c r="E164" t="s" s="0">
        <v>3988</v>
      </c>
      <c r="F164" t="s" s="0">
        <v>3989</v>
      </c>
      <c r="G164" t="s" s="0">
        <v>3990</v>
      </c>
      <c r="H164" t="s" s="0">
        <v>81</v>
      </c>
      <c r="I164" t="s" s="0">
        <v>82</v>
      </c>
      <c r="J164" t="s" s="0">
        <v>3991</v>
      </c>
      <c r="K164" t="s" s="0">
        <v>3992</v>
      </c>
      <c r="L164" t="s" s="0">
        <v>81</v>
      </c>
      <c r="M164" t="s" s="0">
        <v>81</v>
      </c>
      <c r="N164" t="s" s="0">
        <v>81</v>
      </c>
      <c r="O164" t="s" s="0">
        <v>3993</v>
      </c>
      <c r="P164" t="s" s="0">
        <v>3994</v>
      </c>
      <c r="Q164" t="s" s="0">
        <v>90</v>
      </c>
      <c r="R164" t="s" s="0">
        <v>81</v>
      </c>
      <c r="S164" t="s" s="0">
        <v>81</v>
      </c>
      <c r="T164" t="s" s="0">
        <v>81</v>
      </c>
      <c r="U164" t="s" s="0">
        <v>81</v>
      </c>
      <c r="V164" t="s" s="0">
        <v>3995</v>
      </c>
      <c r="W164" t="s" s="0">
        <v>132</v>
      </c>
      <c r="X164" t="s" s="0">
        <v>81</v>
      </c>
      <c r="Y164" t="s" s="0">
        <v>81</v>
      </c>
      <c r="Z164" t="s" s="0">
        <v>93</v>
      </c>
      <c r="AA164" t="s" s="0">
        <v>94</v>
      </c>
      <c r="AB164" t="s" s="0">
        <v>81</v>
      </c>
      <c r="AC164" t="s" s="0">
        <v>81</v>
      </c>
      <c r="AD164" t="s" s="0">
        <v>81</v>
      </c>
      <c r="AE164" t="s" s="0">
        <v>81</v>
      </c>
      <c r="AF164" t="s" s="0">
        <v>81</v>
      </c>
      <c r="AG164" t="s" s="0">
        <v>3996</v>
      </c>
      <c r="AH164" t="s" s="0">
        <v>81</v>
      </c>
      <c r="AI164" t="s" s="0">
        <v>3997</v>
      </c>
      <c r="AJ164" t="s" s="0">
        <v>81</v>
      </c>
      <c r="AK164" t="s" s="0">
        <v>81</v>
      </c>
      <c r="AL164" t="s" s="0">
        <v>637</v>
      </c>
      <c r="AM164" t="s" s="0">
        <v>169</v>
      </c>
      <c r="AN164" t="s" s="0">
        <v>169</v>
      </c>
      <c r="AO164" t="s" s="0">
        <v>77</v>
      </c>
      <c r="AP164" t="s" s="0">
        <v>77</v>
      </c>
      <c r="AQ164" t="s" s="0">
        <v>137</v>
      </c>
      <c r="AR164" t="s" s="0">
        <v>138</v>
      </c>
      <c r="AS164" t="s" s="0">
        <v>139</v>
      </c>
      <c r="AT164" t="s" s="0">
        <v>81</v>
      </c>
      <c r="AU164" t="s" s="0">
        <v>140</v>
      </c>
      <c r="AV164" t="s" s="0">
        <v>81</v>
      </c>
      <c r="AW164" t="s" s="0">
        <v>141</v>
      </c>
      <c r="AX164" t="s" s="0">
        <v>142</v>
      </c>
      <c r="AY164" t="s" s="0">
        <v>3998</v>
      </c>
      <c r="AZ164" t="s" s="0">
        <v>144</v>
      </c>
      <c r="BA164" t="s" s="0">
        <v>145</v>
      </c>
      <c r="BB164" t="s" s="0">
        <v>320</v>
      </c>
      <c r="BC164" t="s" s="0">
        <v>81</v>
      </c>
      <c r="BD164" t="s" s="0">
        <v>81</v>
      </c>
      <c r="BE164" t="s" s="0">
        <v>81</v>
      </c>
      <c r="BF164" t="s" s="0">
        <v>81</v>
      </c>
      <c r="BG164" t="s" s="0">
        <v>81</v>
      </c>
      <c r="BH164" t="s" s="0">
        <v>81</v>
      </c>
      <c r="BI164" t="s" s="0">
        <v>3999</v>
      </c>
      <c r="BJ164" t="s" s="0">
        <v>4000</v>
      </c>
      <c r="BK164" t="s" s="325">
        <f>HYPERLINK("http://dx.doi.org/10.3390/jcm15114092","http://dx.doi.org/10.3390/jcm15114092")</f>
        <v>4001</v>
      </c>
      <c r="BL164" t="s" s="0">
        <v>81</v>
      </c>
      <c r="BM164" t="s" s="0">
        <v>295</v>
      </c>
      <c r="BN164" t="s" s="0">
        <v>352</v>
      </c>
      <c r="BO164" t="s" s="0">
        <v>149</v>
      </c>
      <c r="BP164" t="s" s="0">
        <v>150</v>
      </c>
      <c r="BQ164" t="s" s="0">
        <v>4002</v>
      </c>
      <c r="BR164" t="s" s="0">
        <v>4003</v>
      </c>
      <c r="BS164" t="s" s="0">
        <v>4004</v>
      </c>
      <c r="BT164" t="s" s="326">
        <f>HYPERLINK("https://www.webofscience.com/wos/woscc/full-record/WOS:001790057400001","View Record in Web of Science")</f>
        <v>120</v>
      </c>
      <c r="BU164" t="s" s="0">
        <v>121</v>
      </c>
      <c r="BV164" t="s" s="0">
        <v>81</v>
      </c>
      <c r="BW164" t="s" s="0">
        <v>81</v>
      </c>
      <c r="BX164" t="s" s="0">
        <v>122</v>
      </c>
    </row>
    <row r="165">
      <c r="A165" t="s" s="0">
        <v>77</v>
      </c>
      <c r="B165" t="s" s="0">
        <v>77</v>
      </c>
      <c r="C165" t="s" s="0">
        <v>77</v>
      </c>
      <c r="D165" t="s" s="0">
        <v>77</v>
      </c>
      <c r="E165" t="s" s="0">
        <v>4005</v>
      </c>
      <c r="F165" t="s" s="0">
        <v>4006</v>
      </c>
      <c r="G165" t="s" s="0">
        <v>4007</v>
      </c>
      <c r="H165" t="s" s="0">
        <v>81</v>
      </c>
      <c r="I165" t="s" s="0">
        <v>218</v>
      </c>
      <c r="J165" t="s" s="0">
        <v>4008</v>
      </c>
      <c r="K165" t="s" s="0">
        <v>4009</v>
      </c>
      <c r="L165" t="s" s="0">
        <v>4010</v>
      </c>
      <c r="M165" t="s" s="0">
        <v>4011</v>
      </c>
      <c r="N165" t="s" s="0">
        <v>4012</v>
      </c>
      <c r="O165" t="s" s="0">
        <v>4013</v>
      </c>
      <c r="P165" t="s" s="0">
        <v>4014</v>
      </c>
      <c r="Q165" t="s" s="0">
        <v>90</v>
      </c>
      <c r="R165" t="s" s="0">
        <v>81</v>
      </c>
      <c r="S165" t="s" s="0">
        <v>81</v>
      </c>
      <c r="T165" t="s" s="0">
        <v>81</v>
      </c>
      <c r="U165" t="s" s="0">
        <v>81</v>
      </c>
      <c r="V165" t="s" s="0">
        <v>4015</v>
      </c>
      <c r="W165" t="s" s="0">
        <v>4016</v>
      </c>
      <c r="X165" t="s" s="0">
        <v>81</v>
      </c>
      <c r="Y165" t="s" s="0">
        <v>81</v>
      </c>
      <c r="Z165" t="s" s="0">
        <v>93</v>
      </c>
      <c r="AA165" t="s" s="0">
        <v>94</v>
      </c>
      <c r="AB165" t="s" s="0">
        <v>81</v>
      </c>
      <c r="AC165" t="s" s="0">
        <v>81</v>
      </c>
      <c r="AD165" t="s" s="0">
        <v>81</v>
      </c>
      <c r="AE165" t="s" s="0">
        <v>81</v>
      </c>
      <c r="AF165" t="s" s="0">
        <v>81</v>
      </c>
      <c r="AG165" t="s" s="0">
        <v>4017</v>
      </c>
      <c r="AH165" t="s" s="0">
        <v>4018</v>
      </c>
      <c r="AI165" t="s" s="0">
        <v>81</v>
      </c>
      <c r="AJ165" t="s" s="0">
        <v>4019</v>
      </c>
      <c r="AK165" t="s" s="0">
        <v>81</v>
      </c>
      <c r="AL165" t="s" s="0">
        <v>111</v>
      </c>
      <c r="AM165" t="s" s="0">
        <v>77</v>
      </c>
      <c r="AN165" t="s" s="0">
        <v>77</v>
      </c>
      <c r="AO165" t="s" s="0">
        <v>77</v>
      </c>
      <c r="AP165" t="s" s="0">
        <v>77</v>
      </c>
      <c r="AQ165" t="s" s="0">
        <v>103</v>
      </c>
      <c r="AR165" t="s" s="0">
        <v>104</v>
      </c>
      <c r="AS165" t="s" s="0">
        <v>105</v>
      </c>
      <c r="AT165" t="s" s="0">
        <v>81</v>
      </c>
      <c r="AU165" t="s" s="0">
        <v>4020</v>
      </c>
      <c r="AV165" t="s" s="0">
        <v>81</v>
      </c>
      <c r="AW165" t="s" s="0">
        <v>4016</v>
      </c>
      <c r="AX165" t="s" s="0">
        <v>4021</v>
      </c>
      <c r="AY165" t="s" s="0">
        <v>144</v>
      </c>
      <c r="AZ165" t="s" s="0">
        <v>144</v>
      </c>
      <c r="BA165" t="s" s="0">
        <v>102</v>
      </c>
      <c r="BB165" t="s" s="0">
        <v>81</v>
      </c>
      <c r="BC165" t="s" s="0">
        <v>81</v>
      </c>
      <c r="BD165" t="s" s="0">
        <v>81</v>
      </c>
      <c r="BE165" t="s" s="0">
        <v>81</v>
      </c>
      <c r="BF165" t="s" s="0">
        <v>81</v>
      </c>
      <c r="BG165" t="s" s="0">
        <v>81</v>
      </c>
      <c r="BH165" t="s" s="0">
        <v>81</v>
      </c>
      <c r="BI165" t="s" s="0">
        <v>4022</v>
      </c>
      <c r="BJ165" t="s" s="0">
        <v>4023</v>
      </c>
      <c r="BK165" t="s" s="327">
        <f>HYPERLINK("http://dx.doi.org/10.2196/89480","http://dx.doi.org/10.2196/89480")</f>
        <v>4024</v>
      </c>
      <c r="BL165" t="s" s="0">
        <v>81</v>
      </c>
      <c r="BM165" t="s" s="0">
        <v>81</v>
      </c>
      <c r="BN165" t="s" s="0">
        <v>509</v>
      </c>
      <c r="BO165" t="s" s="0">
        <v>364</v>
      </c>
      <c r="BP165" t="s" s="0">
        <v>365</v>
      </c>
      <c r="BQ165" t="s" s="0">
        <v>4025</v>
      </c>
      <c r="BR165" t="s" s="0">
        <v>4026</v>
      </c>
      <c r="BS165" t="s" s="0">
        <v>4027</v>
      </c>
      <c r="BT165" t="s" s="328">
        <f>HYPERLINK("https://www.webofscience.com/wos/woscc/full-record/WOS:001779347900001","View Record in Web of Science")</f>
        <v>120</v>
      </c>
      <c r="BU165" t="s" s="0">
        <v>121</v>
      </c>
      <c r="BV165" t="s" s="0">
        <v>81</v>
      </c>
      <c r="BW165" t="s" s="0">
        <v>81</v>
      </c>
      <c r="BX165" t="s" s="0">
        <v>122</v>
      </c>
    </row>
    <row r="166">
      <c r="A166" t="s" s="0">
        <v>77</v>
      </c>
      <c r="B166" t="s" s="0">
        <v>77</v>
      </c>
      <c r="C166" t="s" s="0">
        <v>77</v>
      </c>
      <c r="D166" t="s" s="0">
        <v>77</v>
      </c>
      <c r="E166" t="s" s="0">
        <v>4028</v>
      </c>
      <c r="F166" t="s" s="0">
        <v>4029</v>
      </c>
      <c r="G166" t="s" s="0">
        <v>4030</v>
      </c>
      <c r="H166" t="s" s="0">
        <v>81</v>
      </c>
      <c r="I166" t="s" s="0">
        <v>568</v>
      </c>
      <c r="J166" t="s" s="0">
        <v>4031</v>
      </c>
      <c r="K166" t="s" s="0">
        <v>4032</v>
      </c>
      <c r="L166" t="s" s="0">
        <v>4033</v>
      </c>
      <c r="M166" t="s" s="0">
        <v>4034</v>
      </c>
      <c r="N166" t="s" s="0">
        <v>4035</v>
      </c>
      <c r="O166" t="s" s="0">
        <v>4036</v>
      </c>
      <c r="P166" t="s" s="0">
        <v>4037</v>
      </c>
      <c r="Q166" t="s" s="0">
        <v>90</v>
      </c>
      <c r="R166" t="s" s="0">
        <v>81</v>
      </c>
      <c r="S166" t="s" s="0">
        <v>81</v>
      </c>
      <c r="T166" t="s" s="0">
        <v>81</v>
      </c>
      <c r="U166" t="s" s="0">
        <v>81</v>
      </c>
      <c r="V166" t="s" s="0">
        <v>4038</v>
      </c>
      <c r="W166" t="s" s="0">
        <v>1319</v>
      </c>
      <c r="X166" t="s" s="0">
        <v>81</v>
      </c>
      <c r="Y166" t="s" s="0">
        <v>81</v>
      </c>
      <c r="Z166" t="s" s="0">
        <v>93</v>
      </c>
      <c r="AA166" t="s" s="0">
        <v>196</v>
      </c>
      <c r="AB166" t="s" s="0">
        <v>81</v>
      </c>
      <c r="AC166" t="s" s="0">
        <v>81</v>
      </c>
      <c r="AD166" t="s" s="0">
        <v>81</v>
      </c>
      <c r="AE166" t="s" s="0">
        <v>81</v>
      </c>
      <c r="AF166" t="s" s="0">
        <v>81</v>
      </c>
      <c r="AG166" t="s" s="0">
        <v>4039</v>
      </c>
      <c r="AH166" t="s" s="0">
        <v>81</v>
      </c>
      <c r="AI166" t="s" s="0">
        <v>4040</v>
      </c>
      <c r="AJ166" t="s" s="0">
        <v>81</v>
      </c>
      <c r="AK166" t="s" s="0">
        <v>81</v>
      </c>
      <c r="AL166" t="s" s="0">
        <v>583</v>
      </c>
      <c r="AM166" t="s" s="0">
        <v>77</v>
      </c>
      <c r="AN166" t="s" s="0">
        <v>77</v>
      </c>
      <c r="AO166" t="s" s="0">
        <v>77</v>
      </c>
      <c r="AP166" t="s" s="0">
        <v>77</v>
      </c>
      <c r="AQ166" t="s" s="0">
        <v>527</v>
      </c>
      <c r="AR166" t="s" s="0">
        <v>528</v>
      </c>
      <c r="AS166" t="s" s="0">
        <v>529</v>
      </c>
      <c r="AT166" t="s" s="0">
        <v>1323</v>
      </c>
      <c r="AU166" t="s" s="0">
        <v>1324</v>
      </c>
      <c r="AV166" t="s" s="0">
        <v>81</v>
      </c>
      <c r="AW166" t="s" s="0">
        <v>1325</v>
      </c>
      <c r="AX166" t="s" s="0">
        <v>1326</v>
      </c>
      <c r="AY166" t="s" s="0">
        <v>81</v>
      </c>
      <c r="AZ166" t="s" s="0">
        <v>144</v>
      </c>
      <c r="BA166" t="s" s="0">
        <v>81</v>
      </c>
      <c r="BB166" t="s" s="0">
        <v>81</v>
      </c>
      <c r="BC166" t="s" s="0">
        <v>81</v>
      </c>
      <c r="BD166" t="s" s="0">
        <v>81</v>
      </c>
      <c r="BE166" t="s" s="0">
        <v>81</v>
      </c>
      <c r="BF166" t="s" s="0">
        <v>81</v>
      </c>
      <c r="BG166" t="s" s="0">
        <v>81</v>
      </c>
      <c r="BH166" t="s" s="0">
        <v>81</v>
      </c>
      <c r="BI166" t="s" s="0">
        <v>81</v>
      </c>
      <c r="BJ166" t="s" s="0">
        <v>4041</v>
      </c>
      <c r="BK166" t="s" s="329">
        <f>HYPERLINK("http://dx.doi.org/10.1093/jamia/ocag123","http://dx.doi.org/10.1093/jamia/ocag123")</f>
        <v>4042</v>
      </c>
      <c r="BL166" t="s" s="0">
        <v>81</v>
      </c>
      <c r="BM166" t="s" s="0">
        <v>3047</v>
      </c>
      <c r="BN166" t="s" s="0">
        <v>115</v>
      </c>
      <c r="BO166" t="s" s="0">
        <v>1331</v>
      </c>
      <c r="BP166" t="s" s="0">
        <v>1332</v>
      </c>
      <c r="BQ166" t="s" s="0">
        <v>4043</v>
      </c>
      <c r="BR166" t="s" s="0">
        <v>4044</v>
      </c>
      <c r="BS166" t="s" s="0">
        <v>4045</v>
      </c>
      <c r="BT166" t="s" s="330">
        <f>HYPERLINK("https://www.webofscience.com/wos/woscc/full-record/WOS:001842094200001","View Record in Web of Science")</f>
        <v>120</v>
      </c>
      <c r="BU166" t="s" s="0">
        <v>81</v>
      </c>
      <c r="BV166" t="s" s="0">
        <v>81</v>
      </c>
      <c r="BW166" t="s" s="0">
        <v>81</v>
      </c>
      <c r="BX166" t="s" s="0">
        <v>122</v>
      </c>
    </row>
    <row r="167">
      <c r="A167" t="s" s="0">
        <v>77</v>
      </c>
      <c r="B167" t="s" s="0">
        <v>77</v>
      </c>
      <c r="C167" t="s" s="0">
        <v>77</v>
      </c>
      <c r="D167" t="s" s="0">
        <v>77</v>
      </c>
      <c r="E167" t="s" s="0">
        <v>4046</v>
      </c>
      <c r="F167" t="s" s="0">
        <v>4047</v>
      </c>
      <c r="G167" t="s" s="0">
        <v>4048</v>
      </c>
      <c r="H167" t="s" s="0">
        <v>81</v>
      </c>
      <c r="I167" t="s" s="0">
        <v>218</v>
      </c>
      <c r="J167" t="s" s="0">
        <v>4049</v>
      </c>
      <c r="K167" t="s" s="0">
        <v>4050</v>
      </c>
      <c r="L167" t="s" s="0">
        <v>4051</v>
      </c>
      <c r="M167" t="s" s="0">
        <v>4052</v>
      </c>
      <c r="N167" t="s" s="0">
        <v>4053</v>
      </c>
      <c r="O167" t="s" s="0">
        <v>4054</v>
      </c>
      <c r="P167" t="s" s="0">
        <v>4055</v>
      </c>
      <c r="Q167" t="s" s="0">
        <v>90</v>
      </c>
      <c r="R167" t="s" s="0">
        <v>81</v>
      </c>
      <c r="S167" t="s" s="0">
        <v>81</v>
      </c>
      <c r="T167" t="s" s="0">
        <v>81</v>
      </c>
      <c r="U167" t="s" s="0">
        <v>81</v>
      </c>
      <c r="V167" t="s" s="0">
        <v>4056</v>
      </c>
      <c r="W167" t="s" s="0">
        <v>4057</v>
      </c>
      <c r="X167" t="s" s="0">
        <v>81</v>
      </c>
      <c r="Y167" t="s" s="0">
        <v>81</v>
      </c>
      <c r="Z167" t="s" s="0">
        <v>93</v>
      </c>
      <c r="AA167" t="s" s="0">
        <v>94</v>
      </c>
      <c r="AB167" t="s" s="0">
        <v>81</v>
      </c>
      <c r="AC167" t="s" s="0">
        <v>81</v>
      </c>
      <c r="AD167" t="s" s="0">
        <v>81</v>
      </c>
      <c r="AE167" t="s" s="0">
        <v>81</v>
      </c>
      <c r="AF167" t="s" s="0">
        <v>81</v>
      </c>
      <c r="AG167" t="s" s="0">
        <v>4058</v>
      </c>
      <c r="AH167" t="s" s="0">
        <v>81</v>
      </c>
      <c r="AI167" t="s" s="0">
        <v>4059</v>
      </c>
      <c r="AJ167" t="s" s="0">
        <v>81</v>
      </c>
      <c r="AK167" t="s" s="0">
        <v>81</v>
      </c>
      <c r="AL167" t="s" s="0">
        <v>2026</v>
      </c>
      <c r="AM167" t="s" s="0">
        <v>77</v>
      </c>
      <c r="AN167" t="s" s="0">
        <v>77</v>
      </c>
      <c r="AO167" t="s" s="0">
        <v>77</v>
      </c>
      <c r="AP167" t="s" s="0">
        <v>77</v>
      </c>
      <c r="AQ167" t="s" s="0">
        <v>137</v>
      </c>
      <c r="AR167" t="s" s="0">
        <v>138</v>
      </c>
      <c r="AS167" t="s" s="0">
        <v>139</v>
      </c>
      <c r="AT167" t="s" s="0">
        <v>81</v>
      </c>
      <c r="AU167" t="s" s="0">
        <v>4060</v>
      </c>
      <c r="AV167" t="s" s="0">
        <v>81</v>
      </c>
      <c r="AW167" t="s" s="0">
        <v>4057</v>
      </c>
      <c r="AX167" t="s" s="0">
        <v>4061</v>
      </c>
      <c r="AY167" t="s" s="0">
        <v>4062</v>
      </c>
      <c r="AZ167" t="s" s="0">
        <v>144</v>
      </c>
      <c r="BA167" t="s" s="0">
        <v>115</v>
      </c>
      <c r="BB167" t="s" s="0">
        <v>386</v>
      </c>
      <c r="BC167" t="s" s="0">
        <v>81</v>
      </c>
      <c r="BD167" t="s" s="0">
        <v>81</v>
      </c>
      <c r="BE167" t="s" s="0">
        <v>81</v>
      </c>
      <c r="BF167" t="s" s="0">
        <v>81</v>
      </c>
      <c r="BG167" t="s" s="0">
        <v>81</v>
      </c>
      <c r="BH167" t="s" s="0">
        <v>81</v>
      </c>
      <c r="BI167" t="s" s="0">
        <v>4063</v>
      </c>
      <c r="BJ167" t="s" s="0">
        <v>4064</v>
      </c>
      <c r="BK167" t="s" s="331">
        <f>HYPERLINK("http://dx.doi.org/10.3390/informatics13070117","http://dx.doi.org/10.3390/informatics13070117")</f>
        <v>4065</v>
      </c>
      <c r="BL167" t="s" s="0">
        <v>81</v>
      </c>
      <c r="BM167" t="s" s="0">
        <v>81</v>
      </c>
      <c r="BN167" t="s" s="0">
        <v>352</v>
      </c>
      <c r="BO167" t="s" s="0">
        <v>4066</v>
      </c>
      <c r="BP167" t="s" s="0">
        <v>303</v>
      </c>
      <c r="BQ167" t="s" s="0">
        <v>4067</v>
      </c>
      <c r="BR167" t="s" s="0">
        <v>81</v>
      </c>
      <c r="BS167" t="s" s="0">
        <v>4068</v>
      </c>
      <c r="BT167" t="s" s="332">
        <f>HYPERLINK("https://www.webofscience.com/wos/woscc/full-record/WOS:001832004500001","View Record in Web of Science")</f>
        <v>120</v>
      </c>
      <c r="BU167" t="s" s="0">
        <v>1216</v>
      </c>
      <c r="BV167" t="s" s="0">
        <v>81</v>
      </c>
      <c r="BW167" t="s" s="0">
        <v>81</v>
      </c>
      <c r="BX167" t="s" s="0">
        <v>122</v>
      </c>
    </row>
    <row r="168">
      <c r="A168" t="s" s="0">
        <v>169</v>
      </c>
      <c r="B168" t="s" s="0">
        <v>77</v>
      </c>
      <c r="C168" t="s" s="0">
        <v>101</v>
      </c>
      <c r="D168" t="s" s="0">
        <v>77</v>
      </c>
      <c r="E168" t="s" s="0">
        <v>4069</v>
      </c>
      <c r="F168" t="s" s="0">
        <v>4070</v>
      </c>
      <c r="G168" t="s" s="0">
        <v>4071</v>
      </c>
      <c r="H168" t="s" s="0">
        <v>81</v>
      </c>
      <c r="I168" t="s" s="0">
        <v>82</v>
      </c>
      <c r="J168" t="s" s="0">
        <v>4072</v>
      </c>
      <c r="K168" t="s" s="0">
        <v>4073</v>
      </c>
      <c r="L168" t="s" s="0">
        <v>4074</v>
      </c>
      <c r="M168" t="s" s="0">
        <v>4074</v>
      </c>
      <c r="N168" t="s" s="0">
        <v>4075</v>
      </c>
      <c r="O168" t="s" s="0">
        <v>4076</v>
      </c>
      <c r="P168" t="s" s="0">
        <v>4077</v>
      </c>
      <c r="Q168" t="s" s="0">
        <v>90</v>
      </c>
      <c r="R168" t="s" s="0">
        <v>81</v>
      </c>
      <c r="S168" t="s" s="0">
        <v>81</v>
      </c>
      <c r="T168" t="s" s="0">
        <v>81</v>
      </c>
      <c r="U168" t="s" s="0">
        <v>81</v>
      </c>
      <c r="V168" t="s" s="0">
        <v>4078</v>
      </c>
      <c r="W168" t="s" s="0">
        <v>4079</v>
      </c>
      <c r="X168" t="s" s="0">
        <v>81</v>
      </c>
      <c r="Y168" t="s" s="0">
        <v>81</v>
      </c>
      <c r="Z168" t="s" s="0">
        <v>93</v>
      </c>
      <c r="AA168" t="s" s="0">
        <v>94</v>
      </c>
      <c r="AB168" t="s" s="0">
        <v>81</v>
      </c>
      <c r="AC168" t="s" s="0">
        <v>81</v>
      </c>
      <c r="AD168" t="s" s="0">
        <v>81</v>
      </c>
      <c r="AE168" t="s" s="0">
        <v>81</v>
      </c>
      <c r="AF168" t="s" s="0">
        <v>81</v>
      </c>
      <c r="AG168" t="s" s="0">
        <v>4080</v>
      </c>
      <c r="AH168" t="s" s="0">
        <v>81</v>
      </c>
      <c r="AI168" t="s" s="0">
        <v>4081</v>
      </c>
      <c r="AJ168" t="s" s="0">
        <v>4082</v>
      </c>
      <c r="AK168" t="s" s="0">
        <v>81</v>
      </c>
      <c r="AL168" t="s" s="0">
        <v>1580</v>
      </c>
      <c r="AM168" t="s" s="0">
        <v>102</v>
      </c>
      <c r="AN168" t="s" s="0">
        <v>320</v>
      </c>
      <c r="AO168" t="s" s="0">
        <v>554</v>
      </c>
      <c r="AP168" t="s" s="0">
        <v>328</v>
      </c>
      <c r="AQ168" t="s" s="0">
        <v>439</v>
      </c>
      <c r="AR168" t="s" s="0">
        <v>201</v>
      </c>
      <c r="AS168" t="s" s="0">
        <v>440</v>
      </c>
      <c r="AT168" t="s" s="0">
        <v>4083</v>
      </c>
      <c r="AU168" t="s" s="0">
        <v>81</v>
      </c>
      <c r="AV168" t="s" s="0">
        <v>81</v>
      </c>
      <c r="AW168" t="s" s="0">
        <v>4084</v>
      </c>
      <c r="AX168" t="s" s="0">
        <v>4085</v>
      </c>
      <c r="AY168" t="s" s="0">
        <v>4086</v>
      </c>
      <c r="AZ168" t="s" s="0">
        <v>110</v>
      </c>
      <c r="BA168" t="s" s="0">
        <v>946</v>
      </c>
      <c r="BB168" t="s" s="0">
        <v>169</v>
      </c>
      <c r="BC168" t="s" s="0">
        <v>81</v>
      </c>
      <c r="BD168" t="s" s="0">
        <v>81</v>
      </c>
      <c r="BE168" t="s" s="0">
        <v>81</v>
      </c>
      <c r="BF168" t="s" s="0">
        <v>81</v>
      </c>
      <c r="BG168" t="s" s="0">
        <v>81</v>
      </c>
      <c r="BH168" t="s" s="0">
        <v>81</v>
      </c>
      <c r="BI168" t="s" s="0">
        <v>4087</v>
      </c>
      <c r="BJ168" t="s" s="0">
        <v>4088</v>
      </c>
      <c r="BK168" t="s" s="333">
        <f>HYPERLINK("http://dx.doi.org/10.1186/s13073-025-01521-w","http://dx.doi.org/10.1186/s13073-025-01521-w")</f>
        <v>4089</v>
      </c>
      <c r="BL168" t="s" s="0">
        <v>81</v>
      </c>
      <c r="BM168" t="s" s="0">
        <v>81</v>
      </c>
      <c r="BN168" t="s" s="0">
        <v>946</v>
      </c>
      <c r="BO168" t="s" s="0">
        <v>4090</v>
      </c>
      <c r="BP168" t="s" s="0">
        <v>4090</v>
      </c>
      <c r="BQ168" t="s" s="0">
        <v>4091</v>
      </c>
      <c r="BR168" t="s" s="0">
        <v>4092</v>
      </c>
      <c r="BS168" t="s" s="0">
        <v>4093</v>
      </c>
      <c r="BT168" t="s" s="334">
        <f>HYPERLINK("https://www.webofscience.com/wos/woscc/full-record/WOS:001553155800002","View Record in Web of Science")</f>
        <v>120</v>
      </c>
      <c r="BU168" t="s" s="0">
        <v>4094</v>
      </c>
      <c r="BV168" t="s" s="0">
        <v>81</v>
      </c>
      <c r="BW168" t="s" s="0">
        <v>81</v>
      </c>
      <c r="BX168" t="s" s="0">
        <v>122</v>
      </c>
    </row>
    <row r="169">
      <c r="A169" t="s" s="0">
        <v>77</v>
      </c>
      <c r="B169" t="s" s="0">
        <v>77</v>
      </c>
      <c r="C169" t="s" s="0">
        <v>77</v>
      </c>
      <c r="D169" t="s" s="0">
        <v>77</v>
      </c>
      <c r="E169" t="s" s="0">
        <v>4095</v>
      </c>
      <c r="F169" t="s" s="0">
        <v>4096</v>
      </c>
      <c r="G169" t="s" s="0">
        <v>4097</v>
      </c>
      <c r="H169" t="s" s="0">
        <v>81</v>
      </c>
      <c r="I169" t="s" s="0">
        <v>82</v>
      </c>
      <c r="J169" t="s" s="0">
        <v>4098</v>
      </c>
      <c r="K169" t="s" s="0">
        <v>4099</v>
      </c>
      <c r="L169" t="s" s="0">
        <v>4100</v>
      </c>
      <c r="M169" t="s" s="0">
        <v>4101</v>
      </c>
      <c r="N169" t="s" s="0">
        <v>4102</v>
      </c>
      <c r="O169" t="s" s="0">
        <v>4103</v>
      </c>
      <c r="P169" t="s" s="0">
        <v>4104</v>
      </c>
      <c r="Q169" t="s" s="0">
        <v>90</v>
      </c>
      <c r="R169" t="s" s="0">
        <v>81</v>
      </c>
      <c r="S169" t="s" s="0">
        <v>81</v>
      </c>
      <c r="T169" t="s" s="0">
        <v>81</v>
      </c>
      <c r="U169" t="s" s="0">
        <v>81</v>
      </c>
      <c r="V169" t="s" s="0">
        <v>4105</v>
      </c>
      <c r="W169" t="s" s="0">
        <v>92</v>
      </c>
      <c r="X169" t="s" s="0">
        <v>81</v>
      </c>
      <c r="Y169" t="s" s="0">
        <v>81</v>
      </c>
      <c r="Z169" t="s" s="0">
        <v>93</v>
      </c>
      <c r="AA169" t="s" s="0">
        <v>94</v>
      </c>
      <c r="AB169" t="s" s="0">
        <v>81</v>
      </c>
      <c r="AC169" t="s" s="0">
        <v>81</v>
      </c>
      <c r="AD169" t="s" s="0">
        <v>81</v>
      </c>
      <c r="AE169" t="s" s="0">
        <v>81</v>
      </c>
      <c r="AF169" t="s" s="0">
        <v>81</v>
      </c>
      <c r="AG169" t="s" s="0">
        <v>4106</v>
      </c>
      <c r="AH169" t="s" s="0">
        <v>81</v>
      </c>
      <c r="AI169" t="s" s="0">
        <v>81</v>
      </c>
      <c r="AJ169" t="s" s="0">
        <v>81</v>
      </c>
      <c r="AK169" t="s" s="0">
        <v>81</v>
      </c>
      <c r="AL169" t="s" s="0">
        <v>2026</v>
      </c>
      <c r="AM169" t="s" s="0">
        <v>77</v>
      </c>
      <c r="AN169" t="s" s="0">
        <v>77</v>
      </c>
      <c r="AO169" t="s" s="0">
        <v>77</v>
      </c>
      <c r="AP169" t="s" s="0">
        <v>77</v>
      </c>
      <c r="AQ169" t="s" s="0">
        <v>103</v>
      </c>
      <c r="AR169" t="s" s="0">
        <v>104</v>
      </c>
      <c r="AS169" t="s" s="0">
        <v>105</v>
      </c>
      <c r="AT169" t="s" s="0">
        <v>1405</v>
      </c>
      <c r="AU169" t="s" s="0">
        <v>106</v>
      </c>
      <c r="AV169" t="s" s="0">
        <v>81</v>
      </c>
      <c r="AW169" t="s" s="0">
        <v>107</v>
      </c>
      <c r="AX169" t="s" s="0">
        <v>108</v>
      </c>
      <c r="AY169" t="s" s="0">
        <v>4107</v>
      </c>
      <c r="AZ169" t="s" s="0">
        <v>144</v>
      </c>
      <c r="BA169" t="s" s="0">
        <v>637</v>
      </c>
      <c r="BB169" t="s" s="0">
        <v>81</v>
      </c>
      <c r="BC169" t="s" s="0">
        <v>81</v>
      </c>
      <c r="BD169" t="s" s="0">
        <v>81</v>
      </c>
      <c r="BE169" t="s" s="0">
        <v>81</v>
      </c>
      <c r="BF169" t="s" s="0">
        <v>81</v>
      </c>
      <c r="BG169" t="s" s="0">
        <v>81</v>
      </c>
      <c r="BH169" t="s" s="0">
        <v>81</v>
      </c>
      <c r="BI169" t="s" s="0">
        <v>4108</v>
      </c>
      <c r="BJ169" t="s" s="0">
        <v>4109</v>
      </c>
      <c r="BK169" t="s" s="335">
        <f>HYPERLINK("http://dx.doi.org/10.2196/84086","http://dx.doi.org/10.2196/84086")</f>
        <v>4110</v>
      </c>
      <c r="BL169" t="s" s="0">
        <v>81</v>
      </c>
      <c r="BM169" t="s" s="0">
        <v>81</v>
      </c>
      <c r="BN169" t="s" s="0">
        <v>1118</v>
      </c>
      <c r="BO169" t="s" s="0">
        <v>116</v>
      </c>
      <c r="BP169" t="s" s="0">
        <v>116</v>
      </c>
      <c r="BQ169" t="s" s="0">
        <v>4111</v>
      </c>
      <c r="BR169" t="s" s="0">
        <v>4112</v>
      </c>
      <c r="BS169" t="s" s="0">
        <v>4113</v>
      </c>
      <c r="BT169" t="s" s="336">
        <f>HYPERLINK("https://www.webofscience.com/wos/woscc/full-record/WOS:001849575100011","View Record in Web of Science")</f>
        <v>120</v>
      </c>
      <c r="BU169" t="s" s="0">
        <v>121</v>
      </c>
      <c r="BV169" t="s" s="0">
        <v>81</v>
      </c>
      <c r="BW169" t="s" s="0">
        <v>81</v>
      </c>
      <c r="BX169" t="s" s="0">
        <v>122</v>
      </c>
    </row>
    <row r="170">
      <c r="A170" t="s" s="0">
        <v>77</v>
      </c>
      <c r="B170" t="s" s="0">
        <v>77</v>
      </c>
      <c r="C170" t="s" s="0">
        <v>77</v>
      </c>
      <c r="D170" t="s" s="0">
        <v>77</v>
      </c>
      <c r="E170" t="s" s="0">
        <v>4114</v>
      </c>
      <c r="F170" t="s" s="0">
        <v>4115</v>
      </c>
      <c r="G170" t="s" s="0">
        <v>4116</v>
      </c>
      <c r="H170" t="s" s="0">
        <v>81</v>
      </c>
      <c r="I170" t="s" s="0">
        <v>82</v>
      </c>
      <c r="J170" t="s" s="0">
        <v>4117</v>
      </c>
      <c r="K170" t="s" s="0">
        <v>4118</v>
      </c>
      <c r="L170" t="s" s="0">
        <v>4119</v>
      </c>
      <c r="M170" t="s" s="0">
        <v>4120</v>
      </c>
      <c r="N170" t="s" s="0">
        <v>81</v>
      </c>
      <c r="O170" t="s" s="0">
        <v>4121</v>
      </c>
      <c r="P170" t="s" s="0">
        <v>4122</v>
      </c>
      <c r="Q170" t="s" s="0">
        <v>90</v>
      </c>
      <c r="R170" t="s" s="0">
        <v>81</v>
      </c>
      <c r="S170" t="s" s="0">
        <v>81</v>
      </c>
      <c r="T170" t="s" s="0">
        <v>81</v>
      </c>
      <c r="U170" t="s" s="0">
        <v>81</v>
      </c>
      <c r="V170" t="s" s="0">
        <v>4123</v>
      </c>
      <c r="W170" t="s" s="0">
        <v>4124</v>
      </c>
      <c r="X170" t="s" s="0">
        <v>81</v>
      </c>
      <c r="Y170" t="s" s="0">
        <v>81</v>
      </c>
      <c r="Z170" t="s" s="0">
        <v>93</v>
      </c>
      <c r="AA170" t="s" s="0">
        <v>196</v>
      </c>
      <c r="AB170" t="s" s="0">
        <v>81</v>
      </c>
      <c r="AC170" t="s" s="0">
        <v>81</v>
      </c>
      <c r="AD170" t="s" s="0">
        <v>81</v>
      </c>
      <c r="AE170" t="s" s="0">
        <v>81</v>
      </c>
      <c r="AF170" t="s" s="0">
        <v>81</v>
      </c>
      <c r="AG170" t="s" s="0">
        <v>4125</v>
      </c>
      <c r="AH170" t="s" s="0">
        <v>81</v>
      </c>
      <c r="AI170" t="s" s="0">
        <v>4126</v>
      </c>
      <c r="AJ170" t="s" s="0">
        <v>81</v>
      </c>
      <c r="AK170" t="s" s="0">
        <v>81</v>
      </c>
      <c r="AL170" t="s" s="0">
        <v>526</v>
      </c>
      <c r="AM170" t="s" s="0">
        <v>77</v>
      </c>
      <c r="AN170" t="s" s="0">
        <v>77</v>
      </c>
      <c r="AO170" t="s" s="0">
        <v>77</v>
      </c>
      <c r="AP170" t="s" s="0">
        <v>77</v>
      </c>
      <c r="AQ170" t="s" s="0">
        <v>1544</v>
      </c>
      <c r="AR170" t="s" s="0">
        <v>1545</v>
      </c>
      <c r="AS170" t="s" s="0">
        <v>1546</v>
      </c>
      <c r="AT170" t="s" s="0">
        <v>4127</v>
      </c>
      <c r="AU170" t="s" s="0">
        <v>4128</v>
      </c>
      <c r="AV170" t="s" s="0">
        <v>81</v>
      </c>
      <c r="AW170" t="s" s="0">
        <v>4129</v>
      </c>
      <c r="AX170" t="s" s="0">
        <v>4130</v>
      </c>
      <c r="AY170" t="s" s="0">
        <v>81</v>
      </c>
      <c r="AZ170" t="s" s="0">
        <v>144</v>
      </c>
      <c r="BA170" t="s" s="0">
        <v>81</v>
      </c>
      <c r="BB170" t="s" s="0">
        <v>81</v>
      </c>
      <c r="BC170" t="s" s="0">
        <v>81</v>
      </c>
      <c r="BD170" t="s" s="0">
        <v>81</v>
      </c>
      <c r="BE170" t="s" s="0">
        <v>81</v>
      </c>
      <c r="BF170" t="s" s="0">
        <v>81</v>
      </c>
      <c r="BG170" t="s" s="0">
        <v>81</v>
      </c>
      <c r="BH170" t="s" s="0">
        <v>81</v>
      </c>
      <c r="BI170" t="s" s="0">
        <v>81</v>
      </c>
      <c r="BJ170" t="s" s="0">
        <v>4131</v>
      </c>
      <c r="BK170" t="s" s="337">
        <f>HYPERLINK("http://dx.doi.org/10.1002/jpn3.70502","http://dx.doi.org/10.1002/jpn3.70502")</f>
        <v>4132</v>
      </c>
      <c r="BL170" t="s" s="0">
        <v>81</v>
      </c>
      <c r="BM170" t="s" s="0">
        <v>143</v>
      </c>
      <c r="BN170" t="s" s="0">
        <v>210</v>
      </c>
      <c r="BO170" t="s" s="0">
        <v>4133</v>
      </c>
      <c r="BP170" t="s" s="0">
        <v>4133</v>
      </c>
      <c r="BQ170" t="s" s="0">
        <v>4134</v>
      </c>
      <c r="BR170" t="s" s="0">
        <v>4135</v>
      </c>
      <c r="BS170" t="s" s="0">
        <v>4136</v>
      </c>
      <c r="BT170" t="s" s="338">
        <f>HYPERLINK("https://www.webofscience.com/wos/woscc/full-record/WOS:001821245300001","View Record in Web of Science")</f>
        <v>120</v>
      </c>
      <c r="BU170" t="s" s="0">
        <v>81</v>
      </c>
      <c r="BV170" t="s" s="0">
        <v>81</v>
      </c>
      <c r="BW170" t="s" s="0">
        <v>81</v>
      </c>
      <c r="BX170" t="s" s="0">
        <v>122</v>
      </c>
    </row>
    <row r="171">
      <c r="A171" t="s" s="0">
        <v>554</v>
      </c>
      <c r="B171" t="s" s="0">
        <v>77</v>
      </c>
      <c r="C171" t="s" s="0">
        <v>99</v>
      </c>
      <c r="D171" t="s" s="0">
        <v>77</v>
      </c>
      <c r="E171" t="s" s="0">
        <v>4137</v>
      </c>
      <c r="F171" t="s" s="0">
        <v>4138</v>
      </c>
      <c r="G171" t="s" s="0">
        <v>4139</v>
      </c>
      <c r="H171" t="s" s="0">
        <v>81</v>
      </c>
      <c r="I171" t="s" s="0">
        <v>82</v>
      </c>
      <c r="J171" t="s" s="0">
        <v>4140</v>
      </c>
      <c r="K171" t="s" s="0">
        <v>4141</v>
      </c>
      <c r="L171" t="s" s="0">
        <v>4142</v>
      </c>
      <c r="M171" t="s" s="0">
        <v>4143</v>
      </c>
      <c r="N171" t="s" s="0">
        <v>4144</v>
      </c>
      <c r="O171" t="s" s="0">
        <v>4145</v>
      </c>
      <c r="P171" t="s" s="0">
        <v>4146</v>
      </c>
      <c r="Q171" t="s" s="0">
        <v>90</v>
      </c>
      <c r="R171" t="s" s="0">
        <v>81</v>
      </c>
      <c r="S171" t="s" s="0">
        <v>81</v>
      </c>
      <c r="T171" t="s" s="0">
        <v>81</v>
      </c>
      <c r="U171" t="s" s="0">
        <v>81</v>
      </c>
      <c r="V171" t="s" s="0">
        <v>4147</v>
      </c>
      <c r="W171" t="s" s="0">
        <v>4148</v>
      </c>
      <c r="X171" t="s" s="0">
        <v>81</v>
      </c>
      <c r="Y171" t="s" s="0">
        <v>81</v>
      </c>
      <c r="Z171" t="s" s="0">
        <v>93</v>
      </c>
      <c r="AA171" t="s" s="0">
        <v>94</v>
      </c>
      <c r="AB171" t="s" s="0">
        <v>81</v>
      </c>
      <c r="AC171" t="s" s="0">
        <v>81</v>
      </c>
      <c r="AD171" t="s" s="0">
        <v>81</v>
      </c>
      <c r="AE171" t="s" s="0">
        <v>81</v>
      </c>
      <c r="AF171" t="s" s="0">
        <v>81</v>
      </c>
      <c r="AG171" t="s" s="0">
        <v>4149</v>
      </c>
      <c r="AH171" t="s" s="0">
        <v>81</v>
      </c>
      <c r="AI171" t="s" s="0">
        <v>4150</v>
      </c>
      <c r="AJ171" t="s" s="0">
        <v>4151</v>
      </c>
      <c r="AK171" t="s" s="0">
        <v>81</v>
      </c>
      <c r="AL171" t="s" s="0">
        <v>352</v>
      </c>
      <c r="AM171" t="s" s="0">
        <v>581</v>
      </c>
      <c r="AN171" t="s" s="0">
        <v>3391</v>
      </c>
      <c r="AO171" t="s" s="0">
        <v>99</v>
      </c>
      <c r="AP171" t="s" s="0">
        <v>412</v>
      </c>
      <c r="AQ171" t="s" s="0">
        <v>499</v>
      </c>
      <c r="AR171" t="s" s="0">
        <v>500</v>
      </c>
      <c r="AS171" t="s" s="0">
        <v>501</v>
      </c>
      <c r="AT171" t="s" s="0">
        <v>4152</v>
      </c>
      <c r="AU171" t="s" s="0">
        <v>4153</v>
      </c>
      <c r="AV171" t="s" s="0">
        <v>81</v>
      </c>
      <c r="AW171" t="s" s="0">
        <v>4154</v>
      </c>
      <c r="AX171" t="s" s="0">
        <v>4155</v>
      </c>
      <c r="AY171" t="s" s="0">
        <v>1778</v>
      </c>
      <c r="AZ171" t="s" s="0">
        <v>110</v>
      </c>
      <c r="BA171" t="s" s="0">
        <v>944</v>
      </c>
      <c r="BB171" t="s" s="0">
        <v>99</v>
      </c>
      <c r="BC171" t="s" s="0">
        <v>81</v>
      </c>
      <c r="BD171" t="s" s="0">
        <v>81</v>
      </c>
      <c r="BE171" t="s" s="0">
        <v>81</v>
      </c>
      <c r="BF171" t="s" s="0">
        <v>81</v>
      </c>
      <c r="BG171" t="s" s="0">
        <v>4156</v>
      </c>
      <c r="BH171" t="s" s="0">
        <v>4157</v>
      </c>
      <c r="BI171" t="s" s="0">
        <v>81</v>
      </c>
      <c r="BJ171" t="s" s="0">
        <v>4158</v>
      </c>
      <c r="BK171" t="s" s="339">
        <f>HYPERLINK("http://dx.doi.org/10.1007/s11604-024-01705-1","http://dx.doi.org/10.1007/s11604-024-01705-1")</f>
        <v>4159</v>
      </c>
      <c r="BL171" t="s" s="0">
        <v>81</v>
      </c>
      <c r="BM171" t="s" s="0">
        <v>3123</v>
      </c>
      <c r="BN171" t="s" s="0">
        <v>386</v>
      </c>
      <c r="BO171" t="s" s="0">
        <v>182</v>
      </c>
      <c r="BP171" t="s" s="0">
        <v>182</v>
      </c>
      <c r="BQ171" t="s" s="0">
        <v>4160</v>
      </c>
      <c r="BR171" t="s" s="0">
        <v>4161</v>
      </c>
      <c r="BS171" t="s" s="0">
        <v>4162</v>
      </c>
      <c r="BT171" t="s" s="340">
        <f>HYPERLINK("https://www.webofscience.com/wos/woscc/full-record/WOS:001362633800001","View Record in Web of Science")</f>
        <v>120</v>
      </c>
      <c r="BU171" t="s" s="0">
        <v>81</v>
      </c>
      <c r="BV171" t="s" s="0">
        <v>81</v>
      </c>
      <c r="BW171" t="s" s="0">
        <v>81</v>
      </c>
      <c r="BX171" t="s" s="0">
        <v>122</v>
      </c>
    </row>
    <row r="172">
      <c r="A172" t="s" s="0">
        <v>77</v>
      </c>
      <c r="B172" t="s" s="0">
        <v>77</v>
      </c>
      <c r="C172" t="s" s="0">
        <v>77</v>
      </c>
      <c r="D172" t="s" s="0">
        <v>77</v>
      </c>
      <c r="E172" t="s" s="0">
        <v>4163</v>
      </c>
      <c r="F172" t="s" s="0">
        <v>4164</v>
      </c>
      <c r="G172" t="s" s="0">
        <v>4165</v>
      </c>
      <c r="H172" t="s" s="0">
        <v>81</v>
      </c>
      <c r="I172" t="s" s="0">
        <v>218</v>
      </c>
      <c r="J172" t="s" s="0">
        <v>81</v>
      </c>
      <c r="K172" t="s" s="0">
        <v>4166</v>
      </c>
      <c r="L172" t="s" s="0">
        <v>81</v>
      </c>
      <c r="M172" t="s" s="0">
        <v>81</v>
      </c>
      <c r="N172" t="s" s="0">
        <v>81</v>
      </c>
      <c r="O172" t="s" s="0">
        <v>81</v>
      </c>
      <c r="P172" t="s" s="0">
        <v>81</v>
      </c>
      <c r="Q172" t="s" s="0">
        <v>90</v>
      </c>
      <c r="R172" t="s" s="0">
        <v>81</v>
      </c>
      <c r="S172" t="s" s="0">
        <v>81</v>
      </c>
      <c r="T172" t="s" s="0">
        <v>81</v>
      </c>
      <c r="U172" t="s" s="0">
        <v>81</v>
      </c>
      <c r="V172" t="s" s="0">
        <v>4167</v>
      </c>
      <c r="W172" t="s" s="0">
        <v>4168</v>
      </c>
      <c r="X172" t="s" s="0">
        <v>81</v>
      </c>
      <c r="Y172" t="s" s="0">
        <v>81</v>
      </c>
      <c r="Z172" t="s" s="0">
        <v>93</v>
      </c>
      <c r="AA172" t="s" s="0">
        <v>94</v>
      </c>
      <c r="AB172" t="s" s="0">
        <v>81</v>
      </c>
      <c r="AC172" t="s" s="0">
        <v>81</v>
      </c>
      <c r="AD172" t="s" s="0">
        <v>81</v>
      </c>
      <c r="AE172" t="s" s="0">
        <v>81</v>
      </c>
      <c r="AF172" t="s" s="0">
        <v>81</v>
      </c>
      <c r="AG172" t="s" s="0">
        <v>4169</v>
      </c>
      <c r="AH172" t="s" s="0">
        <v>81</v>
      </c>
      <c r="AI172" t="s" s="0">
        <v>81</v>
      </c>
      <c r="AJ172" t="s" s="0">
        <v>81</v>
      </c>
      <c r="AK172" t="s" s="0">
        <v>81</v>
      </c>
      <c r="AL172" t="s" s="0">
        <v>101</v>
      </c>
      <c r="AM172" t="s" s="0">
        <v>77</v>
      </c>
      <c r="AN172" t="s" s="0">
        <v>77</v>
      </c>
      <c r="AO172" t="s" s="0">
        <v>77</v>
      </c>
      <c r="AP172" t="s" s="0">
        <v>77</v>
      </c>
      <c r="AQ172" t="s" s="0">
        <v>4170</v>
      </c>
      <c r="AR172" t="s" s="0">
        <v>4171</v>
      </c>
      <c r="AS172" t="s" s="0">
        <v>4172</v>
      </c>
      <c r="AT172" t="s" s="0">
        <v>4173</v>
      </c>
      <c r="AU172" t="s" s="0">
        <v>4174</v>
      </c>
      <c r="AV172" t="s" s="0">
        <v>81</v>
      </c>
      <c r="AW172" t="s" s="0">
        <v>4175</v>
      </c>
      <c r="AX172" t="s" s="0">
        <v>4176</v>
      </c>
      <c r="AY172" t="s" s="0">
        <v>4177</v>
      </c>
      <c r="AZ172" t="s" s="0">
        <v>144</v>
      </c>
      <c r="BA172" t="s" s="0">
        <v>2229</v>
      </c>
      <c r="BB172" t="s" s="0">
        <v>81</v>
      </c>
      <c r="BC172" t="s" s="0">
        <v>81</v>
      </c>
      <c r="BD172" t="s" s="0">
        <v>81</v>
      </c>
      <c r="BE172" t="s" s="0">
        <v>81</v>
      </c>
      <c r="BF172" t="s" s="0">
        <v>81</v>
      </c>
      <c r="BG172" t="s" s="0">
        <v>81</v>
      </c>
      <c r="BH172" t="s" s="0">
        <v>81</v>
      </c>
      <c r="BI172" t="s" s="0">
        <v>4178</v>
      </c>
      <c r="BJ172" t="s" s="0">
        <v>4179</v>
      </c>
      <c r="BK172" t="s" s="341">
        <f>HYPERLINK("http://dx.doi.org/10.5269/bspm.82946","http://dx.doi.org/10.5269/bspm.82946")</f>
        <v>4180</v>
      </c>
      <c r="BL172" t="s" s="0">
        <v>81</v>
      </c>
      <c r="BM172" t="s" s="0">
        <v>81</v>
      </c>
      <c r="BN172" t="s" s="0">
        <v>101</v>
      </c>
      <c r="BO172" t="s" s="0">
        <v>4181</v>
      </c>
      <c r="BP172" t="s" s="0">
        <v>4181</v>
      </c>
      <c r="BQ172" t="s" s="0">
        <v>4182</v>
      </c>
      <c r="BR172" t="s" s="0">
        <v>81</v>
      </c>
      <c r="BS172" t="s" s="0">
        <v>4183</v>
      </c>
      <c r="BT172" t="s" s="342">
        <f>HYPERLINK("https://www.webofscience.com/wos/woscc/full-record/WOS:001841932600004","View Record in Web of Science")</f>
        <v>120</v>
      </c>
      <c r="BU172" t="s" s="0">
        <v>81</v>
      </c>
      <c r="BV172" t="s" s="0">
        <v>81</v>
      </c>
      <c r="BW172" t="s" s="0">
        <v>81</v>
      </c>
      <c r="BX172" t="s" s="0">
        <v>122</v>
      </c>
    </row>
    <row r="173">
      <c r="A173" t="s" s="0">
        <v>77</v>
      </c>
      <c r="B173" t="s" s="0">
        <v>77</v>
      </c>
      <c r="C173" t="s" s="0">
        <v>77</v>
      </c>
      <c r="D173" t="s" s="0">
        <v>77</v>
      </c>
      <c r="E173" t="s" s="0">
        <v>4184</v>
      </c>
      <c r="F173" t="s" s="0">
        <v>4185</v>
      </c>
      <c r="G173" t="s" s="0">
        <v>4186</v>
      </c>
      <c r="H173" t="s" s="0">
        <v>81</v>
      </c>
      <c r="I173" t="s" s="0">
        <v>218</v>
      </c>
      <c r="J173" t="s" s="0">
        <v>4187</v>
      </c>
      <c r="K173" t="s" s="0">
        <v>4188</v>
      </c>
      <c r="L173" t="s" s="0">
        <v>4189</v>
      </c>
      <c r="M173" t="s" s="0">
        <v>4190</v>
      </c>
      <c r="N173" t="s" s="0">
        <v>4191</v>
      </c>
      <c r="O173" t="s" s="0">
        <v>4192</v>
      </c>
      <c r="P173" t="s" s="0">
        <v>4193</v>
      </c>
      <c r="Q173" t="s" s="0">
        <v>90</v>
      </c>
      <c r="R173" t="s" s="0">
        <v>81</v>
      </c>
      <c r="S173" t="s" s="0">
        <v>81</v>
      </c>
      <c r="T173" t="s" s="0">
        <v>81</v>
      </c>
      <c r="U173" t="s" s="0">
        <v>81</v>
      </c>
      <c r="V173" t="s" s="0">
        <v>4194</v>
      </c>
      <c r="W173" t="s" s="0">
        <v>4195</v>
      </c>
      <c r="X173" t="s" s="0">
        <v>81</v>
      </c>
      <c r="Y173" t="s" s="0">
        <v>81</v>
      </c>
      <c r="Z173" t="s" s="0">
        <v>93</v>
      </c>
      <c r="AA173" t="s" s="0">
        <v>94</v>
      </c>
      <c r="AB173" t="s" s="0">
        <v>81</v>
      </c>
      <c r="AC173" t="s" s="0">
        <v>81</v>
      </c>
      <c r="AD173" t="s" s="0">
        <v>81</v>
      </c>
      <c r="AE173" t="s" s="0">
        <v>81</v>
      </c>
      <c r="AF173" t="s" s="0">
        <v>81</v>
      </c>
      <c r="AG173" t="s" s="0">
        <v>4196</v>
      </c>
      <c r="AH173" t="s" s="0">
        <v>81</v>
      </c>
      <c r="AI173" t="s" s="0">
        <v>81</v>
      </c>
      <c r="AJ173" t="s" s="0">
        <v>81</v>
      </c>
      <c r="AK173" t="s" s="0">
        <v>81</v>
      </c>
      <c r="AL173" t="s" s="0">
        <v>261</v>
      </c>
      <c r="AM173" t="s" s="0">
        <v>452</v>
      </c>
      <c r="AN173" t="s" s="0">
        <v>386</v>
      </c>
      <c r="AO173" t="s" s="0">
        <v>386</v>
      </c>
      <c r="AP173" t="s" s="0">
        <v>509</v>
      </c>
      <c r="AQ173" t="s" s="0">
        <v>288</v>
      </c>
      <c r="AR173" t="s" s="0">
        <v>289</v>
      </c>
      <c r="AS173" t="s" s="0">
        <v>290</v>
      </c>
      <c r="AT173" t="s" s="0">
        <v>4197</v>
      </c>
      <c r="AU173" t="s" s="0">
        <v>81</v>
      </c>
      <c r="AV173" t="s" s="0">
        <v>81</v>
      </c>
      <c r="AW173" t="s" s="0">
        <v>4198</v>
      </c>
      <c r="AX173" t="s" s="0">
        <v>4199</v>
      </c>
      <c r="AY173" t="s" s="0">
        <v>300</v>
      </c>
      <c r="AZ173" t="s" s="0">
        <v>110</v>
      </c>
      <c r="BA173" t="s" s="0">
        <v>637</v>
      </c>
      <c r="BB173" t="s" s="0">
        <v>81</v>
      </c>
      <c r="BC173" t="s" s="0">
        <v>81</v>
      </c>
      <c r="BD173" t="s" s="0">
        <v>81</v>
      </c>
      <c r="BE173" t="s" s="0">
        <v>81</v>
      </c>
      <c r="BF173" t="s" s="0">
        <v>81</v>
      </c>
      <c r="BG173" t="s" s="0">
        <v>81</v>
      </c>
      <c r="BH173" t="s" s="0">
        <v>81</v>
      </c>
      <c r="BI173" t="s" s="0">
        <v>4200</v>
      </c>
      <c r="BJ173" t="s" s="0">
        <v>4201</v>
      </c>
      <c r="BK173" t="s" s="343">
        <f>HYPERLINK("http://dx.doi.org/10.1016/j.array.2025.100504","http://dx.doi.org/10.1016/j.array.2025.100504")</f>
        <v>4202</v>
      </c>
      <c r="BL173" t="s" s="0">
        <v>81</v>
      </c>
      <c r="BM173" t="s" s="0">
        <v>666</v>
      </c>
      <c r="BN173" t="s" s="0">
        <v>102</v>
      </c>
      <c r="BO173" t="s" s="0">
        <v>4203</v>
      </c>
      <c r="BP173" t="s" s="0">
        <v>303</v>
      </c>
      <c r="BQ173" t="s" s="0">
        <v>4204</v>
      </c>
      <c r="BR173" t="s" s="0">
        <v>81</v>
      </c>
      <c r="BS173" t="s" s="0">
        <v>4205</v>
      </c>
      <c r="BT173" t="s" s="344">
        <f>HYPERLINK("https://www.webofscience.com/wos/woscc/full-record/WOS:001583751600001","View Record in Web of Science")</f>
        <v>120</v>
      </c>
      <c r="BU173" t="s" s="0">
        <v>121</v>
      </c>
      <c r="BV173" t="s" s="0">
        <v>81</v>
      </c>
      <c r="BW173" t="s" s="0">
        <v>81</v>
      </c>
      <c r="BX173" t="s" s="0">
        <v>122</v>
      </c>
    </row>
    <row r="174">
      <c r="A174" t="s" s="0">
        <v>77</v>
      </c>
      <c r="B174" t="s" s="0">
        <v>77</v>
      </c>
      <c r="C174" t="s" s="0">
        <v>169</v>
      </c>
      <c r="D174" t="s" s="0">
        <v>77</v>
      </c>
      <c r="E174" t="s" s="0">
        <v>4206</v>
      </c>
      <c r="F174" t="s" s="0">
        <v>4207</v>
      </c>
      <c r="G174" t="s" s="0">
        <v>4208</v>
      </c>
      <c r="H174" t="s" s="0">
        <v>81</v>
      </c>
      <c r="I174" t="s" s="0">
        <v>82</v>
      </c>
      <c r="J174" t="s" s="0">
        <v>4209</v>
      </c>
      <c r="K174" t="s" s="0">
        <v>4210</v>
      </c>
      <c r="L174" t="s" s="0">
        <v>4211</v>
      </c>
      <c r="M174" t="s" s="0">
        <v>4212</v>
      </c>
      <c r="N174" t="s" s="0">
        <v>4213</v>
      </c>
      <c r="O174" t="s" s="0">
        <v>4214</v>
      </c>
      <c r="P174" t="s" s="0">
        <v>4215</v>
      </c>
      <c r="Q174" t="s" s="0">
        <v>90</v>
      </c>
      <c r="R174" t="s" s="0">
        <v>81</v>
      </c>
      <c r="S174" t="s" s="0">
        <v>81</v>
      </c>
      <c r="T174" t="s" s="0">
        <v>81</v>
      </c>
      <c r="U174" t="s" s="0">
        <v>81</v>
      </c>
      <c r="V174" t="s" s="0">
        <v>4216</v>
      </c>
      <c r="W174" t="s" s="0">
        <v>4217</v>
      </c>
      <c r="X174" t="s" s="0">
        <v>81</v>
      </c>
      <c r="Y174" t="s" s="0">
        <v>81</v>
      </c>
      <c r="Z174" t="s" s="0">
        <v>93</v>
      </c>
      <c r="AA174" t="s" s="0">
        <v>94</v>
      </c>
      <c r="AB174" t="s" s="0">
        <v>81</v>
      </c>
      <c r="AC174" t="s" s="0">
        <v>81</v>
      </c>
      <c r="AD174" t="s" s="0">
        <v>81</v>
      </c>
      <c r="AE174" t="s" s="0">
        <v>81</v>
      </c>
      <c r="AF174" t="s" s="0">
        <v>81</v>
      </c>
      <c r="AG174" t="s" s="0">
        <v>4218</v>
      </c>
      <c r="AH174" t="s" s="0">
        <v>4219</v>
      </c>
      <c r="AI174" t="s" s="0">
        <v>4220</v>
      </c>
      <c r="AJ174" t="s" s="0">
        <v>81</v>
      </c>
      <c r="AK174" t="s" s="0">
        <v>81</v>
      </c>
      <c r="AL174" t="s" s="0">
        <v>797</v>
      </c>
      <c r="AM174" t="s" s="0">
        <v>386</v>
      </c>
      <c r="AN174" t="s" s="0">
        <v>386</v>
      </c>
      <c r="AO174" t="s" s="0">
        <v>101</v>
      </c>
      <c r="AP174" t="s" s="0">
        <v>102</v>
      </c>
      <c r="AQ174" t="s" s="0">
        <v>439</v>
      </c>
      <c r="AR174" t="s" s="0">
        <v>201</v>
      </c>
      <c r="AS174" t="s" s="0">
        <v>440</v>
      </c>
      <c r="AT174" t="s" s="0">
        <v>81</v>
      </c>
      <c r="AU174" t="s" s="0">
        <v>4221</v>
      </c>
      <c r="AV174" t="s" s="0">
        <v>81</v>
      </c>
      <c r="AW174" t="s" s="0">
        <v>4222</v>
      </c>
      <c r="AX174" t="s" s="0">
        <v>4223</v>
      </c>
      <c r="AY174" t="s" s="0">
        <v>4224</v>
      </c>
      <c r="AZ174" t="s" s="0">
        <v>110</v>
      </c>
      <c r="BA174" t="s" s="0">
        <v>352</v>
      </c>
      <c r="BB174" t="s" s="0">
        <v>169</v>
      </c>
      <c r="BC174" t="s" s="0">
        <v>81</v>
      </c>
      <c r="BD174" t="s" s="0">
        <v>81</v>
      </c>
      <c r="BE174" t="s" s="0">
        <v>81</v>
      </c>
      <c r="BF174" t="s" s="0">
        <v>81</v>
      </c>
      <c r="BG174" t="s" s="0">
        <v>81</v>
      </c>
      <c r="BH174" t="s" s="0">
        <v>81</v>
      </c>
      <c r="BI174" t="s" s="0">
        <v>2270</v>
      </c>
      <c r="BJ174" t="s" s="0">
        <v>4225</v>
      </c>
      <c r="BK174" t="s" s="345">
        <f>HYPERLINK("http://dx.doi.org/10.1186/s13014-025-02660-5","http://dx.doi.org/10.1186/s13014-025-02660-5")</f>
        <v>4226</v>
      </c>
      <c r="BL174" t="s" s="0">
        <v>81</v>
      </c>
      <c r="BM174" t="s" s="0">
        <v>81</v>
      </c>
      <c r="BN174" t="s" s="0">
        <v>115</v>
      </c>
      <c r="BO174" t="s" s="0">
        <v>4227</v>
      </c>
      <c r="BP174" t="s" s="0">
        <v>4227</v>
      </c>
      <c r="BQ174" t="s" s="0">
        <v>4228</v>
      </c>
      <c r="BR174" t="s" s="0">
        <v>4229</v>
      </c>
      <c r="BS174" t="s" s="0">
        <v>4230</v>
      </c>
      <c r="BT174" t="s" s="346">
        <f>HYPERLINK("https://www.webofscience.com/wos/woscc/full-record/WOS:001489386700002","View Record in Web of Science")</f>
        <v>120</v>
      </c>
      <c r="BU174" t="s" s="0">
        <v>121</v>
      </c>
      <c r="BV174" t="s" s="0">
        <v>81</v>
      </c>
      <c r="BW174" t="s" s="0">
        <v>81</v>
      </c>
      <c r="BX174" t="s" s="0">
        <v>122</v>
      </c>
    </row>
    <row r="175">
      <c r="A175" t="s" s="0">
        <v>77</v>
      </c>
      <c r="B175" t="s" s="0">
        <v>77</v>
      </c>
      <c r="C175" t="s" s="0">
        <v>77</v>
      </c>
      <c r="D175" t="s" s="0">
        <v>77</v>
      </c>
      <c r="E175" t="s" s="0">
        <v>4231</v>
      </c>
      <c r="F175" t="s" s="0">
        <v>4232</v>
      </c>
      <c r="G175" t="s" s="0">
        <v>4233</v>
      </c>
      <c r="H175" t="s" s="0">
        <v>81</v>
      </c>
      <c r="I175" t="s" s="0">
        <v>82</v>
      </c>
      <c r="J175" t="s" s="0">
        <v>4234</v>
      </c>
      <c r="K175" t="s" s="0">
        <v>4235</v>
      </c>
      <c r="L175" t="s" s="0">
        <v>4236</v>
      </c>
      <c r="M175" t="s" s="0">
        <v>4237</v>
      </c>
      <c r="N175" t="s" s="0">
        <v>4238</v>
      </c>
      <c r="O175" t="s" s="0">
        <v>4239</v>
      </c>
      <c r="P175" t="s" s="0">
        <v>4240</v>
      </c>
      <c r="Q175" t="s" s="0">
        <v>90</v>
      </c>
      <c r="R175" t="s" s="0">
        <v>81</v>
      </c>
      <c r="S175" t="s" s="0">
        <v>81</v>
      </c>
      <c r="T175" t="s" s="0">
        <v>81</v>
      </c>
      <c r="U175" t="s" s="0">
        <v>81</v>
      </c>
      <c r="V175" t="s" s="0">
        <v>4241</v>
      </c>
      <c r="W175" t="s" s="0">
        <v>92</v>
      </c>
      <c r="X175" t="s" s="0">
        <v>81</v>
      </c>
      <c r="Y175" t="s" s="0">
        <v>81</v>
      </c>
      <c r="Z175" t="s" s="0">
        <v>93</v>
      </c>
      <c r="AA175" t="s" s="0">
        <v>94</v>
      </c>
      <c r="AB175" t="s" s="0">
        <v>81</v>
      </c>
      <c r="AC175" t="s" s="0">
        <v>81</v>
      </c>
      <c r="AD175" t="s" s="0">
        <v>81</v>
      </c>
      <c r="AE175" t="s" s="0">
        <v>81</v>
      </c>
      <c r="AF175" t="s" s="0">
        <v>81</v>
      </c>
      <c r="AG175" t="s" s="0">
        <v>4242</v>
      </c>
      <c r="AH175" t="s" s="0">
        <v>81</v>
      </c>
      <c r="AI175" t="s" s="0">
        <v>4243</v>
      </c>
      <c r="AJ175" t="s" s="0">
        <v>4244</v>
      </c>
      <c r="AK175" t="s" s="0">
        <v>81</v>
      </c>
      <c r="AL175" t="s" s="0">
        <v>239</v>
      </c>
      <c r="AM175" t="s" s="0">
        <v>77</v>
      </c>
      <c r="AN175" t="s" s="0">
        <v>77</v>
      </c>
      <c r="AO175" t="s" s="0">
        <v>77</v>
      </c>
      <c r="AP175" t="s" s="0">
        <v>77</v>
      </c>
      <c r="AQ175" t="s" s="0">
        <v>103</v>
      </c>
      <c r="AR175" t="s" s="0">
        <v>104</v>
      </c>
      <c r="AS175" t="s" s="0">
        <v>105</v>
      </c>
      <c r="AT175" t="s" s="0">
        <v>1405</v>
      </c>
      <c r="AU175" t="s" s="0">
        <v>106</v>
      </c>
      <c r="AV175" t="s" s="0">
        <v>81</v>
      </c>
      <c r="AW175" t="s" s="0">
        <v>107</v>
      </c>
      <c r="AX175" t="s" s="0">
        <v>108</v>
      </c>
      <c r="AY175" t="s" s="0">
        <v>4245</v>
      </c>
      <c r="AZ175" t="s" s="0">
        <v>144</v>
      </c>
      <c r="BA175" t="s" s="0">
        <v>637</v>
      </c>
      <c r="BB175" t="s" s="0">
        <v>81</v>
      </c>
      <c r="BC175" t="s" s="0">
        <v>81</v>
      </c>
      <c r="BD175" t="s" s="0">
        <v>81</v>
      </c>
      <c r="BE175" t="s" s="0">
        <v>81</v>
      </c>
      <c r="BF175" t="s" s="0">
        <v>81</v>
      </c>
      <c r="BG175" t="s" s="0">
        <v>81</v>
      </c>
      <c r="BH175" t="s" s="0">
        <v>81</v>
      </c>
      <c r="BI175" t="s" s="0">
        <v>4246</v>
      </c>
      <c r="BJ175" t="s" s="0">
        <v>4247</v>
      </c>
      <c r="BK175" t="s" s="347">
        <f>HYPERLINK("http://dx.doi.org/10.2196/82579","http://dx.doi.org/10.2196/82579")</f>
        <v>4248</v>
      </c>
      <c r="BL175" t="s" s="0">
        <v>81</v>
      </c>
      <c r="BM175" t="s" s="0">
        <v>81</v>
      </c>
      <c r="BN175" t="s" s="0">
        <v>320</v>
      </c>
      <c r="BO175" t="s" s="0">
        <v>116</v>
      </c>
      <c r="BP175" t="s" s="0">
        <v>116</v>
      </c>
      <c r="BQ175" t="s" s="0">
        <v>4249</v>
      </c>
      <c r="BR175" t="s" s="0">
        <v>4250</v>
      </c>
      <c r="BS175" t="s" s="0">
        <v>4251</v>
      </c>
      <c r="BT175" t="s" s="348">
        <f>HYPERLINK("https://www.webofscience.com/wos/woscc/full-record/WOS:001741259900001","View Record in Web of Science")</f>
        <v>120</v>
      </c>
      <c r="BU175" t="s" s="0">
        <v>121</v>
      </c>
      <c r="BV175" t="s" s="0">
        <v>81</v>
      </c>
      <c r="BW175" t="s" s="0">
        <v>81</v>
      </c>
      <c r="BX175" t="s" s="0">
        <v>122</v>
      </c>
    </row>
    <row r="176">
      <c r="A176" t="s" s="0">
        <v>77</v>
      </c>
      <c r="B176" t="s" s="0">
        <v>77</v>
      </c>
      <c r="C176" t="s" s="0">
        <v>77</v>
      </c>
      <c r="D176" t="s" s="0">
        <v>77</v>
      </c>
      <c r="E176" t="s" s="0">
        <v>4252</v>
      </c>
      <c r="F176" t="s" s="0">
        <v>4253</v>
      </c>
      <c r="G176" t="s" s="0">
        <v>4254</v>
      </c>
      <c r="H176" t="s" s="0">
        <v>81</v>
      </c>
      <c r="I176" t="s" s="0">
        <v>82</v>
      </c>
      <c r="J176" t="s" s="0">
        <v>4255</v>
      </c>
      <c r="K176" t="s" s="0">
        <v>4256</v>
      </c>
      <c r="L176" t="s" s="0">
        <v>81</v>
      </c>
      <c r="M176" t="s" s="0">
        <v>81</v>
      </c>
      <c r="N176" t="s" s="0">
        <v>81</v>
      </c>
      <c r="O176" t="s" s="0">
        <v>4257</v>
      </c>
      <c r="P176" t="s" s="0">
        <v>4258</v>
      </c>
      <c r="Q176" t="s" s="0">
        <v>90</v>
      </c>
      <c r="R176" t="s" s="0">
        <v>81</v>
      </c>
      <c r="S176" t="s" s="0">
        <v>81</v>
      </c>
      <c r="T176" t="s" s="0">
        <v>81</v>
      </c>
      <c r="U176" t="s" s="0">
        <v>81</v>
      </c>
      <c r="V176" t="s" s="0">
        <v>4259</v>
      </c>
      <c r="W176" t="s" s="0">
        <v>4260</v>
      </c>
      <c r="X176" t="s" s="0">
        <v>81</v>
      </c>
      <c r="Y176" t="s" s="0">
        <v>81</v>
      </c>
      <c r="Z176" t="s" s="0">
        <v>93</v>
      </c>
      <c r="AA176" t="s" s="0">
        <v>196</v>
      </c>
      <c r="AB176" t="s" s="0">
        <v>81</v>
      </c>
      <c r="AC176" t="s" s="0">
        <v>81</v>
      </c>
      <c r="AD176" t="s" s="0">
        <v>81</v>
      </c>
      <c r="AE176" t="s" s="0">
        <v>81</v>
      </c>
      <c r="AF176" t="s" s="0">
        <v>81</v>
      </c>
      <c r="AG176" t="s" s="0">
        <v>4261</v>
      </c>
      <c r="AH176" t="s" s="0">
        <v>81</v>
      </c>
      <c r="AI176" t="s" s="0">
        <v>4262</v>
      </c>
      <c r="AJ176" t="s" s="0">
        <v>81</v>
      </c>
      <c r="AK176" t="s" s="0">
        <v>81</v>
      </c>
      <c r="AL176" t="s" s="0">
        <v>301</v>
      </c>
      <c r="AM176" t="s" s="0">
        <v>77</v>
      </c>
      <c r="AN176" t="s" s="0">
        <v>77</v>
      </c>
      <c r="AO176" t="s" s="0">
        <v>169</v>
      </c>
      <c r="AP176" t="s" s="0">
        <v>169</v>
      </c>
      <c r="AQ176" t="s" s="0">
        <v>1544</v>
      </c>
      <c r="AR176" t="s" s="0">
        <v>1545</v>
      </c>
      <c r="AS176" t="s" s="0">
        <v>1546</v>
      </c>
      <c r="AT176" t="s" s="0">
        <v>4263</v>
      </c>
      <c r="AU176" t="s" s="0">
        <v>4264</v>
      </c>
      <c r="AV176" t="s" s="0">
        <v>81</v>
      </c>
      <c r="AW176" t="s" s="0">
        <v>4265</v>
      </c>
      <c r="AX176" t="s" s="0">
        <v>4266</v>
      </c>
      <c r="AY176" t="s" s="0">
        <v>81</v>
      </c>
      <c r="AZ176" t="s" s="0">
        <v>144</v>
      </c>
      <c r="BA176" t="s" s="0">
        <v>81</v>
      </c>
      <c r="BB176" t="s" s="0">
        <v>81</v>
      </c>
      <c r="BC176" t="s" s="0">
        <v>81</v>
      </c>
      <c r="BD176" t="s" s="0">
        <v>81</v>
      </c>
      <c r="BE176" t="s" s="0">
        <v>81</v>
      </c>
      <c r="BF176" t="s" s="0">
        <v>81</v>
      </c>
      <c r="BG176" t="s" s="0">
        <v>81</v>
      </c>
      <c r="BH176" t="s" s="0">
        <v>81</v>
      </c>
      <c r="BI176" t="s" s="0">
        <v>81</v>
      </c>
      <c r="BJ176" t="s" s="0">
        <v>4267</v>
      </c>
      <c r="BK176" t="s" s="349">
        <f>HYPERLINK("http://dx.doi.org/10.1002/ca.70187","http://dx.doi.org/10.1002/ca.70187")</f>
        <v>4268</v>
      </c>
      <c r="BL176" t="s" s="0">
        <v>81</v>
      </c>
      <c r="BM176" t="s" s="0">
        <v>143</v>
      </c>
      <c r="BN176" t="s" s="0">
        <v>102</v>
      </c>
      <c r="BO176" t="s" s="0">
        <v>4269</v>
      </c>
      <c r="BP176" t="s" s="0">
        <v>4269</v>
      </c>
      <c r="BQ176" t="s" s="0">
        <v>4270</v>
      </c>
      <c r="BR176" t="s" s="0">
        <v>4271</v>
      </c>
      <c r="BS176" t="s" s="0">
        <v>4272</v>
      </c>
      <c r="BT176" t="s" s="350">
        <f>HYPERLINK("https://www.webofscience.com/wos/woscc/full-record/WOS:001820742400001","View Record in Web of Science")</f>
        <v>120</v>
      </c>
      <c r="BU176" t="s" s="0">
        <v>81</v>
      </c>
      <c r="BV176" t="s" s="0">
        <v>81</v>
      </c>
      <c r="BW176" t="s" s="0">
        <v>81</v>
      </c>
      <c r="BX176" t="s" s="0">
        <v>122</v>
      </c>
    </row>
    <row r="177">
      <c r="A177" t="s" s="0">
        <v>77</v>
      </c>
      <c r="B177" t="s" s="0">
        <v>77</v>
      </c>
      <c r="C177" t="s" s="0">
        <v>77</v>
      </c>
      <c r="D177" t="s" s="0">
        <v>77</v>
      </c>
      <c r="E177" t="s" s="0">
        <v>4273</v>
      </c>
      <c r="F177" t="s" s="0">
        <v>4274</v>
      </c>
      <c r="G177" t="s" s="0">
        <v>4275</v>
      </c>
      <c r="H177" t="s" s="0">
        <v>81</v>
      </c>
      <c r="I177" t="s" s="0">
        <v>218</v>
      </c>
      <c r="J177" t="s" s="0">
        <v>4276</v>
      </c>
      <c r="K177" t="s" s="0">
        <v>4277</v>
      </c>
      <c r="L177" t="s" s="0">
        <v>81</v>
      </c>
      <c r="M177" t="s" s="0">
        <v>81</v>
      </c>
      <c r="N177" t="s" s="0">
        <v>81</v>
      </c>
      <c r="O177" t="s" s="0">
        <v>4278</v>
      </c>
      <c r="P177" t="s" s="0">
        <v>4279</v>
      </c>
      <c r="Q177" t="s" s="0">
        <v>90</v>
      </c>
      <c r="R177" t="s" s="0">
        <v>81</v>
      </c>
      <c r="S177" t="s" s="0">
        <v>81</v>
      </c>
      <c r="T177" t="s" s="0">
        <v>81</v>
      </c>
      <c r="U177" t="s" s="0">
        <v>81</v>
      </c>
      <c r="V177" t="s" s="0">
        <v>4280</v>
      </c>
      <c r="W177" t="s" s="0">
        <v>4281</v>
      </c>
      <c r="X177" t="s" s="0">
        <v>81</v>
      </c>
      <c r="Y177" t="s" s="0">
        <v>81</v>
      </c>
      <c r="Z177" t="s" s="0">
        <v>93</v>
      </c>
      <c r="AA177" t="s" s="0">
        <v>196</v>
      </c>
      <c r="AB177" t="s" s="0">
        <v>81</v>
      </c>
      <c r="AC177" t="s" s="0">
        <v>81</v>
      </c>
      <c r="AD177" t="s" s="0">
        <v>81</v>
      </c>
      <c r="AE177" t="s" s="0">
        <v>81</v>
      </c>
      <c r="AF177" t="s" s="0">
        <v>81</v>
      </c>
      <c r="AG177" t="s" s="0">
        <v>4282</v>
      </c>
      <c r="AH177" t="s" s="0">
        <v>81</v>
      </c>
      <c r="AI177" t="s" s="0">
        <v>4283</v>
      </c>
      <c r="AJ177" t="s" s="0">
        <v>81</v>
      </c>
      <c r="AK177" t="s" s="0">
        <v>81</v>
      </c>
      <c r="AL177" t="s" s="0">
        <v>145</v>
      </c>
      <c r="AM177" t="s" s="0">
        <v>77</v>
      </c>
      <c r="AN177" t="s" s="0">
        <v>77</v>
      </c>
      <c r="AO177" t="s" s="0">
        <v>554</v>
      </c>
      <c r="AP177" t="s" s="0">
        <v>554</v>
      </c>
      <c r="AQ177" t="s" s="0">
        <v>200</v>
      </c>
      <c r="AR177" t="s" s="0">
        <v>201</v>
      </c>
      <c r="AS177" t="s" s="0">
        <v>202</v>
      </c>
      <c r="AT177" t="s" s="0">
        <v>4284</v>
      </c>
      <c r="AU177" t="s" s="0">
        <v>4285</v>
      </c>
      <c r="AV177" t="s" s="0">
        <v>81</v>
      </c>
      <c r="AW177" t="s" s="0">
        <v>4286</v>
      </c>
      <c r="AX177" t="s" s="0">
        <v>4287</v>
      </c>
      <c r="AY177" t="s" s="0">
        <v>81</v>
      </c>
      <c r="AZ177" t="s" s="0">
        <v>144</v>
      </c>
      <c r="BA177" t="s" s="0">
        <v>81</v>
      </c>
      <c r="BB177" t="s" s="0">
        <v>81</v>
      </c>
      <c r="BC177" t="s" s="0">
        <v>81</v>
      </c>
      <c r="BD177" t="s" s="0">
        <v>81</v>
      </c>
      <c r="BE177" t="s" s="0">
        <v>81</v>
      </c>
      <c r="BF177" t="s" s="0">
        <v>81</v>
      </c>
      <c r="BG177" t="s" s="0">
        <v>81</v>
      </c>
      <c r="BH177" t="s" s="0">
        <v>81</v>
      </c>
      <c r="BI177" t="s" s="0">
        <v>81</v>
      </c>
      <c r="BJ177" t="s" s="0">
        <v>4288</v>
      </c>
      <c r="BK177" t="s" s="351">
        <f>HYPERLINK("http://dx.doi.org/10.1136/bmjinnov-2025-001529","http://dx.doi.org/10.1136/bmjinnov-2025-001529")</f>
        <v>4289</v>
      </c>
      <c r="BL177" t="s" s="0">
        <v>81</v>
      </c>
      <c r="BM177" t="s" s="0">
        <v>532</v>
      </c>
      <c r="BN177" t="s" s="0">
        <v>452</v>
      </c>
      <c r="BO177" t="s" s="0">
        <v>2864</v>
      </c>
      <c r="BP177" t="s" s="0">
        <v>2864</v>
      </c>
      <c r="BQ177" t="s" s="0">
        <v>4290</v>
      </c>
      <c r="BR177" t="s" s="0">
        <v>81</v>
      </c>
      <c r="BS177" t="s" s="0">
        <v>4291</v>
      </c>
      <c r="BT177" t="s" s="352">
        <f>HYPERLINK("https://www.webofscience.com/wos/woscc/full-record/WOS:001792415000001","View Record in Web of Science")</f>
        <v>120</v>
      </c>
      <c r="BU177" t="s" s="0">
        <v>306</v>
      </c>
      <c r="BV177" t="s" s="0">
        <v>81</v>
      </c>
      <c r="BW177" t="s" s="0">
        <v>81</v>
      </c>
      <c r="BX177" t="s" s="0">
        <v>122</v>
      </c>
    </row>
    <row r="178">
      <c r="A178" t="s" s="0">
        <v>77</v>
      </c>
      <c r="B178" t="s" s="0">
        <v>77</v>
      </c>
      <c r="C178" t="s" s="0">
        <v>77</v>
      </c>
      <c r="D178" t="s" s="0">
        <v>77</v>
      </c>
      <c r="E178" t="s" s="0">
        <v>4292</v>
      </c>
      <c r="F178" t="s" s="0">
        <v>4293</v>
      </c>
      <c r="G178" t="s" s="0">
        <v>4294</v>
      </c>
      <c r="H178" t="s" s="0">
        <v>81</v>
      </c>
      <c r="I178" t="s" s="0">
        <v>82</v>
      </c>
      <c r="J178" t="s" s="0">
        <v>4295</v>
      </c>
      <c r="K178" t="s" s="0">
        <v>4296</v>
      </c>
      <c r="L178" t="s" s="0">
        <v>81</v>
      </c>
      <c r="M178" t="s" s="0">
        <v>81</v>
      </c>
      <c r="N178" t="s" s="0">
        <v>81</v>
      </c>
      <c r="O178" t="s" s="0">
        <v>4297</v>
      </c>
      <c r="P178" t="s" s="0">
        <v>4298</v>
      </c>
      <c r="Q178" t="s" s="0">
        <v>90</v>
      </c>
      <c r="R178" t="s" s="0">
        <v>81</v>
      </c>
      <c r="S178" t="s" s="0">
        <v>81</v>
      </c>
      <c r="T178" t="s" s="0">
        <v>81</v>
      </c>
      <c r="U178" t="s" s="0">
        <v>81</v>
      </c>
      <c r="V178" t="s" s="0">
        <v>4299</v>
      </c>
      <c r="W178" t="s" s="0">
        <v>256</v>
      </c>
      <c r="X178" t="s" s="0">
        <v>81</v>
      </c>
      <c r="Y178" t="s" s="0">
        <v>81</v>
      </c>
      <c r="Z178" t="s" s="0">
        <v>93</v>
      </c>
      <c r="AA178" t="s" s="0">
        <v>94</v>
      </c>
      <c r="AB178" t="s" s="0">
        <v>81</v>
      </c>
      <c r="AC178" t="s" s="0">
        <v>81</v>
      </c>
      <c r="AD178" t="s" s="0">
        <v>81</v>
      </c>
      <c r="AE178" t="s" s="0">
        <v>81</v>
      </c>
      <c r="AF178" t="s" s="0">
        <v>81</v>
      </c>
      <c r="AG178" t="s" s="0">
        <v>4300</v>
      </c>
      <c r="AH178" t="s" s="0">
        <v>81</v>
      </c>
      <c r="AI178" t="s" s="0">
        <v>81</v>
      </c>
      <c r="AJ178" t="s" s="0">
        <v>81</v>
      </c>
      <c r="AK178" t="s" s="0">
        <v>81</v>
      </c>
      <c r="AL178" t="s" s="0">
        <v>136</v>
      </c>
      <c r="AM178" t="s" s="0">
        <v>77</v>
      </c>
      <c r="AN178" t="s" s="0">
        <v>77</v>
      </c>
      <c r="AO178" t="s" s="0">
        <v>77</v>
      </c>
      <c r="AP178" t="s" s="0">
        <v>77</v>
      </c>
      <c r="AQ178" t="s" s="0">
        <v>137</v>
      </c>
      <c r="AR178" t="s" s="0">
        <v>138</v>
      </c>
      <c r="AS178" t="s" s="0">
        <v>139</v>
      </c>
      <c r="AT178" t="s" s="0">
        <v>81</v>
      </c>
      <c r="AU178" t="s" s="0">
        <v>262</v>
      </c>
      <c r="AV178" t="s" s="0">
        <v>81</v>
      </c>
      <c r="AW178" t="s" s="0">
        <v>256</v>
      </c>
      <c r="AX178" t="s" s="0">
        <v>263</v>
      </c>
      <c r="AY178" t="s" s="0">
        <v>4301</v>
      </c>
      <c r="AZ178" t="s" s="0">
        <v>144</v>
      </c>
      <c r="BA178" t="s" s="0">
        <v>265</v>
      </c>
      <c r="BB178" t="s" s="0">
        <v>145</v>
      </c>
      <c r="BC178" t="s" s="0">
        <v>81</v>
      </c>
      <c r="BD178" t="s" s="0">
        <v>81</v>
      </c>
      <c r="BE178" t="s" s="0">
        <v>81</v>
      </c>
      <c r="BF178" t="s" s="0">
        <v>81</v>
      </c>
      <c r="BG178" t="s" s="0">
        <v>81</v>
      </c>
      <c r="BH178" t="s" s="0">
        <v>81</v>
      </c>
      <c r="BI178" t="s" s="0">
        <v>4302</v>
      </c>
      <c r="BJ178" t="s" s="0">
        <v>4303</v>
      </c>
      <c r="BK178" t="s" s="353">
        <f>HYPERLINK("http://dx.doi.org/10.3390/diagnostics16152456","http://dx.doi.org/10.3390/diagnostics16152456")</f>
        <v>4304</v>
      </c>
      <c r="BL178" t="s" s="0">
        <v>81</v>
      </c>
      <c r="BM178" t="s" s="0">
        <v>81</v>
      </c>
      <c r="BN178" t="s" s="0">
        <v>438</v>
      </c>
      <c r="BO178" t="s" s="0">
        <v>149</v>
      </c>
      <c r="BP178" t="s" s="0">
        <v>150</v>
      </c>
      <c r="BQ178" t="s" s="0">
        <v>4305</v>
      </c>
      <c r="BR178" t="s" s="0">
        <v>81</v>
      </c>
      <c r="BS178" t="s" s="0">
        <v>4306</v>
      </c>
      <c r="BT178" t="s" s="354">
        <f>HYPERLINK("https://www.webofscience.com/wos/woscc/full-record/WOS:001847324700001","View Record in Web of Science")</f>
        <v>120</v>
      </c>
      <c r="BU178" t="s" s="0">
        <v>1216</v>
      </c>
      <c r="BV178" t="s" s="0">
        <v>81</v>
      </c>
      <c r="BW178" t="s" s="0">
        <v>81</v>
      </c>
      <c r="BX178" t="s" s="0">
        <v>122</v>
      </c>
    </row>
    <row r="179">
      <c r="A179" t="s" s="0">
        <v>77</v>
      </c>
      <c r="B179" t="s" s="0">
        <v>77</v>
      </c>
      <c r="C179" t="s" s="0">
        <v>101</v>
      </c>
      <c r="D179" t="s" s="0">
        <v>77</v>
      </c>
      <c r="E179" t="s" s="0">
        <v>4307</v>
      </c>
      <c r="F179" t="s" s="0">
        <v>4308</v>
      </c>
      <c r="G179" t="s" s="0">
        <v>4309</v>
      </c>
      <c r="H179" t="s" s="0">
        <v>81</v>
      </c>
      <c r="I179" t="s" s="0">
        <v>568</v>
      </c>
      <c r="J179" t="s" s="0">
        <v>4310</v>
      </c>
      <c r="K179" t="s" s="0">
        <v>3883</v>
      </c>
      <c r="L179" t="s" s="0">
        <v>4311</v>
      </c>
      <c r="M179" t="s" s="0">
        <v>4312</v>
      </c>
      <c r="N179" t="s" s="0">
        <v>4313</v>
      </c>
      <c r="O179" t="s" s="0">
        <v>4314</v>
      </c>
      <c r="P179" t="s" s="0">
        <v>4315</v>
      </c>
      <c r="Q179" t="s" s="0">
        <v>90</v>
      </c>
      <c r="R179" t="s" s="0">
        <v>81</v>
      </c>
      <c r="S179" t="s" s="0">
        <v>81</v>
      </c>
      <c r="T179" t="s" s="0">
        <v>81</v>
      </c>
      <c r="U179" t="s" s="0">
        <v>81</v>
      </c>
      <c r="V179" t="s" s="0">
        <v>4316</v>
      </c>
      <c r="W179" t="s" s="0">
        <v>1319</v>
      </c>
      <c r="X179" t="s" s="0">
        <v>81</v>
      </c>
      <c r="Y179" t="s" s="0">
        <v>81</v>
      </c>
      <c r="Z179" t="s" s="0">
        <v>93</v>
      </c>
      <c r="AA179" t="s" s="0">
        <v>94</v>
      </c>
      <c r="AB179" t="s" s="0">
        <v>81</v>
      </c>
      <c r="AC179" t="s" s="0">
        <v>81</v>
      </c>
      <c r="AD179" t="s" s="0">
        <v>81</v>
      </c>
      <c r="AE179" t="s" s="0">
        <v>81</v>
      </c>
      <c r="AF179" t="s" s="0">
        <v>81</v>
      </c>
      <c r="AG179" t="s" s="0">
        <v>4317</v>
      </c>
      <c r="AH179" t="s" s="0">
        <v>81</v>
      </c>
      <c r="AI179" t="s" s="0">
        <v>4318</v>
      </c>
      <c r="AJ179" t="s" s="0">
        <v>4319</v>
      </c>
      <c r="AK179" t="s" s="0">
        <v>81</v>
      </c>
      <c r="AL179" t="s" s="0">
        <v>671</v>
      </c>
      <c r="AM179" t="s" s="0">
        <v>319</v>
      </c>
      <c r="AN179" t="s" s="0">
        <v>136</v>
      </c>
      <c r="AO179" t="s" s="0">
        <v>102</v>
      </c>
      <c r="AP179" t="s" s="0">
        <v>111</v>
      </c>
      <c r="AQ179" t="s" s="0">
        <v>527</v>
      </c>
      <c r="AR179" t="s" s="0">
        <v>528</v>
      </c>
      <c r="AS179" t="s" s="0">
        <v>529</v>
      </c>
      <c r="AT179" t="s" s="0">
        <v>1323</v>
      </c>
      <c r="AU179" t="s" s="0">
        <v>1324</v>
      </c>
      <c r="AV179" t="s" s="0">
        <v>81</v>
      </c>
      <c r="AW179" t="s" s="0">
        <v>1325</v>
      </c>
      <c r="AX179" t="s" s="0">
        <v>1326</v>
      </c>
      <c r="AY179" t="s" s="0">
        <v>1855</v>
      </c>
      <c r="AZ179" t="s" s="0">
        <v>110</v>
      </c>
      <c r="BA179" t="s" s="0">
        <v>671</v>
      </c>
      <c r="BB179" t="s" s="0">
        <v>452</v>
      </c>
      <c r="BC179" t="s" s="0">
        <v>81</v>
      </c>
      <c r="BD179" t="s" s="0">
        <v>81</v>
      </c>
      <c r="BE179" t="s" s="0">
        <v>81</v>
      </c>
      <c r="BF179" t="s" s="0">
        <v>81</v>
      </c>
      <c r="BG179" t="s" s="0">
        <v>4320</v>
      </c>
      <c r="BH179" t="s" s="0">
        <v>4321</v>
      </c>
      <c r="BI179" t="s" s="0">
        <v>81</v>
      </c>
      <c r="BJ179" t="s" s="0">
        <v>4322</v>
      </c>
      <c r="BK179" t="s" s="355">
        <f>HYPERLINK("http://dx.doi.org/10.1093/jamia/ocaf045","http://dx.doi.org/10.1093/jamia/ocaf045")</f>
        <v>4323</v>
      </c>
      <c r="BL179" t="s" s="0">
        <v>81</v>
      </c>
      <c r="BM179" t="s" s="0">
        <v>1778</v>
      </c>
      <c r="BN179" t="s" s="0">
        <v>102</v>
      </c>
      <c r="BO179" t="s" s="0">
        <v>1331</v>
      </c>
      <c r="BP179" t="s" s="0">
        <v>1332</v>
      </c>
      <c r="BQ179" t="s" s="0">
        <v>4324</v>
      </c>
      <c r="BR179" t="s" s="0">
        <v>4325</v>
      </c>
      <c r="BS179" t="s" s="0">
        <v>4326</v>
      </c>
      <c r="BT179" t="s" s="356">
        <f>HYPERLINK("https://www.webofscience.com/wos/woscc/full-record/WOS:001460129700001","View Record in Web of Science")</f>
        <v>120</v>
      </c>
      <c r="BU179" t="s" s="0">
        <v>805</v>
      </c>
      <c r="BV179" t="s" s="0">
        <v>602</v>
      </c>
      <c r="BW179" t="s" s="0">
        <v>603</v>
      </c>
      <c r="BX179" t="s" s="0">
        <v>122</v>
      </c>
    </row>
    <row r="180">
      <c r="A180" t="s" s="0">
        <v>77</v>
      </c>
      <c r="B180" t="s" s="0">
        <v>77</v>
      </c>
      <c r="C180" t="s" s="0">
        <v>77</v>
      </c>
      <c r="D180" t="s" s="0">
        <v>77</v>
      </c>
      <c r="E180" t="s" s="0">
        <v>4327</v>
      </c>
      <c r="F180" t="s" s="0">
        <v>4328</v>
      </c>
      <c r="G180" t="s" s="0">
        <v>4329</v>
      </c>
      <c r="H180" t="s" s="0">
        <v>81</v>
      </c>
      <c r="I180" t="s" s="0">
        <v>218</v>
      </c>
      <c r="J180" t="s" s="0">
        <v>4330</v>
      </c>
      <c r="K180" t="s" s="0">
        <v>4331</v>
      </c>
      <c r="L180" t="s" s="0">
        <v>4332</v>
      </c>
      <c r="M180" t="s" s="0">
        <v>4333</v>
      </c>
      <c r="N180" t="s" s="0">
        <v>4334</v>
      </c>
      <c r="O180" t="s" s="0">
        <v>4335</v>
      </c>
      <c r="P180" t="s" s="0">
        <v>4336</v>
      </c>
      <c r="Q180" t="s" s="0">
        <v>90</v>
      </c>
      <c r="R180" t="s" s="0">
        <v>81</v>
      </c>
      <c r="S180" t="s" s="0">
        <v>81</v>
      </c>
      <c r="T180" t="s" s="0">
        <v>81</v>
      </c>
      <c r="U180" t="s" s="0">
        <v>81</v>
      </c>
      <c r="V180" t="s" s="0">
        <v>4337</v>
      </c>
      <c r="W180" t="s" s="0">
        <v>4338</v>
      </c>
      <c r="X180" t="s" s="0">
        <v>81</v>
      </c>
      <c r="Y180" t="s" s="0">
        <v>81</v>
      </c>
      <c r="Z180" t="s" s="0">
        <v>93</v>
      </c>
      <c r="AA180" t="s" s="0">
        <v>94</v>
      </c>
      <c r="AB180" t="s" s="0">
        <v>81</v>
      </c>
      <c r="AC180" t="s" s="0">
        <v>81</v>
      </c>
      <c r="AD180" t="s" s="0">
        <v>81</v>
      </c>
      <c r="AE180" t="s" s="0">
        <v>81</v>
      </c>
      <c r="AF180" t="s" s="0">
        <v>81</v>
      </c>
      <c r="AG180" t="s" s="0">
        <v>81</v>
      </c>
      <c r="AH180" t="s" s="0">
        <v>4339</v>
      </c>
      <c r="AI180" t="s" s="0">
        <v>81</v>
      </c>
      <c r="AJ180" t="s" s="0">
        <v>4340</v>
      </c>
      <c r="AK180" t="s" s="0">
        <v>81</v>
      </c>
      <c r="AL180" t="s" s="0">
        <v>581</v>
      </c>
      <c r="AM180" t="s" s="0">
        <v>77</v>
      </c>
      <c r="AN180" t="s" s="0">
        <v>77</v>
      </c>
      <c r="AO180" t="s" s="0">
        <v>169</v>
      </c>
      <c r="AP180" t="s" s="0">
        <v>169</v>
      </c>
      <c r="AQ180" t="s" s="0">
        <v>1380</v>
      </c>
      <c r="AR180" t="s" s="0">
        <v>201</v>
      </c>
      <c r="AS180" t="s" s="0">
        <v>1381</v>
      </c>
      <c r="AT180" t="s" s="0">
        <v>4341</v>
      </c>
      <c r="AU180" t="s" s="0">
        <v>81</v>
      </c>
      <c r="AV180" t="s" s="0">
        <v>81</v>
      </c>
      <c r="AW180" t="s" s="0">
        <v>4342</v>
      </c>
      <c r="AX180" t="s" s="0">
        <v>4343</v>
      </c>
      <c r="AY180" t="s" s="0">
        <v>4344</v>
      </c>
      <c r="AZ180" t="s" s="0">
        <v>144</v>
      </c>
      <c r="BA180" t="s" s="0">
        <v>452</v>
      </c>
      <c r="BB180" t="s" s="0">
        <v>169</v>
      </c>
      <c r="BC180" t="s" s="0">
        <v>81</v>
      </c>
      <c r="BD180" t="s" s="0">
        <v>81</v>
      </c>
      <c r="BE180" t="s" s="0">
        <v>81</v>
      </c>
      <c r="BF180" t="s" s="0">
        <v>81</v>
      </c>
      <c r="BG180" t="s" s="0">
        <v>81</v>
      </c>
      <c r="BH180" t="s" s="0">
        <v>81</v>
      </c>
      <c r="BI180" t="s" s="0">
        <v>593</v>
      </c>
      <c r="BJ180" t="s" s="0">
        <v>4345</v>
      </c>
      <c r="BK180" t="s" s="357">
        <f>HYPERLINK("http://dx.doi.org/10.1038/s43856-026-01576-9","http://dx.doi.org/10.1038/s43856-026-01576-9")</f>
        <v>4346</v>
      </c>
      <c r="BL180" t="s" s="0">
        <v>81</v>
      </c>
      <c r="BM180" t="s" s="0">
        <v>209</v>
      </c>
      <c r="BN180" t="s" s="0">
        <v>328</v>
      </c>
      <c r="BO180" t="s" s="0">
        <v>2819</v>
      </c>
      <c r="BP180" t="s" s="0">
        <v>2820</v>
      </c>
      <c r="BQ180" t="s" s="0">
        <v>4347</v>
      </c>
      <c r="BR180" t="s" s="0">
        <v>4348</v>
      </c>
      <c r="BS180" t="s" s="0">
        <v>4349</v>
      </c>
      <c r="BT180" t="s" s="358">
        <f>HYPERLINK("https://www.webofscience.com/wos/woscc/full-record/WOS:001794462100001","View Record in Web of Science")</f>
        <v>120</v>
      </c>
      <c r="BU180" t="s" s="0">
        <v>121</v>
      </c>
      <c r="BV180" t="s" s="0">
        <v>81</v>
      </c>
      <c r="BW180" t="s" s="0">
        <v>81</v>
      </c>
      <c r="BX180" t="s" s="0">
        <v>122</v>
      </c>
    </row>
    <row r="181">
      <c r="A181" t="s" s="0">
        <v>77</v>
      </c>
      <c r="B181" t="s" s="0">
        <v>77</v>
      </c>
      <c r="C181" t="s" s="0">
        <v>169</v>
      </c>
      <c r="D181" t="s" s="0">
        <v>77</v>
      </c>
      <c r="E181" t="s" s="0">
        <v>4350</v>
      </c>
      <c r="F181" t="s" s="0">
        <v>4351</v>
      </c>
      <c r="G181" t="s" s="0">
        <v>4352</v>
      </c>
      <c r="H181" t="s" s="0">
        <v>81</v>
      </c>
      <c r="I181" t="s" s="0">
        <v>82</v>
      </c>
      <c r="J181" t="s" s="0">
        <v>4353</v>
      </c>
      <c r="K181" t="s" s="0">
        <v>4354</v>
      </c>
      <c r="L181" t="s" s="0">
        <v>4355</v>
      </c>
      <c r="M181" t="s" s="0">
        <v>4355</v>
      </c>
      <c r="N181" t="s" s="0">
        <v>4356</v>
      </c>
      <c r="O181" t="s" s="0">
        <v>4357</v>
      </c>
      <c r="P181" t="s" s="0">
        <v>4358</v>
      </c>
      <c r="Q181" t="s" s="0">
        <v>90</v>
      </c>
      <c r="R181" t="s" s="0">
        <v>81</v>
      </c>
      <c r="S181" t="s" s="0">
        <v>81</v>
      </c>
      <c r="T181" t="s" s="0">
        <v>81</v>
      </c>
      <c r="U181" t="s" s="0">
        <v>81</v>
      </c>
      <c r="V181" t="s" s="0">
        <v>4359</v>
      </c>
      <c r="W181" t="s" s="0">
        <v>4360</v>
      </c>
      <c r="X181" t="s" s="0">
        <v>81</v>
      </c>
      <c r="Y181" t="s" s="0">
        <v>81</v>
      </c>
      <c r="Z181" t="s" s="0">
        <v>93</v>
      </c>
      <c r="AA181" t="s" s="0">
        <v>94</v>
      </c>
      <c r="AB181" t="s" s="0">
        <v>81</v>
      </c>
      <c r="AC181" t="s" s="0">
        <v>81</v>
      </c>
      <c r="AD181" t="s" s="0">
        <v>81</v>
      </c>
      <c r="AE181" t="s" s="0">
        <v>81</v>
      </c>
      <c r="AF181" t="s" s="0">
        <v>81</v>
      </c>
      <c r="AG181" t="s" s="0">
        <v>4361</v>
      </c>
      <c r="AH181" t="s" s="0">
        <v>81</v>
      </c>
      <c r="AI181" t="s" s="0">
        <v>4362</v>
      </c>
      <c r="AJ181" t="s" s="0">
        <v>4363</v>
      </c>
      <c r="AK181" t="s" s="0">
        <v>81</v>
      </c>
      <c r="AL181" t="s" s="0">
        <v>136</v>
      </c>
      <c r="AM181" t="s" s="0">
        <v>99</v>
      </c>
      <c r="AN181" t="s" s="0">
        <v>99</v>
      </c>
      <c r="AO181" t="s" s="0">
        <v>100</v>
      </c>
      <c r="AP181" t="s" s="0">
        <v>320</v>
      </c>
      <c r="AQ181" t="s" s="0">
        <v>200</v>
      </c>
      <c r="AR181" t="s" s="0">
        <v>201</v>
      </c>
      <c r="AS181" t="s" s="0">
        <v>202</v>
      </c>
      <c r="AT181" t="s" s="0">
        <v>81</v>
      </c>
      <c r="AU181" t="s" s="0">
        <v>4364</v>
      </c>
      <c r="AV181" t="s" s="0">
        <v>81</v>
      </c>
      <c r="AW181" t="s" s="0">
        <v>4360</v>
      </c>
      <c r="AX181" t="s" s="0">
        <v>4365</v>
      </c>
      <c r="AY181" t="s" s="0">
        <v>4366</v>
      </c>
      <c r="AZ181" t="s" s="0">
        <v>110</v>
      </c>
      <c r="BA181" t="s" s="0">
        <v>637</v>
      </c>
      <c r="BB181" t="s" s="0">
        <v>169</v>
      </c>
      <c r="BC181" t="s" s="0">
        <v>81</v>
      </c>
      <c r="BD181" t="s" s="0">
        <v>81</v>
      </c>
      <c r="BE181" t="s" s="0">
        <v>81</v>
      </c>
      <c r="BF181" t="s" s="0">
        <v>81</v>
      </c>
      <c r="BG181" t="s" s="0">
        <v>81</v>
      </c>
      <c r="BH181" t="s" s="0">
        <v>81</v>
      </c>
      <c r="BI181" t="s" s="0">
        <v>4367</v>
      </c>
      <c r="BJ181" t="s" s="0">
        <v>4368</v>
      </c>
      <c r="BK181" t="s" s="359">
        <f>HYPERLINK("http://dx.doi.org/10.1136/bmjment-2025-301817","http://dx.doi.org/10.1136/bmjment-2025-301817")</f>
        <v>4369</v>
      </c>
      <c r="BL181" t="s" s="0">
        <v>81</v>
      </c>
      <c r="BM181" t="s" s="0">
        <v>81</v>
      </c>
      <c r="BN181" t="s" s="0">
        <v>210</v>
      </c>
      <c r="BO181" t="s" s="0">
        <v>598</v>
      </c>
      <c r="BP181" t="s" s="0">
        <v>598</v>
      </c>
      <c r="BQ181" t="s" s="0">
        <v>4370</v>
      </c>
      <c r="BR181" t="s" s="0">
        <v>4371</v>
      </c>
      <c r="BS181" t="s" s="0">
        <v>4372</v>
      </c>
      <c r="BT181" t="s" s="360">
        <f>HYPERLINK("https://www.webofscience.com/wos/woscc/full-record/WOS:001578927600001","View Record in Web of Science")</f>
        <v>120</v>
      </c>
      <c r="BU181" t="s" s="0">
        <v>121</v>
      </c>
      <c r="BV181" t="s" s="0">
        <v>81</v>
      </c>
      <c r="BW181" t="s" s="0">
        <v>81</v>
      </c>
      <c r="BX181" t="s" s="0">
        <v>122</v>
      </c>
    </row>
    <row r="182">
      <c r="A182" t="s" s="0">
        <v>77</v>
      </c>
      <c r="B182" t="s" s="0">
        <v>77</v>
      </c>
      <c r="C182" t="s" s="0">
        <v>77</v>
      </c>
      <c r="D182" t="s" s="0">
        <v>77</v>
      </c>
      <c r="E182" t="s" s="0">
        <v>4373</v>
      </c>
      <c r="F182" t="s" s="0">
        <v>4374</v>
      </c>
      <c r="G182" t="s" s="0">
        <v>4375</v>
      </c>
      <c r="H182" t="s" s="0">
        <v>81</v>
      </c>
      <c r="I182" t="s" s="0">
        <v>82</v>
      </c>
      <c r="J182" t="s" s="0">
        <v>4376</v>
      </c>
      <c r="K182" t="s" s="0">
        <v>4377</v>
      </c>
      <c r="L182" t="s" s="0">
        <v>81</v>
      </c>
      <c r="M182" t="s" s="0">
        <v>81</v>
      </c>
      <c r="N182" t="s" s="0">
        <v>81</v>
      </c>
      <c r="O182" t="s" s="0">
        <v>4378</v>
      </c>
      <c r="P182" t="s" s="0">
        <v>4379</v>
      </c>
      <c r="Q182" t="s" s="0">
        <v>90</v>
      </c>
      <c r="R182" t="s" s="0">
        <v>81</v>
      </c>
      <c r="S182" t="s" s="0">
        <v>81</v>
      </c>
      <c r="T182" t="s" s="0">
        <v>81</v>
      </c>
      <c r="U182" t="s" s="0">
        <v>81</v>
      </c>
      <c r="V182" t="s" s="0">
        <v>4380</v>
      </c>
      <c r="W182" t="s" s="0">
        <v>4381</v>
      </c>
      <c r="X182" t="s" s="0">
        <v>81</v>
      </c>
      <c r="Y182" t="s" s="0">
        <v>81</v>
      </c>
      <c r="Z182" t="s" s="0">
        <v>93</v>
      </c>
      <c r="AA182" t="s" s="0">
        <v>94</v>
      </c>
      <c r="AB182" t="s" s="0">
        <v>81</v>
      </c>
      <c r="AC182" t="s" s="0">
        <v>81</v>
      </c>
      <c r="AD182" t="s" s="0">
        <v>81</v>
      </c>
      <c r="AE182" t="s" s="0">
        <v>81</v>
      </c>
      <c r="AF182" t="s" s="0">
        <v>81</v>
      </c>
      <c r="AG182" t="s" s="0">
        <v>4382</v>
      </c>
      <c r="AH182" t="s" s="0">
        <v>81</v>
      </c>
      <c r="AI182" t="s" s="0">
        <v>81</v>
      </c>
      <c r="AJ182" t="s" s="0">
        <v>81</v>
      </c>
      <c r="AK182" t="s" s="0">
        <v>81</v>
      </c>
      <c r="AL182" t="s" s="0">
        <v>111</v>
      </c>
      <c r="AM182" t="s" s="0">
        <v>77</v>
      </c>
      <c r="AN182" t="s" s="0">
        <v>77</v>
      </c>
      <c r="AO182" t="s" s="0">
        <v>77</v>
      </c>
      <c r="AP182" t="s" s="0">
        <v>77</v>
      </c>
      <c r="AQ182" t="s" s="0">
        <v>2338</v>
      </c>
      <c r="AR182" t="s" s="0">
        <v>2339</v>
      </c>
      <c r="AS182" t="s" s="0">
        <v>2340</v>
      </c>
      <c r="AT182" t="s" s="0">
        <v>4383</v>
      </c>
      <c r="AU182" t="s" s="0">
        <v>81</v>
      </c>
      <c r="AV182" t="s" s="0">
        <v>81</v>
      </c>
      <c r="AW182" t="s" s="0">
        <v>4384</v>
      </c>
      <c r="AX182" t="s" s="0">
        <v>4385</v>
      </c>
      <c r="AY182" t="s" s="0">
        <v>144</v>
      </c>
      <c r="AZ182" t="s" s="0">
        <v>144</v>
      </c>
      <c r="BA182" t="s" s="0">
        <v>526</v>
      </c>
      <c r="BB182" t="s" s="0">
        <v>81</v>
      </c>
      <c r="BC182" t="s" s="0">
        <v>81</v>
      </c>
      <c r="BD182" t="s" s="0">
        <v>81</v>
      </c>
      <c r="BE182" t="s" s="0">
        <v>81</v>
      </c>
      <c r="BF182" t="s" s="0">
        <v>81</v>
      </c>
      <c r="BG182" t="s" s="0">
        <v>81</v>
      </c>
      <c r="BH182" t="s" s="0">
        <v>81</v>
      </c>
      <c r="BI182" t="s" s="0">
        <v>4386</v>
      </c>
      <c r="BJ182" t="s" s="0">
        <v>4387</v>
      </c>
      <c r="BK182" t="s" s="361">
        <f>HYPERLINK("http://dx.doi.org/10.2147/JMDH.S612064","http://dx.doi.org/10.2147/JMDH.S612064")</f>
        <v>4388</v>
      </c>
      <c r="BL182" t="s" s="0">
        <v>81</v>
      </c>
      <c r="BM182" t="s" s="0">
        <v>81</v>
      </c>
      <c r="BN182" t="s" s="0">
        <v>320</v>
      </c>
      <c r="BO182" t="s" s="0">
        <v>2864</v>
      </c>
      <c r="BP182" t="s" s="0">
        <v>2864</v>
      </c>
      <c r="BQ182" t="s" s="0">
        <v>4389</v>
      </c>
      <c r="BR182" t="s" s="0">
        <v>4390</v>
      </c>
      <c r="BS182" t="s" s="0">
        <v>4391</v>
      </c>
      <c r="BT182" t="s" s="362">
        <f>HYPERLINK("https://www.webofscience.com/wos/woscc/full-record/WOS:001825022300001","View Record in Web of Science")</f>
        <v>120</v>
      </c>
      <c r="BU182" t="s" s="0">
        <v>121</v>
      </c>
      <c r="BV182" t="s" s="0">
        <v>81</v>
      </c>
      <c r="BW182" t="s" s="0">
        <v>81</v>
      </c>
      <c r="BX182" t="s" s="0">
        <v>122</v>
      </c>
    </row>
    <row r="183">
      <c r="A183" t="s" s="0">
        <v>77</v>
      </c>
      <c r="B183" t="s" s="0">
        <v>77</v>
      </c>
      <c r="C183" t="s" s="0">
        <v>77</v>
      </c>
      <c r="D183" t="s" s="0">
        <v>77</v>
      </c>
      <c r="E183" t="s" s="0">
        <v>4392</v>
      </c>
      <c r="F183" t="s" s="0">
        <v>4393</v>
      </c>
      <c r="G183" t="s" s="0">
        <v>4394</v>
      </c>
      <c r="H183" t="s" s="0">
        <v>81</v>
      </c>
      <c r="I183" t="s" s="0">
        <v>82</v>
      </c>
      <c r="J183" t="s" s="0">
        <v>4395</v>
      </c>
      <c r="K183" t="s" s="0">
        <v>4396</v>
      </c>
      <c r="L183" t="s" s="0">
        <v>4397</v>
      </c>
      <c r="M183" t="s" s="0">
        <v>4398</v>
      </c>
      <c r="N183" t="s" s="0">
        <v>4399</v>
      </c>
      <c r="O183" t="s" s="0">
        <v>4400</v>
      </c>
      <c r="P183" t="s" s="0">
        <v>4401</v>
      </c>
      <c r="Q183" t="s" s="0">
        <v>90</v>
      </c>
      <c r="R183" t="s" s="0">
        <v>81</v>
      </c>
      <c r="S183" t="s" s="0">
        <v>81</v>
      </c>
      <c r="T183" t="s" s="0">
        <v>81</v>
      </c>
      <c r="U183" t="s" s="0">
        <v>81</v>
      </c>
      <c r="V183" t="s" s="0">
        <v>4402</v>
      </c>
      <c r="W183" t="s" s="0">
        <v>3909</v>
      </c>
      <c r="X183" t="s" s="0">
        <v>81</v>
      </c>
      <c r="Y183" t="s" s="0">
        <v>81</v>
      </c>
      <c r="Z183" t="s" s="0">
        <v>93</v>
      </c>
      <c r="AA183" t="s" s="0">
        <v>94</v>
      </c>
      <c r="AB183" t="s" s="0">
        <v>81</v>
      </c>
      <c r="AC183" t="s" s="0">
        <v>81</v>
      </c>
      <c r="AD183" t="s" s="0">
        <v>81</v>
      </c>
      <c r="AE183" t="s" s="0">
        <v>81</v>
      </c>
      <c r="AF183" t="s" s="0">
        <v>81</v>
      </c>
      <c r="AG183" t="s" s="0">
        <v>4403</v>
      </c>
      <c r="AH183" t="s" s="0">
        <v>81</v>
      </c>
      <c r="AI183" t="s" s="0">
        <v>4404</v>
      </c>
      <c r="AJ183" t="s" s="0">
        <v>81</v>
      </c>
      <c r="AK183" t="s" s="0">
        <v>81</v>
      </c>
      <c r="AL183" t="s" s="0">
        <v>2026</v>
      </c>
      <c r="AM183" t="s" s="0">
        <v>77</v>
      </c>
      <c r="AN183" t="s" s="0">
        <v>77</v>
      </c>
      <c r="AO183" t="s" s="0">
        <v>101</v>
      </c>
      <c r="AP183" t="s" s="0">
        <v>101</v>
      </c>
      <c r="AQ183" t="s" s="0">
        <v>3435</v>
      </c>
      <c r="AR183" t="s" s="0">
        <v>3436</v>
      </c>
      <c r="AS183" t="s" s="0">
        <v>3437</v>
      </c>
      <c r="AT183" t="s" s="0">
        <v>3912</v>
      </c>
      <c r="AU183" t="s" s="0">
        <v>3913</v>
      </c>
      <c r="AV183" t="s" s="0">
        <v>81</v>
      </c>
      <c r="AW183" t="s" s="0">
        <v>3914</v>
      </c>
      <c r="AX183" t="s" s="0">
        <v>3915</v>
      </c>
      <c r="AY183" t="s" s="0">
        <v>4405</v>
      </c>
      <c r="AZ183" t="s" s="0">
        <v>144</v>
      </c>
      <c r="BA183" t="s" s="0">
        <v>4406</v>
      </c>
      <c r="BB183" t="s" s="0">
        <v>81</v>
      </c>
      <c r="BC183" t="s" s="0">
        <v>81</v>
      </c>
      <c r="BD183" t="s" s="0">
        <v>81</v>
      </c>
      <c r="BE183" t="s" s="0">
        <v>81</v>
      </c>
      <c r="BF183" t="s" s="0">
        <v>81</v>
      </c>
      <c r="BG183" t="s" s="0">
        <v>81</v>
      </c>
      <c r="BH183" t="s" s="0">
        <v>81</v>
      </c>
      <c r="BI183" t="s" s="0">
        <v>4407</v>
      </c>
      <c r="BJ183" t="s" s="0">
        <v>4408</v>
      </c>
      <c r="BK183" t="s" s="363">
        <f>HYPERLINK("http://dx.doi.org/10.1016/j.jdent.2026.106754","http://dx.doi.org/10.1016/j.jdent.2026.106754")</f>
        <v>4409</v>
      </c>
      <c r="BL183" t="s" s="0">
        <v>81</v>
      </c>
      <c r="BM183" t="s" s="0">
        <v>81</v>
      </c>
      <c r="BN183" t="s" s="0">
        <v>210</v>
      </c>
      <c r="BO183" t="s" s="0">
        <v>1934</v>
      </c>
      <c r="BP183" t="s" s="0">
        <v>1934</v>
      </c>
      <c r="BQ183" t="s" s="0">
        <v>4410</v>
      </c>
      <c r="BR183" t="s" s="0">
        <v>4411</v>
      </c>
      <c r="BS183" t="s" s="0">
        <v>4412</v>
      </c>
      <c r="BT183" t="s" s="364">
        <f>HYPERLINK("https://www.webofscience.com/wos/woscc/full-record/WOS:001807730400001","View Record in Web of Science")</f>
        <v>120</v>
      </c>
      <c r="BU183" t="s" s="0">
        <v>81</v>
      </c>
      <c r="BV183" t="s" s="0">
        <v>81</v>
      </c>
      <c r="BW183" t="s" s="0">
        <v>81</v>
      </c>
      <c r="BX183" t="s" s="0">
        <v>122</v>
      </c>
    </row>
    <row r="184">
      <c r="A184" t="s" s="0">
        <v>77</v>
      </c>
      <c r="B184" t="s" s="0">
        <v>77</v>
      </c>
      <c r="C184" t="s" s="0">
        <v>77</v>
      </c>
      <c r="D184" t="s" s="0">
        <v>77</v>
      </c>
      <c r="E184" t="s" s="0">
        <v>4413</v>
      </c>
      <c r="F184" t="s" s="0">
        <v>4414</v>
      </c>
      <c r="G184" t="s" s="0">
        <v>4415</v>
      </c>
      <c r="H184" t="s" s="0">
        <v>81</v>
      </c>
      <c r="I184" t="s" s="0">
        <v>218</v>
      </c>
      <c r="J184" t="s" s="0">
        <v>4416</v>
      </c>
      <c r="K184" t="s" s="0">
        <v>81</v>
      </c>
      <c r="L184" t="s" s="0">
        <v>81</v>
      </c>
      <c r="M184" t="s" s="0">
        <v>81</v>
      </c>
      <c r="N184" t="s" s="0">
        <v>81</v>
      </c>
      <c r="O184" t="s" s="0">
        <v>4417</v>
      </c>
      <c r="P184" t="s" s="0">
        <v>4418</v>
      </c>
      <c r="Q184" t="s" s="0">
        <v>90</v>
      </c>
      <c r="R184" t="s" s="0">
        <v>81</v>
      </c>
      <c r="S184" t="s" s="0">
        <v>81</v>
      </c>
      <c r="T184" t="s" s="0">
        <v>81</v>
      </c>
      <c r="U184" t="s" s="0">
        <v>81</v>
      </c>
      <c r="V184" t="s" s="0">
        <v>4419</v>
      </c>
      <c r="W184" t="s" s="0">
        <v>4420</v>
      </c>
      <c r="X184" t="s" s="0">
        <v>81</v>
      </c>
      <c r="Y184" t="s" s="0">
        <v>81</v>
      </c>
      <c r="Z184" t="s" s="0">
        <v>93</v>
      </c>
      <c r="AA184" t="s" s="0">
        <v>94</v>
      </c>
      <c r="AB184" t="s" s="0">
        <v>81</v>
      </c>
      <c r="AC184" t="s" s="0">
        <v>81</v>
      </c>
      <c r="AD184" t="s" s="0">
        <v>81</v>
      </c>
      <c r="AE184" t="s" s="0">
        <v>81</v>
      </c>
      <c r="AF184" t="s" s="0">
        <v>81</v>
      </c>
      <c r="AG184" t="s" s="0">
        <v>4421</v>
      </c>
      <c r="AH184" t="s" s="0">
        <v>81</v>
      </c>
      <c r="AI184" t="s" s="0">
        <v>4422</v>
      </c>
      <c r="AJ184" t="s" s="0">
        <v>81</v>
      </c>
      <c r="AK184" t="s" s="0">
        <v>81</v>
      </c>
      <c r="AL184" t="s" s="0">
        <v>111</v>
      </c>
      <c r="AM184" t="s" s="0">
        <v>77</v>
      </c>
      <c r="AN184" t="s" s="0">
        <v>77</v>
      </c>
      <c r="AO184" t="s" s="0">
        <v>77</v>
      </c>
      <c r="AP184" t="s" s="0">
        <v>77</v>
      </c>
      <c r="AQ184" t="s" s="0">
        <v>4423</v>
      </c>
      <c r="AR184" t="s" s="0">
        <v>4424</v>
      </c>
      <c r="AS184" t="s" s="0">
        <v>4425</v>
      </c>
      <c r="AT184" t="s" s="0">
        <v>4426</v>
      </c>
      <c r="AU184" t="s" s="0">
        <v>4427</v>
      </c>
      <c r="AV184" t="s" s="0">
        <v>81</v>
      </c>
      <c r="AW184" t="s" s="0">
        <v>4428</v>
      </c>
      <c r="AX184" t="s" s="0">
        <v>4429</v>
      </c>
      <c r="AY184" t="s" s="0">
        <v>110</v>
      </c>
      <c r="AZ184" t="s" s="0">
        <v>110</v>
      </c>
      <c r="BA184" t="s" s="0">
        <v>265</v>
      </c>
      <c r="BB184" t="s" s="0">
        <v>102</v>
      </c>
      <c r="BC184" t="s" s="0">
        <v>81</v>
      </c>
      <c r="BD184" t="s" s="0">
        <v>81</v>
      </c>
      <c r="BE184" t="s" s="0">
        <v>81</v>
      </c>
      <c r="BF184" t="s" s="0">
        <v>81</v>
      </c>
      <c r="BG184" t="s" s="0">
        <v>2100</v>
      </c>
      <c r="BH184" t="s" s="0">
        <v>4430</v>
      </c>
      <c r="BI184" t="s" s="0">
        <v>81</v>
      </c>
      <c r="BJ184" t="s" s="0">
        <v>81</v>
      </c>
      <c r="BK184" t="s" s="0">
        <v>81</v>
      </c>
      <c r="BL184" t="s" s="0">
        <v>81</v>
      </c>
      <c r="BM184" t="s" s="0">
        <v>81</v>
      </c>
      <c r="BN184" t="s" s="0">
        <v>210</v>
      </c>
      <c r="BO184" t="s" s="0">
        <v>4203</v>
      </c>
      <c r="BP184" t="s" s="0">
        <v>303</v>
      </c>
      <c r="BQ184" t="s" s="0">
        <v>4431</v>
      </c>
      <c r="BR184" t="s" s="0">
        <v>81</v>
      </c>
      <c r="BS184" t="s" s="0">
        <v>4432</v>
      </c>
      <c r="BT184" t="s" s="365">
        <f>HYPERLINK("https://www.webofscience.com/wos/woscc/full-record/WOS:001638661700001","View Record in Web of Science")</f>
        <v>120</v>
      </c>
      <c r="BU184" t="s" s="0">
        <v>81</v>
      </c>
      <c r="BV184" t="s" s="0">
        <v>81</v>
      </c>
      <c r="BW184" t="s" s="0">
        <v>81</v>
      </c>
      <c r="BX184" t="s" s="0">
        <v>122</v>
      </c>
    </row>
    <row r="185">
      <c r="A185" t="s" s="0">
        <v>77</v>
      </c>
      <c r="B185" t="s" s="0">
        <v>77</v>
      </c>
      <c r="C185" t="s" s="0">
        <v>77</v>
      </c>
      <c r="D185" t="s" s="0">
        <v>77</v>
      </c>
      <c r="E185" t="s" s="0">
        <v>4433</v>
      </c>
      <c r="F185" t="s" s="0">
        <v>4434</v>
      </c>
      <c r="G185" t="s" s="0">
        <v>4435</v>
      </c>
      <c r="H185" t="s" s="0">
        <v>81</v>
      </c>
      <c r="I185" t="s" s="0">
        <v>82</v>
      </c>
      <c r="J185" t="s" s="0">
        <v>4436</v>
      </c>
      <c r="K185" t="s" s="0">
        <v>4437</v>
      </c>
      <c r="L185" t="s" s="0">
        <v>4438</v>
      </c>
      <c r="M185" t="s" s="0">
        <v>4439</v>
      </c>
      <c r="N185" t="s" s="0">
        <v>4440</v>
      </c>
      <c r="O185" t="s" s="0">
        <v>4441</v>
      </c>
      <c r="P185" t="s" s="0">
        <v>4442</v>
      </c>
      <c r="Q185" t="s" s="0">
        <v>90</v>
      </c>
      <c r="R185" t="s" s="0">
        <v>81</v>
      </c>
      <c r="S185" t="s" s="0">
        <v>81</v>
      </c>
      <c r="T185" t="s" s="0">
        <v>81</v>
      </c>
      <c r="U185" t="s" s="0">
        <v>81</v>
      </c>
      <c r="V185" t="s" s="0">
        <v>4443</v>
      </c>
      <c r="W185" t="s" s="0">
        <v>4444</v>
      </c>
      <c r="X185" t="s" s="0">
        <v>81</v>
      </c>
      <c r="Y185" t="s" s="0">
        <v>81</v>
      </c>
      <c r="Z185" t="s" s="0">
        <v>93</v>
      </c>
      <c r="AA185" t="s" s="0">
        <v>94</v>
      </c>
      <c r="AB185" t="s" s="0">
        <v>81</v>
      </c>
      <c r="AC185" t="s" s="0">
        <v>81</v>
      </c>
      <c r="AD185" t="s" s="0">
        <v>81</v>
      </c>
      <c r="AE185" t="s" s="0">
        <v>81</v>
      </c>
      <c r="AF185" t="s" s="0">
        <v>81</v>
      </c>
      <c r="AG185" t="s" s="0">
        <v>4445</v>
      </c>
      <c r="AH185" t="s" s="0">
        <v>81</v>
      </c>
      <c r="AI185" t="s" s="0">
        <v>4446</v>
      </c>
      <c r="AJ185" t="s" s="0">
        <v>81</v>
      </c>
      <c r="AK185" t="s" s="0">
        <v>81</v>
      </c>
      <c r="AL185" t="s" s="0">
        <v>2811</v>
      </c>
      <c r="AM185" t="s" s="0">
        <v>77</v>
      </c>
      <c r="AN185" t="s" s="0">
        <v>77</v>
      </c>
      <c r="AO185" t="s" s="0">
        <v>386</v>
      </c>
      <c r="AP185" t="s" s="0">
        <v>386</v>
      </c>
      <c r="AQ185" t="s" s="0">
        <v>3637</v>
      </c>
      <c r="AR185" t="s" s="0">
        <v>528</v>
      </c>
      <c r="AS185" t="s" s="0">
        <v>3638</v>
      </c>
      <c r="AT185" t="s" s="0">
        <v>4447</v>
      </c>
      <c r="AU185" t="s" s="0">
        <v>4448</v>
      </c>
      <c r="AV185" t="s" s="0">
        <v>81</v>
      </c>
      <c r="AW185" t="s" s="0">
        <v>4449</v>
      </c>
      <c r="AX185" t="s" s="0">
        <v>4450</v>
      </c>
      <c r="AY185" t="s" s="0">
        <v>3149</v>
      </c>
      <c r="AZ185" t="s" s="0">
        <v>144</v>
      </c>
      <c r="BA185" t="s" s="0">
        <v>4451</v>
      </c>
      <c r="BB185" t="s" s="0">
        <v>81</v>
      </c>
      <c r="BC185" t="s" s="0">
        <v>81</v>
      </c>
      <c r="BD185" t="s" s="0">
        <v>81</v>
      </c>
      <c r="BE185" t="s" s="0">
        <v>81</v>
      </c>
      <c r="BF185" t="s" s="0">
        <v>81</v>
      </c>
      <c r="BG185" t="s" s="0">
        <v>81</v>
      </c>
      <c r="BH185" t="s" s="0">
        <v>81</v>
      </c>
      <c r="BI185" t="s" s="0">
        <v>4452</v>
      </c>
      <c r="BJ185" t="s" s="0">
        <v>4453</v>
      </c>
      <c r="BK185" t="s" s="366">
        <f>HYPERLINK("http://dx.doi.org/10.1016/j.eswa.2026.132008","http://dx.doi.org/10.1016/j.eswa.2026.132008")</f>
        <v>4454</v>
      </c>
      <c r="BL185" t="s" s="0">
        <v>81</v>
      </c>
      <c r="BM185" t="s" s="0">
        <v>81</v>
      </c>
      <c r="BN185" t="s" s="0">
        <v>438</v>
      </c>
      <c r="BO185" t="s" s="0">
        <v>4455</v>
      </c>
      <c r="BP185" t="s" s="0">
        <v>4456</v>
      </c>
      <c r="BQ185" t="s" s="0">
        <v>4457</v>
      </c>
      <c r="BR185" t="s" s="0">
        <v>81</v>
      </c>
      <c r="BS185" t="s" s="0">
        <v>4458</v>
      </c>
      <c r="BT185" t="s" s="367">
        <f>HYPERLINK("https://www.webofscience.com/wos/woscc/full-record/WOS:001721139800001","View Record in Web of Science")</f>
        <v>120</v>
      </c>
      <c r="BU185" t="s" s="0">
        <v>81</v>
      </c>
      <c r="BV185" t="s" s="0">
        <v>81</v>
      </c>
      <c r="BW185" t="s" s="0">
        <v>81</v>
      </c>
      <c r="BX185" t="s" s="0">
        <v>122</v>
      </c>
    </row>
    <row r="186">
      <c r="A186" t="s" s="0">
        <v>77</v>
      </c>
      <c r="B186" t="s" s="0">
        <v>77</v>
      </c>
      <c r="C186" t="s" s="0">
        <v>77</v>
      </c>
      <c r="D186" t="s" s="0">
        <v>77</v>
      </c>
      <c r="E186" t="s" s="0">
        <v>4459</v>
      </c>
      <c r="F186" t="s" s="0">
        <v>4460</v>
      </c>
      <c r="G186" t="s" s="0">
        <v>4461</v>
      </c>
      <c r="H186" t="s" s="0">
        <v>81</v>
      </c>
      <c r="I186" t="s" s="0">
        <v>82</v>
      </c>
      <c r="J186" t="s" s="0">
        <v>4462</v>
      </c>
      <c r="K186" t="s" s="0">
        <v>4463</v>
      </c>
      <c r="L186" t="s" s="0">
        <v>81</v>
      </c>
      <c r="M186" t="s" s="0">
        <v>81</v>
      </c>
      <c r="N186" t="s" s="0">
        <v>81</v>
      </c>
      <c r="O186" t="s" s="0">
        <v>4464</v>
      </c>
      <c r="P186" t="s" s="0">
        <v>4465</v>
      </c>
      <c r="Q186" t="s" s="0">
        <v>90</v>
      </c>
      <c r="R186" t="s" s="0">
        <v>81</v>
      </c>
      <c r="S186" t="s" s="0">
        <v>81</v>
      </c>
      <c r="T186" t="s" s="0">
        <v>81</v>
      </c>
      <c r="U186" t="s" s="0">
        <v>81</v>
      </c>
      <c r="V186" t="s" s="0">
        <v>4466</v>
      </c>
      <c r="W186" t="s" s="0">
        <v>4467</v>
      </c>
      <c r="X186" t="s" s="0">
        <v>81</v>
      </c>
      <c r="Y186" t="s" s="0">
        <v>81</v>
      </c>
      <c r="Z186" t="s" s="0">
        <v>93</v>
      </c>
      <c r="AA186" t="s" s="0">
        <v>94</v>
      </c>
      <c r="AB186" t="s" s="0">
        <v>81</v>
      </c>
      <c r="AC186" t="s" s="0">
        <v>81</v>
      </c>
      <c r="AD186" t="s" s="0">
        <v>81</v>
      </c>
      <c r="AE186" t="s" s="0">
        <v>81</v>
      </c>
      <c r="AF186" t="s" s="0">
        <v>81</v>
      </c>
      <c r="AG186" t="s" s="0">
        <v>81</v>
      </c>
      <c r="AH186" t="s" s="0">
        <v>81</v>
      </c>
      <c r="AI186" t="s" s="0">
        <v>4468</v>
      </c>
      <c r="AJ186" t="s" s="0">
        <v>81</v>
      </c>
      <c r="AK186" t="s" s="0">
        <v>81</v>
      </c>
      <c r="AL186" t="s" s="0">
        <v>1232</v>
      </c>
      <c r="AM186" t="s" s="0">
        <v>77</v>
      </c>
      <c r="AN186" t="s" s="0">
        <v>77</v>
      </c>
      <c r="AO186" t="s" s="0">
        <v>77</v>
      </c>
      <c r="AP186" t="s" s="0">
        <v>169</v>
      </c>
      <c r="AQ186" t="s" s="0">
        <v>4469</v>
      </c>
      <c r="AR186" t="s" s="0">
        <v>1179</v>
      </c>
      <c r="AS186" t="s" s="0">
        <v>4470</v>
      </c>
      <c r="AT186" t="s" s="0">
        <v>4471</v>
      </c>
      <c r="AU186" t="s" s="0">
        <v>4472</v>
      </c>
      <c r="AV186" t="s" s="0">
        <v>81</v>
      </c>
      <c r="AW186" t="s" s="0">
        <v>4473</v>
      </c>
      <c r="AX186" t="s" s="0">
        <v>4474</v>
      </c>
      <c r="AY186" t="s" s="0">
        <v>2055</v>
      </c>
      <c r="AZ186" t="s" s="0">
        <v>144</v>
      </c>
      <c r="BA186" t="s" s="0">
        <v>4475</v>
      </c>
      <c r="BB186" t="s" s="0">
        <v>169</v>
      </c>
      <c r="BC186" t="s" s="0">
        <v>81</v>
      </c>
      <c r="BD186" t="s" s="0">
        <v>81</v>
      </c>
      <c r="BE186" t="s" s="0">
        <v>81</v>
      </c>
      <c r="BF186" t="s" s="0">
        <v>81</v>
      </c>
      <c r="BG186" t="s" s="0">
        <v>1135</v>
      </c>
      <c r="BH186" t="s" s="0">
        <v>4476</v>
      </c>
      <c r="BI186" t="s" s="0">
        <v>81</v>
      </c>
      <c r="BJ186" t="s" s="0">
        <v>4477</v>
      </c>
      <c r="BK186" t="s" s="368">
        <f>HYPERLINK("http://dx.doi.org/10.1016/j.joms.2025.09.016","http://dx.doi.org/10.1016/j.joms.2025.09.016")</f>
        <v>4478</v>
      </c>
      <c r="BL186" t="s" s="0">
        <v>81</v>
      </c>
      <c r="BM186" t="s" s="0">
        <v>2055</v>
      </c>
      <c r="BN186" t="s" s="0">
        <v>360</v>
      </c>
      <c r="BO186" t="s" s="0">
        <v>1934</v>
      </c>
      <c r="BP186" t="s" s="0">
        <v>1934</v>
      </c>
      <c r="BQ186" t="s" s="0">
        <v>4479</v>
      </c>
      <c r="BR186" t="s" s="0">
        <v>4480</v>
      </c>
      <c r="BS186" t="s" s="0">
        <v>4481</v>
      </c>
      <c r="BT186" t="s" s="369">
        <f>HYPERLINK("https://www.webofscience.com/wos/woscc/full-record/WOS:001659533300002","View Record in Web of Science")</f>
        <v>120</v>
      </c>
      <c r="BU186" t="s" s="0">
        <v>81</v>
      </c>
      <c r="BV186" t="s" s="0">
        <v>81</v>
      </c>
      <c r="BW186" t="s" s="0">
        <v>81</v>
      </c>
      <c r="BX186" t="s" s="0">
        <v>122</v>
      </c>
    </row>
    <row r="187">
      <c r="A187" t="s" s="0">
        <v>77</v>
      </c>
      <c r="B187" t="s" s="0">
        <v>77</v>
      </c>
      <c r="C187" t="s" s="0">
        <v>77</v>
      </c>
      <c r="D187" t="s" s="0">
        <v>77</v>
      </c>
      <c r="E187" t="s" s="0">
        <v>4482</v>
      </c>
      <c r="F187" t="s" s="0">
        <v>4483</v>
      </c>
      <c r="G187" t="s" s="0">
        <v>4484</v>
      </c>
      <c r="H187" t="s" s="0">
        <v>81</v>
      </c>
      <c r="I187" t="s" s="0">
        <v>82</v>
      </c>
      <c r="J187" t="s" s="0">
        <v>4485</v>
      </c>
      <c r="K187" t="s" s="0">
        <v>4486</v>
      </c>
      <c r="L187" t="s" s="0">
        <v>81</v>
      </c>
      <c r="M187" t="s" s="0">
        <v>81</v>
      </c>
      <c r="N187" t="s" s="0">
        <v>81</v>
      </c>
      <c r="O187" t="s" s="0">
        <v>4487</v>
      </c>
      <c r="P187" t="s" s="0">
        <v>81</v>
      </c>
      <c r="Q187" t="s" s="0">
        <v>90</v>
      </c>
      <c r="R187" t="s" s="0">
        <v>81</v>
      </c>
      <c r="S187" t="s" s="0">
        <v>81</v>
      </c>
      <c r="T187" t="s" s="0">
        <v>81</v>
      </c>
      <c r="U187" t="s" s="0">
        <v>81</v>
      </c>
      <c r="V187" t="s" s="0">
        <v>4488</v>
      </c>
      <c r="W187" t="s" s="0">
        <v>3887</v>
      </c>
      <c r="X187" t="s" s="0">
        <v>81</v>
      </c>
      <c r="Y187" t="s" s="0">
        <v>81</v>
      </c>
      <c r="Z187" t="s" s="0">
        <v>93</v>
      </c>
      <c r="AA187" t="s" s="0">
        <v>94</v>
      </c>
      <c r="AB187" t="s" s="0">
        <v>81</v>
      </c>
      <c r="AC187" t="s" s="0">
        <v>81</v>
      </c>
      <c r="AD187" t="s" s="0">
        <v>81</v>
      </c>
      <c r="AE187" t="s" s="0">
        <v>81</v>
      </c>
      <c r="AF187" t="s" s="0">
        <v>81</v>
      </c>
      <c r="AG187" t="s" s="0">
        <v>4489</v>
      </c>
      <c r="AH187" t="s" s="0">
        <v>4490</v>
      </c>
      <c r="AI187" t="s" s="0">
        <v>81</v>
      </c>
      <c r="AJ187" t="s" s="0">
        <v>81</v>
      </c>
      <c r="AK187" t="s" s="0">
        <v>81</v>
      </c>
      <c r="AL187" t="s" s="0">
        <v>582</v>
      </c>
      <c r="AM187" t="s" s="0">
        <v>77</v>
      </c>
      <c r="AN187" t="s" s="0">
        <v>77</v>
      </c>
      <c r="AO187" t="s" s="0">
        <v>554</v>
      </c>
      <c r="AP187" t="s" s="0">
        <v>554</v>
      </c>
      <c r="AQ187" t="s" s="0">
        <v>712</v>
      </c>
      <c r="AR187" t="s" s="0">
        <v>500</v>
      </c>
      <c r="AS187" t="s" s="0">
        <v>3042</v>
      </c>
      <c r="AT187" t="s" s="0">
        <v>3891</v>
      </c>
      <c r="AU187" t="s" s="0">
        <v>3892</v>
      </c>
      <c r="AV187" t="s" s="0">
        <v>81</v>
      </c>
      <c r="AW187" t="s" s="0">
        <v>3893</v>
      </c>
      <c r="AX187" t="s" s="0">
        <v>3894</v>
      </c>
      <c r="AY187" t="s" s="0">
        <v>3047</v>
      </c>
      <c r="AZ187" t="s" s="0">
        <v>144</v>
      </c>
      <c r="BA187" t="s" s="0">
        <v>3643</v>
      </c>
      <c r="BB187" t="s" s="0">
        <v>81</v>
      </c>
      <c r="BC187" t="s" s="0">
        <v>81</v>
      </c>
      <c r="BD187" t="s" s="0">
        <v>81</v>
      </c>
      <c r="BE187" t="s" s="0">
        <v>81</v>
      </c>
      <c r="BF187" t="s" s="0">
        <v>81</v>
      </c>
      <c r="BG187" t="s" s="0">
        <v>81</v>
      </c>
      <c r="BH187" t="s" s="0">
        <v>81</v>
      </c>
      <c r="BI187" t="s" s="0">
        <v>4491</v>
      </c>
      <c r="BJ187" t="s" s="0">
        <v>4492</v>
      </c>
      <c r="BK187" t="s" s="370">
        <f>HYPERLINK("http://dx.doi.org/10.1016/j.clinimag.2026.110841","http://dx.doi.org/10.1016/j.clinimag.2026.110841")</f>
        <v>4493</v>
      </c>
      <c r="BL187" t="s" s="0">
        <v>81</v>
      </c>
      <c r="BM187" t="s" s="0">
        <v>81</v>
      </c>
      <c r="BN187" t="s" s="0">
        <v>320</v>
      </c>
      <c r="BO187" t="s" s="0">
        <v>182</v>
      </c>
      <c r="BP187" t="s" s="0">
        <v>182</v>
      </c>
      <c r="BQ187" t="s" s="0">
        <v>4494</v>
      </c>
      <c r="BR187" t="s" s="0">
        <v>4495</v>
      </c>
      <c r="BS187" t="s" s="0">
        <v>4496</v>
      </c>
      <c r="BT187" t="s" s="371">
        <f>HYPERLINK("https://www.webofscience.com/wos/woscc/full-record/WOS:001792195000001","View Record in Web of Science")</f>
        <v>120</v>
      </c>
      <c r="BU187" t="s" s="0">
        <v>81</v>
      </c>
      <c r="BV187" t="s" s="0">
        <v>81</v>
      </c>
      <c r="BW187" t="s" s="0">
        <v>81</v>
      </c>
      <c r="BX187" t="s" s="0">
        <v>122</v>
      </c>
    </row>
    <row r="188">
      <c r="A188" t="s" s="0">
        <v>77</v>
      </c>
      <c r="B188" t="s" s="0">
        <v>77</v>
      </c>
      <c r="C188" t="s" s="0">
        <v>101</v>
      </c>
      <c r="D188" t="s" s="0">
        <v>77</v>
      </c>
      <c r="E188" t="s" s="0">
        <v>4497</v>
      </c>
      <c r="F188" t="s" s="0">
        <v>4498</v>
      </c>
      <c r="G188" t="s" s="0">
        <v>4499</v>
      </c>
      <c r="H188" t="s" s="0">
        <v>81</v>
      </c>
      <c r="I188" t="s" s="0">
        <v>82</v>
      </c>
      <c r="J188" t="s" s="0">
        <v>4500</v>
      </c>
      <c r="K188" t="s" s="0">
        <v>2067</v>
      </c>
      <c r="L188" t="s" s="0">
        <v>4501</v>
      </c>
      <c r="M188" t="s" s="0">
        <v>4501</v>
      </c>
      <c r="N188" t="s" s="0">
        <v>4502</v>
      </c>
      <c r="O188" t="s" s="0">
        <v>4503</v>
      </c>
      <c r="P188" t="s" s="0">
        <v>4504</v>
      </c>
      <c r="Q188" t="s" s="0">
        <v>90</v>
      </c>
      <c r="R188" t="s" s="0">
        <v>81</v>
      </c>
      <c r="S188" t="s" s="0">
        <v>81</v>
      </c>
      <c r="T188" t="s" s="0">
        <v>81</v>
      </c>
      <c r="U188" t="s" s="0">
        <v>81</v>
      </c>
      <c r="V188" t="s" s="0">
        <v>4505</v>
      </c>
      <c r="W188" t="s" s="0">
        <v>4506</v>
      </c>
      <c r="X188" t="s" s="0">
        <v>81</v>
      </c>
      <c r="Y188" t="s" s="0">
        <v>81</v>
      </c>
      <c r="Z188" t="s" s="0">
        <v>93</v>
      </c>
      <c r="AA188" t="s" s="0">
        <v>94</v>
      </c>
      <c r="AB188" t="s" s="0">
        <v>81</v>
      </c>
      <c r="AC188" t="s" s="0">
        <v>81</v>
      </c>
      <c r="AD188" t="s" s="0">
        <v>81</v>
      </c>
      <c r="AE188" t="s" s="0">
        <v>81</v>
      </c>
      <c r="AF188" t="s" s="0">
        <v>81</v>
      </c>
      <c r="AG188" t="s" s="0">
        <v>4507</v>
      </c>
      <c r="AH188" t="s" s="0">
        <v>81</v>
      </c>
      <c r="AI188" t="s" s="0">
        <v>4508</v>
      </c>
      <c r="AJ188" t="s" s="0">
        <v>4509</v>
      </c>
      <c r="AK188" t="s" s="0">
        <v>81</v>
      </c>
      <c r="AL188" t="s" s="0">
        <v>583</v>
      </c>
      <c r="AM188" t="s" s="0">
        <v>115</v>
      </c>
      <c r="AN188" t="s" s="0">
        <v>509</v>
      </c>
      <c r="AO188" t="s" s="0">
        <v>554</v>
      </c>
      <c r="AP188" t="s" s="0">
        <v>210</v>
      </c>
      <c r="AQ188" t="s" s="0">
        <v>4510</v>
      </c>
      <c r="AR188" t="s" s="0">
        <v>201</v>
      </c>
      <c r="AS188" t="s" s="0">
        <v>4511</v>
      </c>
      <c r="AT188" t="s" s="0">
        <v>4512</v>
      </c>
      <c r="AU188" t="s" s="0">
        <v>4513</v>
      </c>
      <c r="AV188" t="s" s="0">
        <v>81</v>
      </c>
      <c r="AW188" t="s" s="0">
        <v>4514</v>
      </c>
      <c r="AX188" t="s" s="0">
        <v>4515</v>
      </c>
      <c r="AY188" t="s" s="0">
        <v>1056</v>
      </c>
      <c r="AZ188" t="s" s="0">
        <v>110</v>
      </c>
      <c r="BA188" t="s" s="0">
        <v>4516</v>
      </c>
      <c r="BB188" t="s" s="0">
        <v>452</v>
      </c>
      <c r="BC188" t="s" s="0">
        <v>81</v>
      </c>
      <c r="BD188" t="s" s="0">
        <v>81</v>
      </c>
      <c r="BE188" t="s" s="0">
        <v>81</v>
      </c>
      <c r="BF188" t="s" s="0">
        <v>81</v>
      </c>
      <c r="BG188" t="s" s="0">
        <v>4517</v>
      </c>
      <c r="BH188" t="s" s="0">
        <v>4518</v>
      </c>
      <c r="BI188" t="s" s="0">
        <v>81</v>
      </c>
      <c r="BJ188" t="s" s="0">
        <v>4519</v>
      </c>
      <c r="BK188" t="s" s="372">
        <f>HYPERLINK("http://dx.doi.org/10.1308/rcsann.2023.0085","http://dx.doi.org/10.1308/rcsann.2023.0085")</f>
        <v>4520</v>
      </c>
      <c r="BL188" t="s" s="0">
        <v>81</v>
      </c>
      <c r="BM188" t="s" s="0">
        <v>81</v>
      </c>
      <c r="BN188" t="s" s="0">
        <v>386</v>
      </c>
      <c r="BO188" t="s" s="0">
        <v>3559</v>
      </c>
      <c r="BP188" t="s" s="0">
        <v>3559</v>
      </c>
      <c r="BQ188" t="s" s="0">
        <v>4521</v>
      </c>
      <c r="BR188" t="s" s="0">
        <v>4522</v>
      </c>
      <c r="BS188" t="s" s="0">
        <v>4523</v>
      </c>
      <c r="BT188" t="s" s="373">
        <f>HYPERLINK("https://www.webofscience.com/wos/woscc/full-record/WOS:001525642300009","View Record in Web of Science")</f>
        <v>120</v>
      </c>
      <c r="BU188" t="s" s="0">
        <v>805</v>
      </c>
      <c r="BV188" t="s" s="0">
        <v>81</v>
      </c>
      <c r="BW188" t="s" s="0">
        <v>81</v>
      </c>
      <c r="BX188" t="s" s="0">
        <v>122</v>
      </c>
    </row>
    <row r="189">
      <c r="A189" t="s" s="0">
        <v>77</v>
      </c>
      <c r="B189" t="s" s="0">
        <v>77</v>
      </c>
      <c r="C189" t="s" s="0">
        <v>77</v>
      </c>
      <c r="D189" t="s" s="0">
        <v>77</v>
      </c>
      <c r="E189" t="s" s="0">
        <v>4524</v>
      </c>
      <c r="F189" t="s" s="0">
        <v>4525</v>
      </c>
      <c r="G189" t="s" s="0">
        <v>4526</v>
      </c>
      <c r="H189" t="s" s="0">
        <v>81</v>
      </c>
      <c r="I189" t="s" s="0">
        <v>82</v>
      </c>
      <c r="J189" t="s" s="0">
        <v>4527</v>
      </c>
      <c r="K189" t="s" s="0">
        <v>4528</v>
      </c>
      <c r="L189" t="s" s="0">
        <v>81</v>
      </c>
      <c r="M189" t="s" s="0">
        <v>81</v>
      </c>
      <c r="N189" t="s" s="0">
        <v>81</v>
      </c>
      <c r="O189" t="s" s="0">
        <v>4529</v>
      </c>
      <c r="P189" t="s" s="0">
        <v>4530</v>
      </c>
      <c r="Q189" t="s" s="0">
        <v>90</v>
      </c>
      <c r="R189" t="s" s="0">
        <v>81</v>
      </c>
      <c r="S189" t="s" s="0">
        <v>81</v>
      </c>
      <c r="T189" t="s" s="0">
        <v>81</v>
      </c>
      <c r="U189" t="s" s="0">
        <v>81</v>
      </c>
      <c r="V189" t="s" s="0">
        <v>4531</v>
      </c>
      <c r="W189" t="s" s="0">
        <v>4532</v>
      </c>
      <c r="X189" t="s" s="0">
        <v>81</v>
      </c>
      <c r="Y189" t="s" s="0">
        <v>81</v>
      </c>
      <c r="Z189" t="s" s="0">
        <v>93</v>
      </c>
      <c r="AA189" t="s" s="0">
        <v>196</v>
      </c>
      <c r="AB189" t="s" s="0">
        <v>81</v>
      </c>
      <c r="AC189" t="s" s="0">
        <v>81</v>
      </c>
      <c r="AD189" t="s" s="0">
        <v>81</v>
      </c>
      <c r="AE189" t="s" s="0">
        <v>81</v>
      </c>
      <c r="AF189" t="s" s="0">
        <v>81</v>
      </c>
      <c r="AG189" t="s" s="0">
        <v>4533</v>
      </c>
      <c r="AH189" t="s" s="0">
        <v>4534</v>
      </c>
      <c r="AI189" t="s" s="0">
        <v>81</v>
      </c>
      <c r="AJ189" t="s" s="0">
        <v>81</v>
      </c>
      <c r="AK189" t="s" s="0">
        <v>81</v>
      </c>
      <c r="AL189" t="s" s="0">
        <v>1275</v>
      </c>
      <c r="AM189" t="s" s="0">
        <v>77</v>
      </c>
      <c r="AN189" t="s" s="0">
        <v>77</v>
      </c>
      <c r="AO189" t="s" s="0">
        <v>169</v>
      </c>
      <c r="AP189" t="s" s="0">
        <v>169</v>
      </c>
      <c r="AQ189" t="s" s="0">
        <v>4535</v>
      </c>
      <c r="AR189" t="s" s="0">
        <v>500</v>
      </c>
      <c r="AS189" t="s" s="0">
        <v>4536</v>
      </c>
      <c r="AT189" t="s" s="0">
        <v>4537</v>
      </c>
      <c r="AU189" t="s" s="0">
        <v>4538</v>
      </c>
      <c r="AV189" t="s" s="0">
        <v>81</v>
      </c>
      <c r="AW189" t="s" s="0">
        <v>4539</v>
      </c>
      <c r="AX189" t="s" s="0">
        <v>4540</v>
      </c>
      <c r="AY189" t="s" s="0">
        <v>81</v>
      </c>
      <c r="AZ189" t="s" s="0">
        <v>144</v>
      </c>
      <c r="BA189" t="s" s="0">
        <v>81</v>
      </c>
      <c r="BB189" t="s" s="0">
        <v>81</v>
      </c>
      <c r="BC189" t="s" s="0">
        <v>81</v>
      </c>
      <c r="BD189" t="s" s="0">
        <v>81</v>
      </c>
      <c r="BE189" t="s" s="0">
        <v>81</v>
      </c>
      <c r="BF189" t="s" s="0">
        <v>81</v>
      </c>
      <c r="BG189" t="s" s="0">
        <v>81</v>
      </c>
      <c r="BH189" t="s" s="0">
        <v>81</v>
      </c>
      <c r="BI189" t="s" s="0">
        <v>81</v>
      </c>
      <c r="BJ189" t="s" s="0">
        <v>4541</v>
      </c>
      <c r="BK189" t="s" s="374">
        <f>HYPERLINK("http://dx.doi.org/10.1055/a-2838-5446","http://dx.doi.org/10.1055/a-2838-5446")</f>
        <v>4542</v>
      </c>
      <c r="BL189" t="s" s="0">
        <v>81</v>
      </c>
      <c r="BM189" t="s" s="0">
        <v>177</v>
      </c>
      <c r="BN189" t="s" s="0">
        <v>328</v>
      </c>
      <c r="BO189" t="s" s="0">
        <v>4543</v>
      </c>
      <c r="BP189" t="s" s="0">
        <v>4543</v>
      </c>
      <c r="BQ189" t="s" s="0">
        <v>4544</v>
      </c>
      <c r="BR189" t="s" s="0">
        <v>4545</v>
      </c>
      <c r="BS189" t="s" s="0">
        <v>4546</v>
      </c>
      <c r="BT189" t="s" s="375">
        <f>HYPERLINK("https://www.webofscience.com/wos/woscc/full-record/WOS:001729862300001","View Record in Web of Science")</f>
        <v>120</v>
      </c>
      <c r="BU189" t="s" s="0">
        <v>81</v>
      </c>
      <c r="BV189" t="s" s="0">
        <v>81</v>
      </c>
      <c r="BW189" t="s" s="0">
        <v>81</v>
      </c>
      <c r="BX189" t="s" s="0">
        <v>122</v>
      </c>
    </row>
    <row r="190">
      <c r="A190" t="s" s="0">
        <v>77</v>
      </c>
      <c r="B190" t="s" s="0">
        <v>77</v>
      </c>
      <c r="C190" t="s" s="0">
        <v>77</v>
      </c>
      <c r="D190" t="s" s="0">
        <v>77</v>
      </c>
      <c r="E190" t="s" s="0">
        <v>4547</v>
      </c>
      <c r="F190" t="s" s="0">
        <v>4548</v>
      </c>
      <c r="G190" t="s" s="0">
        <v>4549</v>
      </c>
      <c r="H190" t="s" s="0">
        <v>81</v>
      </c>
      <c r="I190" t="s" s="0">
        <v>568</v>
      </c>
      <c r="J190" t="s" s="0">
        <v>4550</v>
      </c>
      <c r="K190" t="s" s="0">
        <v>4551</v>
      </c>
      <c r="L190" t="s" s="0">
        <v>81</v>
      </c>
      <c r="M190" t="s" s="0">
        <v>81</v>
      </c>
      <c r="N190" t="s" s="0">
        <v>81</v>
      </c>
      <c r="O190" t="s" s="0">
        <v>4552</v>
      </c>
      <c r="P190" t="s" s="0">
        <v>81</v>
      </c>
      <c r="Q190" t="s" s="0">
        <v>90</v>
      </c>
      <c r="R190" t="s" s="0">
        <v>81</v>
      </c>
      <c r="S190" t="s" s="0">
        <v>81</v>
      </c>
      <c r="T190" t="s" s="0">
        <v>81</v>
      </c>
      <c r="U190" t="s" s="0">
        <v>81</v>
      </c>
      <c r="V190" t="s" s="0">
        <v>4553</v>
      </c>
      <c r="W190" t="s" s="0">
        <v>2246</v>
      </c>
      <c r="X190" t="s" s="0">
        <v>81</v>
      </c>
      <c r="Y190" t="s" s="0">
        <v>81</v>
      </c>
      <c r="Z190" t="s" s="0">
        <v>93</v>
      </c>
      <c r="AA190" t="s" s="0">
        <v>94</v>
      </c>
      <c r="AB190" t="s" s="0">
        <v>81</v>
      </c>
      <c r="AC190" t="s" s="0">
        <v>81</v>
      </c>
      <c r="AD190" t="s" s="0">
        <v>81</v>
      </c>
      <c r="AE190" t="s" s="0">
        <v>81</v>
      </c>
      <c r="AF190" t="s" s="0">
        <v>81</v>
      </c>
      <c r="AG190" t="s" s="0">
        <v>4554</v>
      </c>
      <c r="AH190" t="s" s="0">
        <v>4555</v>
      </c>
      <c r="AI190" t="s" s="0">
        <v>81</v>
      </c>
      <c r="AJ190" t="s" s="0">
        <v>81</v>
      </c>
      <c r="AK190" t="s" s="0">
        <v>81</v>
      </c>
      <c r="AL190" t="s" s="0">
        <v>239</v>
      </c>
      <c r="AM190" t="s" s="0">
        <v>77</v>
      </c>
      <c r="AN190" t="s" s="0">
        <v>77</v>
      </c>
      <c r="AO190" t="s" s="0">
        <v>169</v>
      </c>
      <c r="AP190" t="s" s="0">
        <v>169</v>
      </c>
      <c r="AQ190" t="s" s="0">
        <v>353</v>
      </c>
      <c r="AR190" t="s" s="0">
        <v>354</v>
      </c>
      <c r="AS190" t="s" s="0">
        <v>355</v>
      </c>
      <c r="AT190" t="s" s="0">
        <v>81</v>
      </c>
      <c r="AU190" t="s" s="0">
        <v>2248</v>
      </c>
      <c r="AV190" t="s" s="0">
        <v>81</v>
      </c>
      <c r="AW190" t="s" s="0">
        <v>2249</v>
      </c>
      <c r="AX190" t="s" s="0">
        <v>2250</v>
      </c>
      <c r="AY190" t="s" s="0">
        <v>4556</v>
      </c>
      <c r="AZ190" t="s" s="0">
        <v>144</v>
      </c>
      <c r="BA190" t="s" s="0">
        <v>509</v>
      </c>
      <c r="BB190" t="s" s="0">
        <v>81</v>
      </c>
      <c r="BC190" t="s" s="0">
        <v>81</v>
      </c>
      <c r="BD190" t="s" s="0">
        <v>81</v>
      </c>
      <c r="BE190" t="s" s="0">
        <v>81</v>
      </c>
      <c r="BF190" t="s" s="0">
        <v>81</v>
      </c>
      <c r="BG190" t="s" s="0">
        <v>81</v>
      </c>
      <c r="BH190" t="s" s="0">
        <v>81</v>
      </c>
      <c r="BI190" t="s" s="0">
        <v>4557</v>
      </c>
      <c r="BJ190" t="s" s="0">
        <v>4558</v>
      </c>
      <c r="BK190" t="s" s="376">
        <f>HYPERLINK("http://dx.doi.org/10.3389/fpubh.2026.1818821","http://dx.doi.org/10.3389/fpubh.2026.1818821")</f>
        <v>4559</v>
      </c>
      <c r="BL190" t="s" s="0">
        <v>81</v>
      </c>
      <c r="BM190" t="s" s="0">
        <v>532</v>
      </c>
      <c r="BN190" t="s" s="0">
        <v>115</v>
      </c>
      <c r="BO190" t="s" s="0">
        <v>2254</v>
      </c>
      <c r="BP190" t="s" s="0">
        <v>2254</v>
      </c>
      <c r="BQ190" t="s" s="0">
        <v>4560</v>
      </c>
      <c r="BR190" t="s" s="0">
        <v>4561</v>
      </c>
      <c r="BS190" t="s" s="0">
        <v>4562</v>
      </c>
      <c r="BT190" t="s" s="377">
        <f>HYPERLINK("https://www.webofscience.com/wos/woscc/full-record/WOS:001804625200001","View Record in Web of Science")</f>
        <v>120</v>
      </c>
      <c r="BU190" t="s" s="0">
        <v>121</v>
      </c>
      <c r="BV190" t="s" s="0">
        <v>81</v>
      </c>
      <c r="BW190" t="s" s="0">
        <v>81</v>
      </c>
      <c r="BX190" t="s" s="0">
        <v>122</v>
      </c>
    </row>
    <row r="191">
      <c r="A191" t="s" s="0">
        <v>77</v>
      </c>
      <c r="B191" t="s" s="0">
        <v>77</v>
      </c>
      <c r="C191" t="s" s="0">
        <v>77</v>
      </c>
      <c r="D191" t="s" s="0">
        <v>77</v>
      </c>
      <c r="E191" t="s" s="0">
        <v>4563</v>
      </c>
      <c r="F191" t="s" s="0">
        <v>4564</v>
      </c>
      <c r="G191" t="s" s="0">
        <v>4565</v>
      </c>
      <c r="H191" t="s" s="0">
        <v>81</v>
      </c>
      <c r="I191" t="s" s="0">
        <v>568</v>
      </c>
      <c r="J191" t="s" s="0">
        <v>4566</v>
      </c>
      <c r="K191" t="s" s="0">
        <v>4567</v>
      </c>
      <c r="L191" t="s" s="0">
        <v>81</v>
      </c>
      <c r="M191" t="s" s="0">
        <v>81</v>
      </c>
      <c r="N191" t="s" s="0">
        <v>81</v>
      </c>
      <c r="O191" t="s" s="0">
        <v>4568</v>
      </c>
      <c r="P191" t="s" s="0">
        <v>4569</v>
      </c>
      <c r="Q191" t="s" s="0">
        <v>90</v>
      </c>
      <c r="R191" t="s" s="0">
        <v>81</v>
      </c>
      <c r="S191" t="s" s="0">
        <v>81</v>
      </c>
      <c r="T191" t="s" s="0">
        <v>81</v>
      </c>
      <c r="U191" t="s" s="0">
        <v>81</v>
      </c>
      <c r="V191" t="s" s="0">
        <v>4570</v>
      </c>
      <c r="W191" t="s" s="0">
        <v>4571</v>
      </c>
      <c r="X191" t="s" s="0">
        <v>81</v>
      </c>
      <c r="Y191" t="s" s="0">
        <v>81</v>
      </c>
      <c r="Z191" t="s" s="0">
        <v>93</v>
      </c>
      <c r="AA191" t="s" s="0">
        <v>94</v>
      </c>
      <c r="AB191" t="s" s="0">
        <v>81</v>
      </c>
      <c r="AC191" t="s" s="0">
        <v>81</v>
      </c>
      <c r="AD191" t="s" s="0">
        <v>81</v>
      </c>
      <c r="AE191" t="s" s="0">
        <v>81</v>
      </c>
      <c r="AF191" t="s" s="0">
        <v>81</v>
      </c>
      <c r="AG191" t="s" s="0">
        <v>4572</v>
      </c>
      <c r="AH191" t="s" s="0">
        <v>4573</v>
      </c>
      <c r="AI191" t="s" s="0">
        <v>4574</v>
      </c>
      <c r="AJ191" t="s" s="0">
        <v>81</v>
      </c>
      <c r="AK191" t="s" s="0">
        <v>81</v>
      </c>
      <c r="AL191" t="s" s="0">
        <v>1232</v>
      </c>
      <c r="AM191" t="s" s="0">
        <v>77</v>
      </c>
      <c r="AN191" t="s" s="0">
        <v>77</v>
      </c>
      <c r="AO191" t="s" s="0">
        <v>169</v>
      </c>
      <c r="AP191" t="s" s="0">
        <v>169</v>
      </c>
      <c r="AQ191" t="s" s="0">
        <v>137</v>
      </c>
      <c r="AR191" t="s" s="0">
        <v>138</v>
      </c>
      <c r="AS191" t="s" s="0">
        <v>139</v>
      </c>
      <c r="AT191" t="s" s="0">
        <v>81</v>
      </c>
      <c r="AU191" t="s" s="0">
        <v>4575</v>
      </c>
      <c r="AV191" t="s" s="0">
        <v>81</v>
      </c>
      <c r="AW191" t="s" s="0">
        <v>4576</v>
      </c>
      <c r="AX191" t="s" s="0">
        <v>4577</v>
      </c>
      <c r="AY191" t="s" s="0">
        <v>4578</v>
      </c>
      <c r="AZ191" t="s" s="0">
        <v>144</v>
      </c>
      <c r="BA191" t="s" s="0">
        <v>509</v>
      </c>
      <c r="BB191" t="s" s="0">
        <v>102</v>
      </c>
      <c r="BC191" t="s" s="0">
        <v>81</v>
      </c>
      <c r="BD191" t="s" s="0">
        <v>81</v>
      </c>
      <c r="BE191" t="s" s="0">
        <v>81</v>
      </c>
      <c r="BF191" t="s" s="0">
        <v>81</v>
      </c>
      <c r="BG191" t="s" s="0">
        <v>81</v>
      </c>
      <c r="BH191" t="s" s="0">
        <v>81</v>
      </c>
      <c r="BI191" t="s" s="0">
        <v>4579</v>
      </c>
      <c r="BJ191" t="s" s="0">
        <v>4580</v>
      </c>
      <c r="BK191" t="s" s="378">
        <f>HYPERLINK("http://dx.doi.org/10.3390/healthcare14101278","http://dx.doi.org/10.3390/healthcare14101278")</f>
        <v>4581</v>
      </c>
      <c r="BL191" t="s" s="0">
        <v>81</v>
      </c>
      <c r="BM191" t="s" s="0">
        <v>295</v>
      </c>
      <c r="BN191" t="s" s="0">
        <v>509</v>
      </c>
      <c r="BO191" t="s" s="0">
        <v>4582</v>
      </c>
      <c r="BP191" t="s" s="0">
        <v>2864</v>
      </c>
      <c r="BQ191" t="s" s="0">
        <v>4583</v>
      </c>
      <c r="BR191" t="s" s="0">
        <v>4584</v>
      </c>
      <c r="BS191" t="s" s="0">
        <v>4585</v>
      </c>
      <c r="BT191" t="s" s="379">
        <f>HYPERLINK("https://www.webofscience.com/wos/woscc/full-record/WOS:001774602800001","View Record in Web of Science")</f>
        <v>120</v>
      </c>
      <c r="BU191" t="s" s="0">
        <v>121</v>
      </c>
      <c r="BV191" t="s" s="0">
        <v>81</v>
      </c>
      <c r="BW191" t="s" s="0">
        <v>81</v>
      </c>
      <c r="BX191" t="s" s="0">
        <v>122</v>
      </c>
    </row>
    <row r="192">
      <c r="A192" t="s" s="0">
        <v>77</v>
      </c>
      <c r="B192" t="s" s="0">
        <v>77</v>
      </c>
      <c r="C192" t="s" s="0">
        <v>77</v>
      </c>
      <c r="D192" t="s" s="0">
        <v>77</v>
      </c>
      <c r="E192" t="s" s="0">
        <v>4586</v>
      </c>
      <c r="F192" t="s" s="0">
        <v>4587</v>
      </c>
      <c r="G192" t="s" s="0">
        <v>4588</v>
      </c>
      <c r="H192" t="s" s="0">
        <v>81</v>
      </c>
      <c r="I192" t="s" s="0">
        <v>82</v>
      </c>
      <c r="J192" t="s" s="0">
        <v>4589</v>
      </c>
      <c r="K192" t="s" s="0">
        <v>4590</v>
      </c>
      <c r="L192" t="s" s="0">
        <v>4591</v>
      </c>
      <c r="M192" t="s" s="0">
        <v>4592</v>
      </c>
      <c r="N192" t="s" s="0">
        <v>4593</v>
      </c>
      <c r="O192" t="s" s="0">
        <v>4594</v>
      </c>
      <c r="P192" t="s" s="0">
        <v>4595</v>
      </c>
      <c r="Q192" t="s" s="0">
        <v>90</v>
      </c>
      <c r="R192" t="s" s="0">
        <v>81</v>
      </c>
      <c r="S192" t="s" s="0">
        <v>81</v>
      </c>
      <c r="T192" t="s" s="0">
        <v>81</v>
      </c>
      <c r="U192" t="s" s="0">
        <v>81</v>
      </c>
      <c r="V192" t="s" s="0">
        <v>4596</v>
      </c>
      <c r="W192" t="s" s="0">
        <v>92</v>
      </c>
      <c r="X192" t="s" s="0">
        <v>81</v>
      </c>
      <c r="Y192" t="s" s="0">
        <v>81</v>
      </c>
      <c r="Z192" t="s" s="0">
        <v>93</v>
      </c>
      <c r="AA192" t="s" s="0">
        <v>94</v>
      </c>
      <c r="AB192" t="s" s="0">
        <v>81</v>
      </c>
      <c r="AC192" t="s" s="0">
        <v>81</v>
      </c>
      <c r="AD192" t="s" s="0">
        <v>81</v>
      </c>
      <c r="AE192" t="s" s="0">
        <v>81</v>
      </c>
      <c r="AF192" t="s" s="0">
        <v>81</v>
      </c>
      <c r="AG192" t="s" s="0">
        <v>4597</v>
      </c>
      <c r="AH192" t="s" s="0">
        <v>4598</v>
      </c>
      <c r="AI192" t="s" s="0">
        <v>4599</v>
      </c>
      <c r="AJ192" t="s" s="0">
        <v>4600</v>
      </c>
      <c r="AK192" t="s" s="0">
        <v>81</v>
      </c>
      <c r="AL192" t="s" s="0">
        <v>2098</v>
      </c>
      <c r="AM192" t="s" s="0">
        <v>77</v>
      </c>
      <c r="AN192" t="s" s="0">
        <v>169</v>
      </c>
      <c r="AO192" t="s" s="0">
        <v>554</v>
      </c>
      <c r="AP192" t="s" s="0">
        <v>554</v>
      </c>
      <c r="AQ192" t="s" s="0">
        <v>103</v>
      </c>
      <c r="AR192" t="s" s="0">
        <v>104</v>
      </c>
      <c r="AS192" t="s" s="0">
        <v>105</v>
      </c>
      <c r="AT192" t="s" s="0">
        <v>1405</v>
      </c>
      <c r="AU192" t="s" s="0">
        <v>106</v>
      </c>
      <c r="AV192" t="s" s="0">
        <v>81</v>
      </c>
      <c r="AW192" t="s" s="0">
        <v>107</v>
      </c>
      <c r="AX192" t="s" s="0">
        <v>108</v>
      </c>
      <c r="AY192" t="s" s="0">
        <v>3963</v>
      </c>
      <c r="AZ192" t="s" s="0">
        <v>144</v>
      </c>
      <c r="BA192" t="s" s="0">
        <v>637</v>
      </c>
      <c r="BB192" t="s" s="0">
        <v>81</v>
      </c>
      <c r="BC192" t="s" s="0">
        <v>81</v>
      </c>
      <c r="BD192" t="s" s="0">
        <v>81</v>
      </c>
      <c r="BE192" t="s" s="0">
        <v>81</v>
      </c>
      <c r="BF192" t="s" s="0">
        <v>81</v>
      </c>
      <c r="BG192" t="s" s="0">
        <v>81</v>
      </c>
      <c r="BH192" t="s" s="0">
        <v>81</v>
      </c>
      <c r="BI192" t="s" s="0">
        <v>4601</v>
      </c>
      <c r="BJ192" t="s" s="0">
        <v>4602</v>
      </c>
      <c r="BK192" t="s" s="380">
        <f>HYPERLINK("http://dx.doi.org/10.2196/86769","http://dx.doi.org/10.2196/86769")</f>
        <v>4603</v>
      </c>
      <c r="BL192" t="s" s="0">
        <v>81</v>
      </c>
      <c r="BM192" t="s" s="0">
        <v>81</v>
      </c>
      <c r="BN192" t="s" s="0">
        <v>320</v>
      </c>
      <c r="BO192" t="s" s="0">
        <v>116</v>
      </c>
      <c r="BP192" t="s" s="0">
        <v>116</v>
      </c>
      <c r="BQ192" t="s" s="0">
        <v>4604</v>
      </c>
      <c r="BR192" t="s" s="0">
        <v>4605</v>
      </c>
      <c r="BS192" t="s" s="0">
        <v>4606</v>
      </c>
      <c r="BT192" t="s" s="381">
        <f>HYPERLINK("https://www.webofscience.com/wos/woscc/full-record/WOS:001757930700001","View Record in Web of Science")</f>
        <v>120</v>
      </c>
      <c r="BU192" t="s" s="0">
        <v>121</v>
      </c>
      <c r="BV192" t="s" s="0">
        <v>81</v>
      </c>
      <c r="BW192" t="s" s="0">
        <v>81</v>
      </c>
      <c r="BX192" t="s" s="0">
        <v>122</v>
      </c>
    </row>
    <row r="193">
      <c r="A193" t="s" s="0">
        <v>77</v>
      </c>
      <c r="B193" t="s" s="0">
        <v>77</v>
      </c>
      <c r="C193" t="s" s="0">
        <v>77</v>
      </c>
      <c r="D193" t="s" s="0">
        <v>77</v>
      </c>
      <c r="E193" t="s" s="0">
        <v>4607</v>
      </c>
      <c r="F193" t="s" s="0">
        <v>4608</v>
      </c>
      <c r="G193" t="s" s="0">
        <v>4609</v>
      </c>
      <c r="H193" t="s" s="0">
        <v>81</v>
      </c>
      <c r="I193" t="s" s="0">
        <v>218</v>
      </c>
      <c r="J193" t="s" s="0">
        <v>4610</v>
      </c>
      <c r="K193" t="s" s="0">
        <v>4611</v>
      </c>
      <c r="L193" t="s" s="0">
        <v>4612</v>
      </c>
      <c r="M193" t="s" s="0">
        <v>4613</v>
      </c>
      <c r="N193" t="s" s="0">
        <v>4614</v>
      </c>
      <c r="O193" t="s" s="0">
        <v>4615</v>
      </c>
      <c r="P193" t="s" s="0">
        <v>4616</v>
      </c>
      <c r="Q193" t="s" s="0">
        <v>90</v>
      </c>
      <c r="R193" t="s" s="0">
        <v>81</v>
      </c>
      <c r="S193" t="s" s="0">
        <v>81</v>
      </c>
      <c r="T193" t="s" s="0">
        <v>81</v>
      </c>
      <c r="U193" t="s" s="0">
        <v>81</v>
      </c>
      <c r="V193" t="s" s="0">
        <v>4617</v>
      </c>
      <c r="W193" t="s" s="0">
        <v>4618</v>
      </c>
      <c r="X193" t="s" s="0">
        <v>81</v>
      </c>
      <c r="Y193" t="s" s="0">
        <v>81</v>
      </c>
      <c r="Z193" t="s" s="0">
        <v>93</v>
      </c>
      <c r="AA193" t="s" s="0">
        <v>94</v>
      </c>
      <c r="AB193" t="s" s="0">
        <v>81</v>
      </c>
      <c r="AC193" t="s" s="0">
        <v>81</v>
      </c>
      <c r="AD193" t="s" s="0">
        <v>81</v>
      </c>
      <c r="AE193" t="s" s="0">
        <v>81</v>
      </c>
      <c r="AF193" t="s" s="0">
        <v>81</v>
      </c>
      <c r="AG193" t="s" s="0">
        <v>4619</v>
      </c>
      <c r="AH193" t="s" s="0">
        <v>4620</v>
      </c>
      <c r="AI193" t="s" s="0">
        <v>4621</v>
      </c>
      <c r="AJ193" t="s" s="0">
        <v>4622</v>
      </c>
      <c r="AK193" t="s" s="0">
        <v>81</v>
      </c>
      <c r="AL193" t="s" s="0">
        <v>1048</v>
      </c>
      <c r="AM193" t="s" s="0">
        <v>101</v>
      </c>
      <c r="AN193" t="s" s="0">
        <v>101</v>
      </c>
      <c r="AO193" t="s" s="0">
        <v>169</v>
      </c>
      <c r="AP193" t="s" s="0">
        <v>452</v>
      </c>
      <c r="AQ193" t="s" s="0">
        <v>170</v>
      </c>
      <c r="AR193" t="s" s="0">
        <v>171</v>
      </c>
      <c r="AS193" t="s" s="0">
        <v>172</v>
      </c>
      <c r="AT193" t="s" s="0">
        <v>81</v>
      </c>
      <c r="AU193" t="s" s="0">
        <v>4623</v>
      </c>
      <c r="AV193" t="s" s="0">
        <v>81</v>
      </c>
      <c r="AW193" t="s" s="0">
        <v>4624</v>
      </c>
      <c r="AX193" t="s" s="0">
        <v>4625</v>
      </c>
      <c r="AY193" t="s" s="0">
        <v>666</v>
      </c>
      <c r="AZ193" t="s" s="0">
        <v>110</v>
      </c>
      <c r="BA193" t="s" s="0">
        <v>1893</v>
      </c>
      <c r="BB193" t="s" s="0">
        <v>100</v>
      </c>
      <c r="BC193" t="s" s="0">
        <v>81</v>
      </c>
      <c r="BD193" t="s" s="0">
        <v>81</v>
      </c>
      <c r="BE193" t="s" s="0">
        <v>81</v>
      </c>
      <c r="BF193" t="s" s="0">
        <v>81</v>
      </c>
      <c r="BG193" t="s" s="0">
        <v>4626</v>
      </c>
      <c r="BH193" t="s" s="0">
        <v>4627</v>
      </c>
      <c r="BI193" t="s" s="0">
        <v>81</v>
      </c>
      <c r="BJ193" t="s" s="0">
        <v>4628</v>
      </c>
      <c r="BK193" t="s" s="382">
        <f>HYPERLINK("http://dx.doi.org/10.3348/jksr.2025.0018","http://dx.doi.org/10.3348/jksr.2025.0018")</f>
        <v>4629</v>
      </c>
      <c r="BL193" t="s" s="0">
        <v>81</v>
      </c>
      <c r="BM193" t="s" s="0">
        <v>666</v>
      </c>
      <c r="BN193" t="s" s="0">
        <v>265</v>
      </c>
      <c r="BO193" t="s" s="0">
        <v>182</v>
      </c>
      <c r="BP193" t="s" s="0">
        <v>182</v>
      </c>
      <c r="BQ193" t="s" s="0">
        <v>4630</v>
      </c>
      <c r="BR193" t="s" s="0">
        <v>4631</v>
      </c>
      <c r="BS193" t="s" s="0">
        <v>4632</v>
      </c>
      <c r="BT193" t="s" s="383">
        <f>HYPERLINK("https://www.webofscience.com/wos/woscc/full-record/WOS:001585980400001","View Record in Web of Science")</f>
        <v>120</v>
      </c>
      <c r="BU193" t="s" s="0">
        <v>121</v>
      </c>
      <c r="BV193" t="s" s="0">
        <v>81</v>
      </c>
      <c r="BW193" t="s" s="0">
        <v>81</v>
      </c>
      <c r="BX193" t="s" s="0">
        <v>122</v>
      </c>
    </row>
    <row r="194">
      <c r="A194" t="s" s="0">
        <v>77</v>
      </c>
      <c r="B194" t="s" s="0">
        <v>77</v>
      </c>
      <c r="C194" t="s" s="0">
        <v>169</v>
      </c>
      <c r="D194" t="s" s="0">
        <v>77</v>
      </c>
      <c r="E194" t="s" s="0">
        <v>4633</v>
      </c>
      <c r="F194" t="s" s="0">
        <v>4634</v>
      </c>
      <c r="G194" t="s" s="0">
        <v>4635</v>
      </c>
      <c r="H194" t="s" s="0">
        <v>81</v>
      </c>
      <c r="I194" t="s" s="0">
        <v>568</v>
      </c>
      <c r="J194" t="s" s="0">
        <v>4636</v>
      </c>
      <c r="K194" t="s" s="0">
        <v>4637</v>
      </c>
      <c r="L194" t="s" s="0">
        <v>81</v>
      </c>
      <c r="M194" t="s" s="0">
        <v>81</v>
      </c>
      <c r="N194" t="s" s="0">
        <v>81</v>
      </c>
      <c r="O194" t="s" s="0">
        <v>4638</v>
      </c>
      <c r="P194" t="s" s="0">
        <v>4639</v>
      </c>
      <c r="Q194" t="s" s="0">
        <v>90</v>
      </c>
      <c r="R194" t="s" s="0">
        <v>81</v>
      </c>
      <c r="S194" t="s" s="0">
        <v>81</v>
      </c>
      <c r="T194" t="s" s="0">
        <v>81</v>
      </c>
      <c r="U194" t="s" s="0">
        <v>81</v>
      </c>
      <c r="V194" t="s" s="0">
        <v>4640</v>
      </c>
      <c r="W194" t="s" s="0">
        <v>2246</v>
      </c>
      <c r="X194" t="s" s="0">
        <v>81</v>
      </c>
      <c r="Y194" t="s" s="0">
        <v>81</v>
      </c>
      <c r="Z194" t="s" s="0">
        <v>93</v>
      </c>
      <c r="AA194" t="s" s="0">
        <v>94</v>
      </c>
      <c r="AB194" t="s" s="0">
        <v>81</v>
      </c>
      <c r="AC194" t="s" s="0">
        <v>81</v>
      </c>
      <c r="AD194" t="s" s="0">
        <v>81</v>
      </c>
      <c r="AE194" t="s" s="0">
        <v>81</v>
      </c>
      <c r="AF194" t="s" s="0">
        <v>81</v>
      </c>
      <c r="AG194" t="s" s="0">
        <v>4641</v>
      </c>
      <c r="AH194" t="s" s="0">
        <v>4642</v>
      </c>
      <c r="AI194" t="s" s="0">
        <v>4643</v>
      </c>
      <c r="AJ194" t="s" s="0">
        <v>4644</v>
      </c>
      <c r="AK194" t="s" s="0">
        <v>81</v>
      </c>
      <c r="AL194" t="s" s="0">
        <v>168</v>
      </c>
      <c r="AM194" t="s" s="0">
        <v>328</v>
      </c>
      <c r="AN194" t="s" s="0">
        <v>102</v>
      </c>
      <c r="AO194" t="s" s="0">
        <v>99</v>
      </c>
      <c r="AP194" t="s" s="0">
        <v>526</v>
      </c>
      <c r="AQ194" t="s" s="0">
        <v>353</v>
      </c>
      <c r="AR194" t="s" s="0">
        <v>354</v>
      </c>
      <c r="AS194" t="s" s="0">
        <v>355</v>
      </c>
      <c r="AT194" t="s" s="0">
        <v>81</v>
      </c>
      <c r="AU194" t="s" s="0">
        <v>2248</v>
      </c>
      <c r="AV194" t="s" s="0">
        <v>81</v>
      </c>
      <c r="AW194" t="s" s="0">
        <v>2249</v>
      </c>
      <c r="AX194" t="s" s="0">
        <v>2250</v>
      </c>
      <c r="AY194" t="s" s="0">
        <v>4645</v>
      </c>
      <c r="AZ194" t="s" s="0">
        <v>110</v>
      </c>
      <c r="BA194" t="s" s="0">
        <v>115</v>
      </c>
      <c r="BB194" t="s" s="0">
        <v>81</v>
      </c>
      <c r="BC194" t="s" s="0">
        <v>81</v>
      </c>
      <c r="BD194" t="s" s="0">
        <v>81</v>
      </c>
      <c r="BE194" t="s" s="0">
        <v>81</v>
      </c>
      <c r="BF194" t="s" s="0">
        <v>81</v>
      </c>
      <c r="BG194" t="s" s="0">
        <v>81</v>
      </c>
      <c r="BH194" t="s" s="0">
        <v>81</v>
      </c>
      <c r="BI194" t="s" s="0">
        <v>4646</v>
      </c>
      <c r="BJ194" t="s" s="0">
        <v>4647</v>
      </c>
      <c r="BK194" t="s" s="384">
        <f>HYPERLINK("http://dx.doi.org/10.3389/fpubh.2025.1512537","http://dx.doi.org/10.3389/fpubh.2025.1512537")</f>
        <v>4648</v>
      </c>
      <c r="BL194" t="s" s="0">
        <v>81</v>
      </c>
      <c r="BM194" t="s" s="0">
        <v>81</v>
      </c>
      <c r="BN194" t="s" s="0">
        <v>360</v>
      </c>
      <c r="BO194" t="s" s="0">
        <v>2254</v>
      </c>
      <c r="BP194" t="s" s="0">
        <v>2254</v>
      </c>
      <c r="BQ194" t="s" s="0">
        <v>4649</v>
      </c>
      <c r="BR194" t="s" s="0">
        <v>4650</v>
      </c>
      <c r="BS194" t="s" s="0">
        <v>4651</v>
      </c>
      <c r="BT194" t="s" s="385">
        <f>HYPERLINK("https://www.webofscience.com/wos/woscc/full-record/WOS:001436403800001","View Record in Web of Science")</f>
        <v>120</v>
      </c>
      <c r="BU194" t="s" s="0">
        <v>4652</v>
      </c>
      <c r="BV194" t="s" s="0">
        <v>81</v>
      </c>
      <c r="BW194" t="s" s="0">
        <v>81</v>
      </c>
      <c r="BX194" t="s" s="0">
        <v>122</v>
      </c>
    </row>
    <row r="195">
      <c r="A195" t="s" s="0">
        <v>77</v>
      </c>
      <c r="B195" t="s" s="0">
        <v>77</v>
      </c>
      <c r="C195" t="s" s="0">
        <v>169</v>
      </c>
      <c r="D195" t="s" s="0">
        <v>77</v>
      </c>
      <c r="E195" t="s" s="0">
        <v>4653</v>
      </c>
      <c r="F195" t="s" s="0">
        <v>4654</v>
      </c>
      <c r="G195" t="s" s="0">
        <v>4655</v>
      </c>
      <c r="H195" t="s" s="0">
        <v>81</v>
      </c>
      <c r="I195" t="s" s="0">
        <v>218</v>
      </c>
      <c r="J195" t="s" s="0">
        <v>4656</v>
      </c>
      <c r="K195" t="s" s="0">
        <v>4657</v>
      </c>
      <c r="L195" t="s" s="0">
        <v>81</v>
      </c>
      <c r="M195" t="s" s="0">
        <v>81</v>
      </c>
      <c r="N195" t="s" s="0">
        <v>81</v>
      </c>
      <c r="O195" t="s" s="0">
        <v>4658</v>
      </c>
      <c r="P195" t="s" s="0">
        <v>4659</v>
      </c>
      <c r="Q195" t="s" s="0">
        <v>90</v>
      </c>
      <c r="R195" t="s" s="0">
        <v>81</v>
      </c>
      <c r="S195" t="s" s="0">
        <v>81</v>
      </c>
      <c r="T195" t="s" s="0">
        <v>81</v>
      </c>
      <c r="U195" t="s" s="0">
        <v>81</v>
      </c>
      <c r="V195" t="s" s="0">
        <v>4660</v>
      </c>
      <c r="W195" t="s" s="0">
        <v>4661</v>
      </c>
      <c r="X195" t="s" s="0">
        <v>81</v>
      </c>
      <c r="Y195" t="s" s="0">
        <v>81</v>
      </c>
      <c r="Z195" t="s" s="0">
        <v>93</v>
      </c>
      <c r="AA195" t="s" s="0">
        <v>94</v>
      </c>
      <c r="AB195" t="s" s="0">
        <v>81</v>
      </c>
      <c r="AC195" t="s" s="0">
        <v>81</v>
      </c>
      <c r="AD195" t="s" s="0">
        <v>81</v>
      </c>
      <c r="AE195" t="s" s="0">
        <v>81</v>
      </c>
      <c r="AF195" t="s" s="0">
        <v>81</v>
      </c>
      <c r="AG195" t="s" s="0">
        <v>4662</v>
      </c>
      <c r="AH195" t="s" s="0">
        <v>81</v>
      </c>
      <c r="AI195" t="s" s="0">
        <v>4663</v>
      </c>
      <c r="AJ195" t="s" s="0">
        <v>4664</v>
      </c>
      <c r="AK195" t="s" s="0">
        <v>81</v>
      </c>
      <c r="AL195" t="s" s="0">
        <v>526</v>
      </c>
      <c r="AM195" t="s" s="0">
        <v>101</v>
      </c>
      <c r="AN195" t="s" s="0">
        <v>101</v>
      </c>
      <c r="AO195" t="s" s="0">
        <v>77</v>
      </c>
      <c r="AP195" t="s" s="0">
        <v>101</v>
      </c>
      <c r="AQ195" t="s" s="0">
        <v>4665</v>
      </c>
      <c r="AR195" t="s" s="0">
        <v>4666</v>
      </c>
      <c r="AS195" t="s" s="0">
        <v>4667</v>
      </c>
      <c r="AT195" t="s" s="0">
        <v>4668</v>
      </c>
      <c r="AU195" t="s" s="0">
        <v>4669</v>
      </c>
      <c r="AV195" t="s" s="0">
        <v>81</v>
      </c>
      <c r="AW195" t="s" s="0">
        <v>4670</v>
      </c>
      <c r="AX195" t="s" s="0">
        <v>4671</v>
      </c>
      <c r="AY195" t="s" s="0">
        <v>4672</v>
      </c>
      <c r="AZ195" t="s" s="0">
        <v>110</v>
      </c>
      <c r="BA195" t="s" s="0">
        <v>265</v>
      </c>
      <c r="BB195" t="s" s="0">
        <v>554</v>
      </c>
      <c r="BC195" t="s" s="0">
        <v>81</v>
      </c>
      <c r="BD195" t="s" s="0">
        <v>81</v>
      </c>
      <c r="BE195" t="s" s="0">
        <v>81</v>
      </c>
      <c r="BF195" t="s" s="0">
        <v>81</v>
      </c>
      <c r="BG195" t="s" s="0">
        <v>329</v>
      </c>
      <c r="BH195" t="s" s="0">
        <v>4673</v>
      </c>
      <c r="BI195" t="s" s="0">
        <v>81</v>
      </c>
      <c r="BJ195" t="s" s="0">
        <v>4674</v>
      </c>
      <c r="BK195" t="s" s="386">
        <f>HYPERLINK("http://dx.doi.org/10.4103/idoj.idoj_221_24","http://dx.doi.org/10.4103/idoj.idoj_221_24")</f>
        <v>4675</v>
      </c>
      <c r="BL195" t="s" s="0">
        <v>81</v>
      </c>
      <c r="BM195" t="s" s="0">
        <v>81</v>
      </c>
      <c r="BN195" t="s" s="0">
        <v>386</v>
      </c>
      <c r="BO195" t="s" s="0">
        <v>4676</v>
      </c>
      <c r="BP195" t="s" s="0">
        <v>4676</v>
      </c>
      <c r="BQ195" t="s" s="0">
        <v>4677</v>
      </c>
      <c r="BR195" t="s" s="0">
        <v>4678</v>
      </c>
      <c r="BS195" t="s" s="0">
        <v>4679</v>
      </c>
      <c r="BT195" t="s" s="387">
        <f>HYPERLINK("https://www.webofscience.com/wos/woscc/full-record/WOS:001433509600014","View Record in Web of Science")</f>
        <v>120</v>
      </c>
      <c r="BU195" t="s" s="0">
        <v>121</v>
      </c>
      <c r="BV195" t="s" s="0">
        <v>81</v>
      </c>
      <c r="BW195" t="s" s="0">
        <v>81</v>
      </c>
      <c r="BX195" t="s" s="0">
        <v>122</v>
      </c>
    </row>
    <row r="196">
      <c r="A196" t="s" s="0">
        <v>77</v>
      </c>
      <c r="B196" t="s" s="0">
        <v>77</v>
      </c>
      <c r="C196" t="s" s="0">
        <v>77</v>
      </c>
      <c r="D196" t="s" s="0">
        <v>77</v>
      </c>
      <c r="E196" t="s" s="0">
        <v>4680</v>
      </c>
      <c r="F196" t="s" s="0">
        <v>4681</v>
      </c>
      <c r="G196" t="s" s="0">
        <v>4682</v>
      </c>
      <c r="H196" t="s" s="0">
        <v>81</v>
      </c>
      <c r="I196" t="s" s="0">
        <v>82</v>
      </c>
      <c r="J196" t="s" s="0">
        <v>4683</v>
      </c>
      <c r="K196" t="s" s="0">
        <v>4684</v>
      </c>
      <c r="L196" t="s" s="0">
        <v>4685</v>
      </c>
      <c r="M196" t="s" s="0">
        <v>4686</v>
      </c>
      <c r="N196" t="s" s="0">
        <v>4687</v>
      </c>
      <c r="O196" t="s" s="0">
        <v>4688</v>
      </c>
      <c r="P196" t="s" s="0">
        <v>4689</v>
      </c>
      <c r="Q196" t="s" s="0">
        <v>90</v>
      </c>
      <c r="R196" t="s" s="0">
        <v>81</v>
      </c>
      <c r="S196" t="s" s="0">
        <v>81</v>
      </c>
      <c r="T196" t="s" s="0">
        <v>81</v>
      </c>
      <c r="U196" t="s" s="0">
        <v>81</v>
      </c>
      <c r="V196" t="s" s="0">
        <v>4690</v>
      </c>
      <c r="W196" t="s" s="0">
        <v>92</v>
      </c>
      <c r="X196" t="s" s="0">
        <v>81</v>
      </c>
      <c r="Y196" t="s" s="0">
        <v>81</v>
      </c>
      <c r="Z196" t="s" s="0">
        <v>93</v>
      </c>
      <c r="AA196" t="s" s="0">
        <v>94</v>
      </c>
      <c r="AB196" t="s" s="0">
        <v>81</v>
      </c>
      <c r="AC196" t="s" s="0">
        <v>81</v>
      </c>
      <c r="AD196" t="s" s="0">
        <v>81</v>
      </c>
      <c r="AE196" t="s" s="0">
        <v>81</v>
      </c>
      <c r="AF196" t="s" s="0">
        <v>81</v>
      </c>
      <c r="AG196" t="s" s="0">
        <v>4691</v>
      </c>
      <c r="AH196" t="s" s="0">
        <v>4692</v>
      </c>
      <c r="AI196" t="s" s="0">
        <v>81</v>
      </c>
      <c r="AJ196" t="s" s="0">
        <v>4693</v>
      </c>
      <c r="AK196" t="s" s="0">
        <v>81</v>
      </c>
      <c r="AL196" t="s" s="0">
        <v>1989</v>
      </c>
      <c r="AM196" t="s" s="0">
        <v>554</v>
      </c>
      <c r="AN196" t="s" s="0">
        <v>101</v>
      </c>
      <c r="AO196" t="s" s="0">
        <v>99</v>
      </c>
      <c r="AP196" t="s" s="0">
        <v>99</v>
      </c>
      <c r="AQ196" t="s" s="0">
        <v>103</v>
      </c>
      <c r="AR196" t="s" s="0">
        <v>104</v>
      </c>
      <c r="AS196" t="s" s="0">
        <v>105</v>
      </c>
      <c r="AT196" t="s" s="0">
        <v>1405</v>
      </c>
      <c r="AU196" t="s" s="0">
        <v>106</v>
      </c>
      <c r="AV196" t="s" s="0">
        <v>81</v>
      </c>
      <c r="AW196" t="s" s="0">
        <v>107</v>
      </c>
      <c r="AX196" t="s" s="0">
        <v>108</v>
      </c>
      <c r="AY196" t="s" s="0">
        <v>4694</v>
      </c>
      <c r="AZ196" t="s" s="0">
        <v>144</v>
      </c>
      <c r="BA196" t="s" s="0">
        <v>637</v>
      </c>
      <c r="BB196" t="s" s="0">
        <v>81</v>
      </c>
      <c r="BC196" t="s" s="0">
        <v>81</v>
      </c>
      <c r="BD196" t="s" s="0">
        <v>81</v>
      </c>
      <c r="BE196" t="s" s="0">
        <v>81</v>
      </c>
      <c r="BF196" t="s" s="0">
        <v>81</v>
      </c>
      <c r="BG196" t="s" s="0">
        <v>81</v>
      </c>
      <c r="BH196" t="s" s="0">
        <v>81</v>
      </c>
      <c r="BI196" t="s" s="0">
        <v>4695</v>
      </c>
      <c r="BJ196" t="s" s="0">
        <v>4696</v>
      </c>
      <c r="BK196" t="s" s="388">
        <f>HYPERLINK("http://dx.doi.org/10.2196/81604","http://dx.doi.org/10.2196/81604")</f>
        <v>4697</v>
      </c>
      <c r="BL196" t="s" s="0">
        <v>81</v>
      </c>
      <c r="BM196" t="s" s="0">
        <v>81</v>
      </c>
      <c r="BN196" t="s" s="0">
        <v>438</v>
      </c>
      <c r="BO196" t="s" s="0">
        <v>116</v>
      </c>
      <c r="BP196" t="s" s="0">
        <v>116</v>
      </c>
      <c r="BQ196" t="s" s="0">
        <v>4698</v>
      </c>
      <c r="BR196" t="s" s="0">
        <v>4699</v>
      </c>
      <c r="BS196" t="s" s="0">
        <v>4700</v>
      </c>
      <c r="BT196" t="s" s="389">
        <f>HYPERLINK("https://www.webofscience.com/wos/woscc/full-record/WOS:001719749000001","View Record in Web of Science")</f>
        <v>120</v>
      </c>
      <c r="BU196" t="s" s="0">
        <v>121</v>
      </c>
      <c r="BV196" t="s" s="0">
        <v>81</v>
      </c>
      <c r="BW196" t="s" s="0">
        <v>81</v>
      </c>
      <c r="BX196" t="s" s="0">
        <v>122</v>
      </c>
    </row>
    <row r="197">
      <c r="A197" t="s" s="0">
        <v>77</v>
      </c>
      <c r="B197" t="s" s="0">
        <v>77</v>
      </c>
      <c r="C197" t="s" s="0">
        <v>77</v>
      </c>
      <c r="D197" t="s" s="0">
        <v>77</v>
      </c>
      <c r="E197" t="s" s="0">
        <v>4701</v>
      </c>
      <c r="F197" t="s" s="0">
        <v>4702</v>
      </c>
      <c r="G197" t="s" s="0">
        <v>4703</v>
      </c>
      <c r="H197" t="s" s="0">
        <v>81</v>
      </c>
      <c r="I197" t="s" s="0">
        <v>82</v>
      </c>
      <c r="J197" t="s" s="0">
        <v>4704</v>
      </c>
      <c r="K197" t="s" s="0">
        <v>4705</v>
      </c>
      <c r="L197" t="s" s="0">
        <v>81</v>
      </c>
      <c r="M197" t="s" s="0">
        <v>81</v>
      </c>
      <c r="N197" t="s" s="0">
        <v>81</v>
      </c>
      <c r="O197" t="s" s="0">
        <v>4706</v>
      </c>
      <c r="P197" t="s" s="0">
        <v>4707</v>
      </c>
      <c r="Q197" t="s" s="0">
        <v>90</v>
      </c>
      <c r="R197" t="s" s="0">
        <v>81</v>
      </c>
      <c r="S197" t="s" s="0">
        <v>81</v>
      </c>
      <c r="T197" t="s" s="0">
        <v>81</v>
      </c>
      <c r="U197" t="s" s="0">
        <v>81</v>
      </c>
      <c r="V197" t="s" s="0">
        <v>4708</v>
      </c>
      <c r="W197" t="s" s="0">
        <v>92</v>
      </c>
      <c r="X197" t="s" s="0">
        <v>81</v>
      </c>
      <c r="Y197" t="s" s="0">
        <v>81</v>
      </c>
      <c r="Z197" t="s" s="0">
        <v>93</v>
      </c>
      <c r="AA197" t="s" s="0">
        <v>94</v>
      </c>
      <c r="AB197" t="s" s="0">
        <v>81</v>
      </c>
      <c r="AC197" t="s" s="0">
        <v>81</v>
      </c>
      <c r="AD197" t="s" s="0">
        <v>81</v>
      </c>
      <c r="AE197" t="s" s="0">
        <v>81</v>
      </c>
      <c r="AF197" t="s" s="0">
        <v>81</v>
      </c>
      <c r="AG197" t="s" s="0">
        <v>4709</v>
      </c>
      <c r="AH197" t="s" s="0">
        <v>4710</v>
      </c>
      <c r="AI197" t="s" s="0">
        <v>81</v>
      </c>
      <c r="AJ197" t="s" s="0">
        <v>4711</v>
      </c>
      <c r="AK197" t="s" s="0">
        <v>81</v>
      </c>
      <c r="AL197" t="s" s="0">
        <v>4516</v>
      </c>
      <c r="AM197" t="s" s="0">
        <v>77</v>
      </c>
      <c r="AN197" t="s" s="0">
        <v>77</v>
      </c>
      <c r="AO197" t="s" s="0">
        <v>77</v>
      </c>
      <c r="AP197" t="s" s="0">
        <v>77</v>
      </c>
      <c r="AQ197" t="s" s="0">
        <v>103</v>
      </c>
      <c r="AR197" t="s" s="0">
        <v>104</v>
      </c>
      <c r="AS197" t="s" s="0">
        <v>105</v>
      </c>
      <c r="AT197" t="s" s="0">
        <v>1405</v>
      </c>
      <c r="AU197" t="s" s="0">
        <v>106</v>
      </c>
      <c r="AV197" t="s" s="0">
        <v>81</v>
      </c>
      <c r="AW197" t="s" s="0">
        <v>107</v>
      </c>
      <c r="AX197" t="s" s="0">
        <v>108</v>
      </c>
      <c r="AY197" t="s" s="0">
        <v>4712</v>
      </c>
      <c r="AZ197" t="s" s="0">
        <v>144</v>
      </c>
      <c r="BA197" t="s" s="0">
        <v>637</v>
      </c>
      <c r="BB197" t="s" s="0">
        <v>81</v>
      </c>
      <c r="BC197" t="s" s="0">
        <v>81</v>
      </c>
      <c r="BD197" t="s" s="0">
        <v>81</v>
      </c>
      <c r="BE197" t="s" s="0">
        <v>81</v>
      </c>
      <c r="BF197" t="s" s="0">
        <v>81</v>
      </c>
      <c r="BG197" t="s" s="0">
        <v>81</v>
      </c>
      <c r="BH197" t="s" s="0">
        <v>81</v>
      </c>
      <c r="BI197" t="s" s="0">
        <v>4713</v>
      </c>
      <c r="BJ197" t="s" s="0">
        <v>4714</v>
      </c>
      <c r="BK197" t="s" s="390">
        <f>HYPERLINK("http://dx.doi.org/10.2196/90744","http://dx.doi.org/10.2196/90744")</f>
        <v>4715</v>
      </c>
      <c r="BL197" t="s" s="0">
        <v>81</v>
      </c>
      <c r="BM197" t="s" s="0">
        <v>81</v>
      </c>
      <c r="BN197" t="s" s="0">
        <v>352</v>
      </c>
      <c r="BO197" t="s" s="0">
        <v>116</v>
      </c>
      <c r="BP197" t="s" s="0">
        <v>116</v>
      </c>
      <c r="BQ197" t="s" s="0">
        <v>4716</v>
      </c>
      <c r="BR197" t="s" s="0">
        <v>4717</v>
      </c>
      <c r="BS197" t="s" s="0">
        <v>4718</v>
      </c>
      <c r="BT197" t="s" s="391">
        <f>HYPERLINK("https://www.webofscience.com/wos/woscc/full-record/WOS:001849562900004","View Record in Web of Science")</f>
        <v>120</v>
      </c>
      <c r="BU197" t="s" s="0">
        <v>121</v>
      </c>
      <c r="BV197" t="s" s="0">
        <v>81</v>
      </c>
      <c r="BW197" t="s" s="0">
        <v>81</v>
      </c>
      <c r="BX197" t="s" s="0">
        <v>122</v>
      </c>
    </row>
    <row r="198">
      <c r="A198" t="s" s="0">
        <v>77</v>
      </c>
      <c r="B198" t="s" s="0">
        <v>77</v>
      </c>
      <c r="C198" t="s" s="0">
        <v>169</v>
      </c>
      <c r="D198" t="s" s="0">
        <v>77</v>
      </c>
      <c r="E198" t="s" s="0">
        <v>4719</v>
      </c>
      <c r="F198" t="s" s="0">
        <v>4720</v>
      </c>
      <c r="G198" t="s" s="0">
        <v>4721</v>
      </c>
      <c r="H198" t="s" s="0">
        <v>81</v>
      </c>
      <c r="I198" t="s" s="0">
        <v>82</v>
      </c>
      <c r="J198" t="s" s="0">
        <v>4722</v>
      </c>
      <c r="K198" t="s" s="0">
        <v>4723</v>
      </c>
      <c r="L198" t="s" s="0">
        <v>4120</v>
      </c>
      <c r="M198" t="s" s="0">
        <v>4120</v>
      </c>
      <c r="N198" t="s" s="0">
        <v>4724</v>
      </c>
      <c r="O198" t="s" s="0">
        <v>4725</v>
      </c>
      <c r="P198" t="s" s="0">
        <v>4726</v>
      </c>
      <c r="Q198" t="s" s="0">
        <v>90</v>
      </c>
      <c r="R198" t="s" s="0">
        <v>81</v>
      </c>
      <c r="S198" t="s" s="0">
        <v>81</v>
      </c>
      <c r="T198" t="s" s="0">
        <v>81</v>
      </c>
      <c r="U198" t="s" s="0">
        <v>81</v>
      </c>
      <c r="V198" t="s" s="0">
        <v>4727</v>
      </c>
      <c r="W198" t="s" s="0">
        <v>4728</v>
      </c>
      <c r="X198" t="s" s="0">
        <v>81</v>
      </c>
      <c r="Y198" t="s" s="0">
        <v>81</v>
      </c>
      <c r="Z198" t="s" s="0">
        <v>93</v>
      </c>
      <c r="AA198" t="s" s="0">
        <v>94</v>
      </c>
      <c r="AB198" t="s" s="0">
        <v>81</v>
      </c>
      <c r="AC198" t="s" s="0">
        <v>81</v>
      </c>
      <c r="AD198" t="s" s="0">
        <v>81</v>
      </c>
      <c r="AE198" t="s" s="0">
        <v>81</v>
      </c>
      <c r="AF198" t="s" s="0">
        <v>81</v>
      </c>
      <c r="AG198" t="s" s="0">
        <v>4729</v>
      </c>
      <c r="AH198" t="s" s="0">
        <v>81</v>
      </c>
      <c r="AI198" t="s" s="0">
        <v>4730</v>
      </c>
      <c r="AJ198" t="s" s="0">
        <v>81</v>
      </c>
      <c r="AK198" t="s" s="0">
        <v>81</v>
      </c>
      <c r="AL198" t="s" s="0">
        <v>352</v>
      </c>
      <c r="AM198" t="s" s="0">
        <v>445</v>
      </c>
      <c r="AN198" t="s" s="0">
        <v>438</v>
      </c>
      <c r="AO198" t="s" s="0">
        <v>77</v>
      </c>
      <c r="AP198" t="s" s="0">
        <v>239</v>
      </c>
      <c r="AQ198" t="s" s="0">
        <v>1544</v>
      </c>
      <c r="AR198" t="s" s="0">
        <v>1545</v>
      </c>
      <c r="AS198" t="s" s="0">
        <v>1546</v>
      </c>
      <c r="AT198" t="s" s="0">
        <v>4731</v>
      </c>
      <c r="AU198" t="s" s="0">
        <v>4732</v>
      </c>
      <c r="AV198" t="s" s="0">
        <v>81</v>
      </c>
      <c r="AW198" t="s" s="0">
        <v>4733</v>
      </c>
      <c r="AX198" t="s" s="0">
        <v>4734</v>
      </c>
      <c r="AY198" t="s" s="0">
        <v>4735</v>
      </c>
      <c r="AZ198" t="s" s="0">
        <v>592</v>
      </c>
      <c r="BA198" t="s" s="0">
        <v>671</v>
      </c>
      <c r="BB198" t="s" s="0">
        <v>100</v>
      </c>
      <c r="BC198" t="s" s="0">
        <v>81</v>
      </c>
      <c r="BD198" t="s" s="0">
        <v>81</v>
      </c>
      <c r="BE198" t="s" s="0">
        <v>81</v>
      </c>
      <c r="BF198" t="s" s="0">
        <v>81</v>
      </c>
      <c r="BG198" t="s" s="0">
        <v>4736</v>
      </c>
      <c r="BH198" t="s" s="0">
        <v>4737</v>
      </c>
      <c r="BI198" t="s" s="0">
        <v>81</v>
      </c>
      <c r="BJ198" t="s" s="0">
        <v>4738</v>
      </c>
      <c r="BK198" t="s" s="392">
        <f>HYPERLINK("http://dx.doi.org/10.1002/ksa.12133","http://dx.doi.org/10.1002/ksa.12133")</f>
        <v>4739</v>
      </c>
      <c r="BL198" t="s" s="0">
        <v>81</v>
      </c>
      <c r="BM198" t="s" s="0">
        <v>3128</v>
      </c>
      <c r="BN198" t="s" s="0">
        <v>102</v>
      </c>
      <c r="BO198" t="s" s="0">
        <v>4740</v>
      </c>
      <c r="BP198" t="s" s="0">
        <v>4740</v>
      </c>
      <c r="BQ198" t="s" s="0">
        <v>4741</v>
      </c>
      <c r="BR198" t="s" s="0">
        <v>4742</v>
      </c>
      <c r="BS198" t="s" s="0">
        <v>4743</v>
      </c>
      <c r="BT198" t="s" s="393">
        <f>HYPERLINK("https://www.webofscience.com/wos/woscc/full-record/WOS:001185448900001","View Record in Web of Science")</f>
        <v>120</v>
      </c>
      <c r="BU198" t="s" s="0">
        <v>81</v>
      </c>
      <c r="BV198" t="s" s="0">
        <v>81</v>
      </c>
      <c r="BW198" t="s" s="0">
        <v>81</v>
      </c>
      <c r="BX198" t="s" s="0">
        <v>122</v>
      </c>
    </row>
    <row r="199">
      <c r="A199" t="s" s="0">
        <v>77</v>
      </c>
      <c r="B199" t="s" s="0">
        <v>77</v>
      </c>
      <c r="C199" t="s" s="0">
        <v>77</v>
      </c>
      <c r="D199" t="s" s="0">
        <v>77</v>
      </c>
      <c r="E199" t="s" s="0">
        <v>4744</v>
      </c>
      <c r="F199" t="s" s="0">
        <v>4745</v>
      </c>
      <c r="G199" t="s" s="0">
        <v>4746</v>
      </c>
      <c r="H199" t="s" s="0">
        <v>81</v>
      </c>
      <c r="I199" t="s" s="0">
        <v>82</v>
      </c>
      <c r="J199" t="s" s="0">
        <v>4747</v>
      </c>
      <c r="K199" t="s" s="0">
        <v>4748</v>
      </c>
      <c r="L199" t="s" s="0">
        <v>81</v>
      </c>
      <c r="M199" t="s" s="0">
        <v>81</v>
      </c>
      <c r="N199" t="s" s="0">
        <v>81</v>
      </c>
      <c r="O199" t="s" s="0">
        <v>4749</v>
      </c>
      <c r="P199" t="s" s="0">
        <v>4750</v>
      </c>
      <c r="Q199" t="s" s="0">
        <v>90</v>
      </c>
      <c r="R199" t="s" s="0">
        <v>81</v>
      </c>
      <c r="S199" t="s" s="0">
        <v>81</v>
      </c>
      <c r="T199" t="s" s="0">
        <v>81</v>
      </c>
      <c r="U199" t="s" s="0">
        <v>81</v>
      </c>
      <c r="V199" t="s" s="0">
        <v>4751</v>
      </c>
      <c r="W199" t="s" s="0">
        <v>3091</v>
      </c>
      <c r="X199" t="s" s="0">
        <v>81</v>
      </c>
      <c r="Y199" t="s" s="0">
        <v>81</v>
      </c>
      <c r="Z199" t="s" s="0">
        <v>93</v>
      </c>
      <c r="AA199" t="s" s="0">
        <v>94</v>
      </c>
      <c r="AB199" t="s" s="0">
        <v>81</v>
      </c>
      <c r="AC199" t="s" s="0">
        <v>81</v>
      </c>
      <c r="AD199" t="s" s="0">
        <v>81</v>
      </c>
      <c r="AE199" t="s" s="0">
        <v>81</v>
      </c>
      <c r="AF199" t="s" s="0">
        <v>81</v>
      </c>
      <c r="AG199" t="s" s="0">
        <v>4752</v>
      </c>
      <c r="AH199" t="s" s="0">
        <v>4753</v>
      </c>
      <c r="AI199" t="s" s="0">
        <v>4754</v>
      </c>
      <c r="AJ199" t="s" s="0">
        <v>81</v>
      </c>
      <c r="AK199" t="s" s="0">
        <v>81</v>
      </c>
      <c r="AL199" t="s" s="0">
        <v>4755</v>
      </c>
      <c r="AM199" t="s" s="0">
        <v>77</v>
      </c>
      <c r="AN199" t="s" s="0">
        <v>77</v>
      </c>
      <c r="AO199" t="s" s="0">
        <v>328</v>
      </c>
      <c r="AP199" t="s" s="0">
        <v>328</v>
      </c>
      <c r="AQ199" t="s" s="0">
        <v>2366</v>
      </c>
      <c r="AR199" t="s" s="0">
        <v>2367</v>
      </c>
      <c r="AS199" t="s" s="0">
        <v>2368</v>
      </c>
      <c r="AT199" t="s" s="0">
        <v>3095</v>
      </c>
      <c r="AU199" t="s" s="0">
        <v>81</v>
      </c>
      <c r="AV199" t="s" s="0">
        <v>81</v>
      </c>
      <c r="AW199" t="s" s="0">
        <v>3091</v>
      </c>
      <c r="AX199" t="s" s="0">
        <v>3096</v>
      </c>
      <c r="AY199" t="s" s="0">
        <v>144</v>
      </c>
      <c r="AZ199" t="s" s="0">
        <v>144</v>
      </c>
      <c r="BA199" t="s" s="0">
        <v>509</v>
      </c>
      <c r="BB199" t="s" s="0">
        <v>81</v>
      </c>
      <c r="BC199" t="s" s="0">
        <v>81</v>
      </c>
      <c r="BD199" t="s" s="0">
        <v>81</v>
      </c>
      <c r="BE199" t="s" s="0">
        <v>81</v>
      </c>
      <c r="BF199" t="s" s="0">
        <v>81</v>
      </c>
      <c r="BG199" t="s" s="0">
        <v>4756</v>
      </c>
      <c r="BH199" t="s" s="0">
        <v>4757</v>
      </c>
      <c r="BI199" t="s" s="0">
        <v>81</v>
      </c>
      <c r="BJ199" t="s" s="0">
        <v>4758</v>
      </c>
      <c r="BK199" t="s" s="394">
        <f>HYPERLINK("http://dx.doi.org/10.1109/ACCESS.2026.3656368","http://dx.doi.org/10.1109/ACCESS.2026.3656368")</f>
        <v>4759</v>
      </c>
      <c r="BL199" t="s" s="0">
        <v>81</v>
      </c>
      <c r="BM199" t="s" s="0">
        <v>81</v>
      </c>
      <c r="BN199" t="s" s="0">
        <v>393</v>
      </c>
      <c r="BO199" t="s" s="0">
        <v>3101</v>
      </c>
      <c r="BP199" t="s" s="0">
        <v>3102</v>
      </c>
      <c r="BQ199" t="s" s="0">
        <v>4760</v>
      </c>
      <c r="BR199" t="s" s="0">
        <v>81</v>
      </c>
      <c r="BS199" t="s" s="0">
        <v>4761</v>
      </c>
      <c r="BT199" t="s" s="395">
        <f>HYPERLINK("https://www.webofscience.com/wos/woscc/full-record/WOS:001687406600031","View Record in Web of Science")</f>
        <v>120</v>
      </c>
      <c r="BU199" t="s" s="0">
        <v>121</v>
      </c>
      <c r="BV199" t="s" s="0">
        <v>81</v>
      </c>
      <c r="BW199" t="s" s="0">
        <v>81</v>
      </c>
      <c r="BX199" t="s" s="0">
        <v>122</v>
      </c>
    </row>
    <row r="200">
      <c r="A200" t="s" s="0">
        <v>77</v>
      </c>
      <c r="B200" t="s" s="0">
        <v>77</v>
      </c>
      <c r="C200" t="s" s="0">
        <v>77</v>
      </c>
      <c r="D200" t="s" s="0">
        <v>77</v>
      </c>
      <c r="E200" t="s" s="0">
        <v>4762</v>
      </c>
      <c r="F200" t="s" s="0">
        <v>4763</v>
      </c>
      <c r="G200" t="s" s="0">
        <v>4764</v>
      </c>
      <c r="H200" t="s" s="0">
        <v>81</v>
      </c>
      <c r="I200" t="s" s="0">
        <v>82</v>
      </c>
      <c r="J200" t="s" s="0">
        <v>4765</v>
      </c>
      <c r="K200" t="s" s="0">
        <v>4766</v>
      </c>
      <c r="L200" t="s" s="0">
        <v>81</v>
      </c>
      <c r="M200" t="s" s="0">
        <v>81</v>
      </c>
      <c r="N200" t="s" s="0">
        <v>81</v>
      </c>
      <c r="O200" t="s" s="0">
        <v>4767</v>
      </c>
      <c r="P200" t="s" s="0">
        <v>4768</v>
      </c>
      <c r="Q200" t="s" s="0">
        <v>90</v>
      </c>
      <c r="R200" t="s" s="0">
        <v>81</v>
      </c>
      <c r="S200" t="s" s="0">
        <v>81</v>
      </c>
      <c r="T200" t="s" s="0">
        <v>81</v>
      </c>
      <c r="U200" t="s" s="0">
        <v>81</v>
      </c>
      <c r="V200" t="s" s="0">
        <v>4769</v>
      </c>
      <c r="W200" t="s" s="0">
        <v>1925</v>
      </c>
      <c r="X200" t="s" s="0">
        <v>81</v>
      </c>
      <c r="Y200" t="s" s="0">
        <v>81</v>
      </c>
      <c r="Z200" t="s" s="0">
        <v>93</v>
      </c>
      <c r="AA200" t="s" s="0">
        <v>94</v>
      </c>
      <c r="AB200" t="s" s="0">
        <v>81</v>
      </c>
      <c r="AC200" t="s" s="0">
        <v>81</v>
      </c>
      <c r="AD200" t="s" s="0">
        <v>81</v>
      </c>
      <c r="AE200" t="s" s="0">
        <v>81</v>
      </c>
      <c r="AF200" t="s" s="0">
        <v>81</v>
      </c>
      <c r="AG200" t="s" s="0">
        <v>4770</v>
      </c>
      <c r="AH200" t="s" s="0">
        <v>81</v>
      </c>
      <c r="AI200" t="s" s="0">
        <v>81</v>
      </c>
      <c r="AJ200" t="s" s="0">
        <v>81</v>
      </c>
      <c r="AK200" t="s" s="0">
        <v>81</v>
      </c>
      <c r="AL200" t="s" s="0">
        <v>111</v>
      </c>
      <c r="AM200" t="s" s="0">
        <v>169</v>
      </c>
      <c r="AN200" t="s" s="0">
        <v>169</v>
      </c>
      <c r="AO200" t="s" s="0">
        <v>77</v>
      </c>
      <c r="AP200" t="s" s="0">
        <v>77</v>
      </c>
      <c r="AQ200" t="s" s="0">
        <v>439</v>
      </c>
      <c r="AR200" t="s" s="0">
        <v>201</v>
      </c>
      <c r="AS200" t="s" s="0">
        <v>440</v>
      </c>
      <c r="AT200" t="s" s="0">
        <v>1928</v>
      </c>
      <c r="AU200" t="s" s="0">
        <v>81</v>
      </c>
      <c r="AV200" t="s" s="0">
        <v>81</v>
      </c>
      <c r="AW200" t="s" s="0">
        <v>1925</v>
      </c>
      <c r="AX200" t="s" s="0">
        <v>1929</v>
      </c>
      <c r="AY200" t="s" s="0">
        <v>4771</v>
      </c>
      <c r="AZ200" t="s" s="0">
        <v>144</v>
      </c>
      <c r="BA200" t="s" s="0">
        <v>319</v>
      </c>
      <c r="BB200" t="s" s="0">
        <v>169</v>
      </c>
      <c r="BC200" t="s" s="0">
        <v>81</v>
      </c>
      <c r="BD200" t="s" s="0">
        <v>81</v>
      </c>
      <c r="BE200" t="s" s="0">
        <v>81</v>
      </c>
      <c r="BF200" t="s" s="0">
        <v>81</v>
      </c>
      <c r="BG200" t="s" s="0">
        <v>81</v>
      </c>
      <c r="BH200" t="s" s="0">
        <v>81</v>
      </c>
      <c r="BI200" t="s" s="0">
        <v>4772</v>
      </c>
      <c r="BJ200" t="s" s="0">
        <v>4773</v>
      </c>
      <c r="BK200" t="s" s="396">
        <f>HYPERLINK("http://dx.doi.org/10.1186/s12903-026-08041-y","http://dx.doi.org/10.1186/s12903-026-08041-y")</f>
        <v>4774</v>
      </c>
      <c r="BL200" t="s" s="0">
        <v>81</v>
      </c>
      <c r="BM200" t="s" s="0">
        <v>177</v>
      </c>
      <c r="BN200" t="s" s="0">
        <v>210</v>
      </c>
      <c r="BO200" t="s" s="0">
        <v>1934</v>
      </c>
      <c r="BP200" t="s" s="0">
        <v>1934</v>
      </c>
      <c r="BQ200" t="s" s="0">
        <v>4775</v>
      </c>
      <c r="BR200" t="s" s="0">
        <v>4776</v>
      </c>
      <c r="BS200" t="s" s="0">
        <v>4777</v>
      </c>
      <c r="BT200" t="s" s="397">
        <f>HYPERLINK("https://www.webofscience.com/wos/woscc/full-record/WOS:001740391400004","View Record in Web of Science")</f>
        <v>120</v>
      </c>
      <c r="BU200" t="s" s="0">
        <v>121</v>
      </c>
      <c r="BV200" t="s" s="0">
        <v>81</v>
      </c>
      <c r="BW200" t="s" s="0">
        <v>81</v>
      </c>
      <c r="BX200" t="s" s="0">
        <v>122</v>
      </c>
    </row>
    <row r="201">
      <c r="A201" t="s" s="0">
        <v>77</v>
      </c>
      <c r="B201" t="s" s="0">
        <v>77</v>
      </c>
      <c r="C201" t="s" s="0">
        <v>169</v>
      </c>
      <c r="D201" t="s" s="0">
        <v>77</v>
      </c>
      <c r="E201" t="s" s="0">
        <v>4778</v>
      </c>
      <c r="F201" t="s" s="0">
        <v>4779</v>
      </c>
      <c r="G201" t="s" s="0">
        <v>4780</v>
      </c>
      <c r="H201" t="s" s="0">
        <v>81</v>
      </c>
      <c r="I201" t="s" s="0">
        <v>218</v>
      </c>
      <c r="J201" t="s" s="0">
        <v>4781</v>
      </c>
      <c r="K201" t="s" s="0">
        <v>4782</v>
      </c>
      <c r="L201" t="s" s="0">
        <v>81</v>
      </c>
      <c r="M201" t="s" s="0">
        <v>81</v>
      </c>
      <c r="N201" t="s" s="0">
        <v>81</v>
      </c>
      <c r="O201" t="s" s="0">
        <v>4783</v>
      </c>
      <c r="P201" t="s" s="0">
        <v>4784</v>
      </c>
      <c r="Q201" t="s" s="0">
        <v>90</v>
      </c>
      <c r="R201" t="s" s="0">
        <v>81</v>
      </c>
      <c r="S201" t="s" s="0">
        <v>81</v>
      </c>
      <c r="T201" t="s" s="0">
        <v>81</v>
      </c>
      <c r="U201" t="s" s="0">
        <v>81</v>
      </c>
      <c r="V201" t="s" s="0">
        <v>4785</v>
      </c>
      <c r="W201" t="s" s="0">
        <v>4786</v>
      </c>
      <c r="X201" t="s" s="0">
        <v>81</v>
      </c>
      <c r="Y201" t="s" s="0">
        <v>81</v>
      </c>
      <c r="Z201" t="s" s="0">
        <v>93</v>
      </c>
      <c r="AA201" t="s" s="0">
        <v>94</v>
      </c>
      <c r="AB201" t="s" s="0">
        <v>81</v>
      </c>
      <c r="AC201" t="s" s="0">
        <v>81</v>
      </c>
      <c r="AD201" t="s" s="0">
        <v>81</v>
      </c>
      <c r="AE201" t="s" s="0">
        <v>81</v>
      </c>
      <c r="AF201" t="s" s="0">
        <v>81</v>
      </c>
      <c r="AG201" t="s" s="0">
        <v>4787</v>
      </c>
      <c r="AH201" t="s" s="0">
        <v>4788</v>
      </c>
      <c r="AI201" t="s" s="0">
        <v>4789</v>
      </c>
      <c r="AJ201" t="s" s="0">
        <v>4790</v>
      </c>
      <c r="AK201" t="s" s="0">
        <v>81</v>
      </c>
      <c r="AL201" t="s" s="0">
        <v>637</v>
      </c>
      <c r="AM201" t="s" s="0">
        <v>145</v>
      </c>
      <c r="AN201" t="s" s="0">
        <v>526</v>
      </c>
      <c r="AO201" t="s" s="0">
        <v>99</v>
      </c>
      <c r="AP201" t="s" s="0">
        <v>265</v>
      </c>
      <c r="AQ201" t="s" s="0">
        <v>288</v>
      </c>
      <c r="AR201" t="s" s="0">
        <v>289</v>
      </c>
      <c r="AS201" t="s" s="0">
        <v>290</v>
      </c>
      <c r="AT201" t="s" s="0">
        <v>81</v>
      </c>
      <c r="AU201" t="s" s="0">
        <v>4791</v>
      </c>
      <c r="AV201" t="s" s="0">
        <v>81</v>
      </c>
      <c r="AW201" t="s" s="0">
        <v>4792</v>
      </c>
      <c r="AX201" t="s" s="0">
        <v>4793</v>
      </c>
      <c r="AY201" t="s" s="0">
        <v>591</v>
      </c>
      <c r="AZ201" t="s" s="0">
        <v>592</v>
      </c>
      <c r="BA201" t="s" s="0">
        <v>145</v>
      </c>
      <c r="BB201" t="s" s="0">
        <v>81</v>
      </c>
      <c r="BC201" t="s" s="0">
        <v>81</v>
      </c>
      <c r="BD201" t="s" s="0">
        <v>81</v>
      </c>
      <c r="BE201" t="s" s="0">
        <v>81</v>
      </c>
      <c r="BF201" t="s" s="0">
        <v>81</v>
      </c>
      <c r="BG201" t="s" s="0">
        <v>81</v>
      </c>
      <c r="BH201" t="s" s="0">
        <v>81</v>
      </c>
      <c r="BI201" t="s" s="0">
        <v>4794</v>
      </c>
      <c r="BJ201" t="s" s="0">
        <v>4795</v>
      </c>
      <c r="BK201" t="s" s="398">
        <f>HYPERLINK("http://dx.doi.org/10.1016/j.rcsop.2024.100492","http://dx.doi.org/10.1016/j.rcsop.2024.100492")</f>
        <v>4796</v>
      </c>
      <c r="BL201" t="s" s="0">
        <v>81</v>
      </c>
      <c r="BM201" t="s" s="0">
        <v>4797</v>
      </c>
      <c r="BN201" t="s" s="0">
        <v>328</v>
      </c>
      <c r="BO201" t="s" s="0">
        <v>4798</v>
      </c>
      <c r="BP201" t="s" s="0">
        <v>4798</v>
      </c>
      <c r="BQ201" t="s" s="0">
        <v>4799</v>
      </c>
      <c r="BR201" t="s" s="0">
        <v>4800</v>
      </c>
      <c r="BS201" t="s" s="0">
        <v>4801</v>
      </c>
      <c r="BT201" t="s" s="399">
        <f>HYPERLINK("https://www.webofscience.com/wos/woscc/full-record/WOS:001301740600001","View Record in Web of Science")</f>
        <v>120</v>
      </c>
      <c r="BU201" t="s" s="0">
        <v>121</v>
      </c>
      <c r="BV201" t="s" s="0">
        <v>81</v>
      </c>
      <c r="BW201" t="s" s="0">
        <v>81</v>
      </c>
      <c r="BX201" t="s" s="0">
        <v>122</v>
      </c>
    </row>
    <row r="202">
      <c r="A202" t="s" s="0">
        <v>77</v>
      </c>
      <c r="B202" t="s" s="0">
        <v>77</v>
      </c>
      <c r="C202" t="s" s="0">
        <v>77</v>
      </c>
      <c r="D202" t="s" s="0">
        <v>77</v>
      </c>
      <c r="E202" t="s" s="0">
        <v>4802</v>
      </c>
      <c r="F202" t="s" s="0">
        <v>4803</v>
      </c>
      <c r="G202" t="s" s="0">
        <v>4804</v>
      </c>
      <c r="H202" t="s" s="0">
        <v>81</v>
      </c>
      <c r="I202" t="s" s="0">
        <v>82</v>
      </c>
      <c r="J202" t="s" s="0">
        <v>4805</v>
      </c>
      <c r="K202" t="s" s="0">
        <v>4806</v>
      </c>
      <c r="L202" t="s" s="0">
        <v>81</v>
      </c>
      <c r="M202" t="s" s="0">
        <v>81</v>
      </c>
      <c r="N202" t="s" s="0">
        <v>81</v>
      </c>
      <c r="O202" t="s" s="0">
        <v>4807</v>
      </c>
      <c r="P202" t="s" s="0">
        <v>4808</v>
      </c>
      <c r="Q202" t="s" s="0">
        <v>90</v>
      </c>
      <c r="R202" t="s" s="0">
        <v>81</v>
      </c>
      <c r="S202" t="s" s="0">
        <v>81</v>
      </c>
      <c r="T202" t="s" s="0">
        <v>81</v>
      </c>
      <c r="U202" t="s" s="0">
        <v>81</v>
      </c>
      <c r="V202" t="s" s="0">
        <v>4809</v>
      </c>
      <c r="W202" t="s" s="0">
        <v>380</v>
      </c>
      <c r="X202" t="s" s="0">
        <v>81</v>
      </c>
      <c r="Y202" t="s" s="0">
        <v>81</v>
      </c>
      <c r="Z202" t="s" s="0">
        <v>93</v>
      </c>
      <c r="AA202" t="s" s="0">
        <v>94</v>
      </c>
      <c r="AB202" t="s" s="0">
        <v>81</v>
      </c>
      <c r="AC202" t="s" s="0">
        <v>81</v>
      </c>
      <c r="AD202" t="s" s="0">
        <v>81</v>
      </c>
      <c r="AE202" t="s" s="0">
        <v>81</v>
      </c>
      <c r="AF202" t="s" s="0">
        <v>81</v>
      </c>
      <c r="AG202" t="s" s="0">
        <v>4810</v>
      </c>
      <c r="AH202" t="s" s="0">
        <v>4811</v>
      </c>
      <c r="AI202" t="s" s="0">
        <v>81</v>
      </c>
      <c r="AJ202" t="s" s="0">
        <v>81</v>
      </c>
      <c r="AK202" t="s" s="0">
        <v>81</v>
      </c>
      <c r="AL202" t="s" s="0">
        <v>412</v>
      </c>
      <c r="AM202" t="s" s="0">
        <v>77</v>
      </c>
      <c r="AN202" t="s" s="0">
        <v>77</v>
      </c>
      <c r="AO202" t="s" s="0">
        <v>169</v>
      </c>
      <c r="AP202" t="s" s="0">
        <v>169</v>
      </c>
      <c r="AQ202" t="s" s="0">
        <v>103</v>
      </c>
      <c r="AR202" t="s" s="0">
        <v>104</v>
      </c>
      <c r="AS202" t="s" s="0">
        <v>105</v>
      </c>
      <c r="AT202" t="s" s="0">
        <v>81</v>
      </c>
      <c r="AU202" t="s" s="0">
        <v>387</v>
      </c>
      <c r="AV202" t="s" s="0">
        <v>81</v>
      </c>
      <c r="AW202" t="s" s="0">
        <v>388</v>
      </c>
      <c r="AX202" t="s" s="0">
        <v>389</v>
      </c>
      <c r="AY202" t="s" s="0">
        <v>144</v>
      </c>
      <c r="AZ202" t="s" s="0">
        <v>144</v>
      </c>
      <c r="BA202" t="s" s="0">
        <v>509</v>
      </c>
      <c r="BB202" t="s" s="0">
        <v>81</v>
      </c>
      <c r="BC202" t="s" s="0">
        <v>81</v>
      </c>
      <c r="BD202" t="s" s="0">
        <v>81</v>
      </c>
      <c r="BE202" t="s" s="0">
        <v>81</v>
      </c>
      <c r="BF202" t="s" s="0">
        <v>81</v>
      </c>
      <c r="BG202" t="s" s="0">
        <v>81</v>
      </c>
      <c r="BH202" t="s" s="0">
        <v>81</v>
      </c>
      <c r="BI202" t="s" s="0">
        <v>4812</v>
      </c>
      <c r="BJ202" t="s" s="0">
        <v>4813</v>
      </c>
      <c r="BK202" t="s" s="400">
        <f>HYPERLINK("http://dx.doi.org/10.2196/93054","http://dx.doi.org/10.2196/93054")</f>
        <v>4814</v>
      </c>
      <c r="BL202" t="s" s="0">
        <v>81</v>
      </c>
      <c r="BM202" t="s" s="0">
        <v>81</v>
      </c>
      <c r="BN202" t="s" s="0">
        <v>946</v>
      </c>
      <c r="BO202" t="s" s="0">
        <v>244</v>
      </c>
      <c r="BP202" t="s" s="0">
        <v>244</v>
      </c>
      <c r="BQ202" t="s" s="0">
        <v>4815</v>
      </c>
      <c r="BR202" t="s" s="0">
        <v>4816</v>
      </c>
      <c r="BS202" t="s" s="0">
        <v>4817</v>
      </c>
      <c r="BT202" t="s" s="401">
        <f>HYPERLINK("https://www.webofscience.com/wos/woscc/full-record/WOS:001808527100002","View Record in Web of Science")</f>
        <v>120</v>
      </c>
      <c r="BU202" t="s" s="0">
        <v>121</v>
      </c>
      <c r="BV202" t="s" s="0">
        <v>81</v>
      </c>
      <c r="BW202" t="s" s="0">
        <v>81</v>
      </c>
      <c r="BX202" t="s" s="0">
        <v>122</v>
      </c>
    </row>
    <row r="203">
      <c r="A203" t="s" s="0">
        <v>101</v>
      </c>
      <c r="B203" t="s" s="0">
        <v>77</v>
      </c>
      <c r="C203" t="s" s="0">
        <v>99</v>
      </c>
      <c r="D203" t="s" s="0">
        <v>77</v>
      </c>
      <c r="E203" t="s" s="0">
        <v>4818</v>
      </c>
      <c r="F203" t="s" s="0">
        <v>4819</v>
      </c>
      <c r="G203" t="s" s="0">
        <v>4820</v>
      </c>
      <c r="H203" t="s" s="0">
        <v>81</v>
      </c>
      <c r="I203" t="s" s="0">
        <v>82</v>
      </c>
      <c r="J203" t="s" s="0">
        <v>4821</v>
      </c>
      <c r="K203" t="s" s="0">
        <v>4822</v>
      </c>
      <c r="L203" t="s" s="0">
        <v>4823</v>
      </c>
      <c r="M203" t="s" s="0">
        <v>4823</v>
      </c>
      <c r="N203" t="s" s="0">
        <v>4824</v>
      </c>
      <c r="O203" t="s" s="0">
        <v>4825</v>
      </c>
      <c r="P203" t="s" s="0">
        <v>4826</v>
      </c>
      <c r="Q203" t="s" s="0">
        <v>90</v>
      </c>
      <c r="R203" t="s" s="0">
        <v>81</v>
      </c>
      <c r="S203" t="s" s="0">
        <v>81</v>
      </c>
      <c r="T203" t="s" s="0">
        <v>81</v>
      </c>
      <c r="U203" t="s" s="0">
        <v>81</v>
      </c>
      <c r="V203" t="s" s="0">
        <v>4827</v>
      </c>
      <c r="W203" t="s" s="0">
        <v>380</v>
      </c>
      <c r="X203" t="s" s="0">
        <v>81</v>
      </c>
      <c r="Y203" t="s" s="0">
        <v>81</v>
      </c>
      <c r="Z203" t="s" s="0">
        <v>93</v>
      </c>
      <c r="AA203" t="s" s="0">
        <v>94</v>
      </c>
      <c r="AB203" t="s" s="0">
        <v>81</v>
      </c>
      <c r="AC203" t="s" s="0">
        <v>81</v>
      </c>
      <c r="AD203" t="s" s="0">
        <v>81</v>
      </c>
      <c r="AE203" t="s" s="0">
        <v>81</v>
      </c>
      <c r="AF203" t="s" s="0">
        <v>81</v>
      </c>
      <c r="AG203" t="s" s="0">
        <v>4828</v>
      </c>
      <c r="AH203" t="s" s="0">
        <v>4829</v>
      </c>
      <c r="AI203" t="s" s="0">
        <v>4830</v>
      </c>
      <c r="AJ203" t="s" s="0">
        <v>4831</v>
      </c>
      <c r="AK203" t="s" s="0">
        <v>81</v>
      </c>
      <c r="AL203" t="s" s="0">
        <v>583</v>
      </c>
      <c r="AM203" t="s" s="0">
        <v>1118</v>
      </c>
      <c r="AN203" t="s" s="0">
        <v>445</v>
      </c>
      <c r="AO203" t="s" s="0">
        <v>554</v>
      </c>
      <c r="AP203" t="s" s="0">
        <v>301</v>
      </c>
      <c r="AQ203" t="s" s="0">
        <v>103</v>
      </c>
      <c r="AR203" t="s" s="0">
        <v>104</v>
      </c>
      <c r="AS203" t="s" s="0">
        <v>105</v>
      </c>
      <c r="AT203" t="s" s="0">
        <v>81</v>
      </c>
      <c r="AU203" t="s" s="0">
        <v>387</v>
      </c>
      <c r="AV203" t="s" s="0">
        <v>81</v>
      </c>
      <c r="AW203" t="s" s="0">
        <v>388</v>
      </c>
      <c r="AX203" t="s" s="0">
        <v>389</v>
      </c>
      <c r="AY203" t="s" s="0">
        <v>592</v>
      </c>
      <c r="AZ203" t="s" s="0">
        <v>592</v>
      </c>
      <c r="BA203" t="s" s="0">
        <v>360</v>
      </c>
      <c r="BB203" t="s" s="0">
        <v>81</v>
      </c>
      <c r="BC203" t="s" s="0">
        <v>81</v>
      </c>
      <c r="BD203" t="s" s="0">
        <v>81</v>
      </c>
      <c r="BE203" t="s" s="0">
        <v>81</v>
      </c>
      <c r="BF203" t="s" s="0">
        <v>81</v>
      </c>
      <c r="BG203" t="s" s="0">
        <v>81</v>
      </c>
      <c r="BH203" t="s" s="0">
        <v>81</v>
      </c>
      <c r="BI203" t="s" s="0">
        <v>4832</v>
      </c>
      <c r="BJ203" t="s" s="0">
        <v>4833</v>
      </c>
      <c r="BK203" t="s" s="402">
        <f>HYPERLINK("http://dx.doi.org/10.2196/57674","http://dx.doi.org/10.2196/57674")</f>
        <v>4834</v>
      </c>
      <c r="BL203" t="s" s="0">
        <v>81</v>
      </c>
      <c r="BM203" t="s" s="0">
        <v>81</v>
      </c>
      <c r="BN203" t="s" s="0">
        <v>102</v>
      </c>
      <c r="BO203" t="s" s="0">
        <v>244</v>
      </c>
      <c r="BP203" t="s" s="0">
        <v>244</v>
      </c>
      <c r="BQ203" t="s" s="0">
        <v>4835</v>
      </c>
      <c r="BR203" t="s" s="0">
        <v>4836</v>
      </c>
      <c r="BS203" t="s" s="0">
        <v>4837</v>
      </c>
      <c r="BT203" t="s" s="403">
        <f>HYPERLINK("https://www.webofscience.com/wos/woscc/full-record/WOS:001266511600001","View Record in Web of Science")</f>
        <v>120</v>
      </c>
      <c r="BU203" t="s" s="0">
        <v>121</v>
      </c>
      <c r="BV203" t="s" s="0">
        <v>81</v>
      </c>
      <c r="BW203" t="s" s="0">
        <v>81</v>
      </c>
      <c r="BX203" t="s" s="0">
        <v>122</v>
      </c>
    </row>
    <row r="204">
      <c r="A204" t="s" s="0">
        <v>554</v>
      </c>
      <c r="B204" t="s" s="0">
        <v>77</v>
      </c>
      <c r="C204" t="s" s="0">
        <v>1118</v>
      </c>
      <c r="D204" t="s" s="0">
        <v>169</v>
      </c>
      <c r="E204" t="s" s="0">
        <v>4838</v>
      </c>
      <c r="F204" t="s" s="0">
        <v>4839</v>
      </c>
      <c r="G204" t="s" s="0">
        <v>4840</v>
      </c>
      <c r="H204" t="s" s="0">
        <v>81</v>
      </c>
      <c r="I204" t="s" s="0">
        <v>82</v>
      </c>
      <c r="J204" t="s" s="0">
        <v>4841</v>
      </c>
      <c r="K204" t="s" s="0">
        <v>1942</v>
      </c>
      <c r="L204" t="s" s="0">
        <v>4842</v>
      </c>
      <c r="M204" t="s" s="0">
        <v>4843</v>
      </c>
      <c r="N204" t="s" s="0">
        <v>4844</v>
      </c>
      <c r="O204" t="s" s="0">
        <v>4845</v>
      </c>
      <c r="P204" t="s" s="0">
        <v>4846</v>
      </c>
      <c r="Q204" t="s" s="0">
        <v>90</v>
      </c>
      <c r="R204" t="s" s="0">
        <v>81</v>
      </c>
      <c r="S204" t="s" s="0">
        <v>81</v>
      </c>
      <c r="T204" t="s" s="0">
        <v>81</v>
      </c>
      <c r="U204" t="s" s="0">
        <v>81</v>
      </c>
      <c r="V204" t="s" s="0">
        <v>4847</v>
      </c>
      <c r="W204" t="s" s="0">
        <v>4848</v>
      </c>
      <c r="X204" t="s" s="0">
        <v>81</v>
      </c>
      <c r="Y204" t="s" s="0">
        <v>81</v>
      </c>
      <c r="Z204" t="s" s="0">
        <v>93</v>
      </c>
      <c r="AA204" t="s" s="0">
        <v>94</v>
      </c>
      <c r="AB204" t="s" s="0">
        <v>81</v>
      </c>
      <c r="AC204" t="s" s="0">
        <v>81</v>
      </c>
      <c r="AD204" t="s" s="0">
        <v>81</v>
      </c>
      <c r="AE204" t="s" s="0">
        <v>81</v>
      </c>
      <c r="AF204" t="s" s="0">
        <v>81</v>
      </c>
      <c r="AG204" t="s" s="0">
        <v>81</v>
      </c>
      <c r="AH204" t="s" s="0">
        <v>81</v>
      </c>
      <c r="AI204" t="s" s="0">
        <v>1949</v>
      </c>
      <c r="AJ204" t="s" s="0">
        <v>4849</v>
      </c>
      <c r="AK204" t="s" s="0">
        <v>81</v>
      </c>
      <c r="AL204" t="s" s="0">
        <v>4087</v>
      </c>
      <c r="AM204" t="s" s="0">
        <v>4850</v>
      </c>
      <c r="AN204" t="s" s="0">
        <v>2812</v>
      </c>
      <c r="AO204" t="s" s="0">
        <v>386</v>
      </c>
      <c r="AP204" t="s" s="0">
        <v>1135</v>
      </c>
      <c r="AQ204" t="s" s="0">
        <v>288</v>
      </c>
      <c r="AR204" t="s" s="0">
        <v>289</v>
      </c>
      <c r="AS204" t="s" s="0">
        <v>290</v>
      </c>
      <c r="AT204" t="s" s="0">
        <v>81</v>
      </c>
      <c r="AU204" t="s" s="0">
        <v>4851</v>
      </c>
      <c r="AV204" t="s" s="0">
        <v>81</v>
      </c>
      <c r="AW204" t="s" s="0">
        <v>4852</v>
      </c>
      <c r="AX204" t="s" s="0">
        <v>4853</v>
      </c>
      <c r="AY204" t="s" s="0">
        <v>591</v>
      </c>
      <c r="AZ204" t="s" s="0">
        <v>592</v>
      </c>
      <c r="BA204" t="s" s="0">
        <v>452</v>
      </c>
      <c r="BB204" t="s" s="0">
        <v>328</v>
      </c>
      <c r="BC204" t="s" s="0">
        <v>81</v>
      </c>
      <c r="BD204" t="s" s="0">
        <v>81</v>
      </c>
      <c r="BE204" t="s" s="0">
        <v>81</v>
      </c>
      <c r="BF204" t="s" s="0">
        <v>81</v>
      </c>
      <c r="BG204" t="s" s="0">
        <v>4854</v>
      </c>
      <c r="BH204" t="s" s="0">
        <v>4855</v>
      </c>
      <c r="BI204" t="s" s="0">
        <v>81</v>
      </c>
      <c r="BJ204" t="s" s="0">
        <v>4856</v>
      </c>
      <c r="BK204" t="s" s="404">
        <f>HYPERLINK("http://dx.doi.org/10.1016/S2589-7500(24)00124-9","http://dx.doi.org/10.1016/S2589-7500(24)00124-9")</f>
        <v>4857</v>
      </c>
      <c r="BL204" t="s" s="0">
        <v>81</v>
      </c>
      <c r="BM204" t="s" s="0">
        <v>81</v>
      </c>
      <c r="BN204" t="s" s="0">
        <v>320</v>
      </c>
      <c r="BO204" t="s" s="0">
        <v>4858</v>
      </c>
      <c r="BP204" t="s" s="0">
        <v>4859</v>
      </c>
      <c r="BQ204" t="s" s="0">
        <v>4860</v>
      </c>
      <c r="BR204" t="s" s="0">
        <v>4861</v>
      </c>
      <c r="BS204" t="s" s="0">
        <v>4862</v>
      </c>
      <c r="BT204" t="s" s="405">
        <f>HYPERLINK("https://www.webofscience.com/wos/woscc/full-record/WOS:001301013500001","View Record in Web of Science")</f>
        <v>120</v>
      </c>
      <c r="BU204" t="s" s="0">
        <v>1216</v>
      </c>
      <c r="BV204" t="s" s="0">
        <v>602</v>
      </c>
      <c r="BW204" t="s" s="0">
        <v>603</v>
      </c>
      <c r="BX204" t="s" s="0">
        <v>122</v>
      </c>
    </row>
    <row r="205">
      <c r="A205" t="s" s="0">
        <v>77</v>
      </c>
      <c r="B205" t="s" s="0">
        <v>77</v>
      </c>
      <c r="C205" t="s" s="0">
        <v>77</v>
      </c>
      <c r="D205" t="s" s="0">
        <v>77</v>
      </c>
      <c r="E205" t="s" s="0">
        <v>4863</v>
      </c>
      <c r="F205" t="s" s="0">
        <v>4864</v>
      </c>
      <c r="G205" t="s" s="0">
        <v>4865</v>
      </c>
      <c r="H205" t="s" s="0">
        <v>81</v>
      </c>
      <c r="I205" t="s" s="0">
        <v>82</v>
      </c>
      <c r="J205" t="s" s="0">
        <v>4866</v>
      </c>
      <c r="K205" t="s" s="0">
        <v>4867</v>
      </c>
      <c r="L205" t="s" s="0">
        <v>4868</v>
      </c>
      <c r="M205" t="s" s="0">
        <v>4869</v>
      </c>
      <c r="N205" t="s" s="0">
        <v>4870</v>
      </c>
      <c r="O205" t="s" s="0">
        <v>4871</v>
      </c>
      <c r="P205" t="s" s="0">
        <v>4872</v>
      </c>
      <c r="Q205" t="s" s="0">
        <v>90</v>
      </c>
      <c r="R205" t="s" s="0">
        <v>81</v>
      </c>
      <c r="S205" t="s" s="0">
        <v>81</v>
      </c>
      <c r="T205" t="s" s="0">
        <v>81</v>
      </c>
      <c r="U205" t="s" s="0">
        <v>81</v>
      </c>
      <c r="V205" t="s" s="0">
        <v>4873</v>
      </c>
      <c r="W205" t="s" s="0">
        <v>4874</v>
      </c>
      <c r="X205" t="s" s="0">
        <v>81</v>
      </c>
      <c r="Y205" t="s" s="0">
        <v>81</v>
      </c>
      <c r="Z205" t="s" s="0">
        <v>93</v>
      </c>
      <c r="AA205" t="s" s="0">
        <v>196</v>
      </c>
      <c r="AB205" t="s" s="0">
        <v>81</v>
      </c>
      <c r="AC205" t="s" s="0">
        <v>81</v>
      </c>
      <c r="AD205" t="s" s="0">
        <v>81</v>
      </c>
      <c r="AE205" t="s" s="0">
        <v>81</v>
      </c>
      <c r="AF205" t="s" s="0">
        <v>81</v>
      </c>
      <c r="AG205" t="s" s="0">
        <v>4875</v>
      </c>
      <c r="AH205" t="s" s="0">
        <v>4876</v>
      </c>
      <c r="AI205" t="s" s="0">
        <v>4877</v>
      </c>
      <c r="AJ205" t="s" s="0">
        <v>81</v>
      </c>
      <c r="AK205" t="s" s="0">
        <v>81</v>
      </c>
      <c r="AL205" t="s" s="0">
        <v>637</v>
      </c>
      <c r="AM205" t="s" s="0">
        <v>77</v>
      </c>
      <c r="AN205" t="s" s="0">
        <v>77</v>
      </c>
      <c r="AO205" t="s" s="0">
        <v>169</v>
      </c>
      <c r="AP205" t="s" s="0">
        <v>169</v>
      </c>
      <c r="AQ205" t="s" s="0">
        <v>499</v>
      </c>
      <c r="AR205" t="s" s="0">
        <v>500</v>
      </c>
      <c r="AS205" t="s" s="0">
        <v>501</v>
      </c>
      <c r="AT205" t="s" s="0">
        <v>4878</v>
      </c>
      <c r="AU205" t="s" s="0">
        <v>4879</v>
      </c>
      <c r="AV205" t="s" s="0">
        <v>81</v>
      </c>
      <c r="AW205" t="s" s="0">
        <v>4880</v>
      </c>
      <c r="AX205" t="s" s="0">
        <v>4881</v>
      </c>
      <c r="AY205" t="s" s="0">
        <v>81</v>
      </c>
      <c r="AZ205" t="s" s="0">
        <v>144</v>
      </c>
      <c r="BA205" t="s" s="0">
        <v>81</v>
      </c>
      <c r="BB205" t="s" s="0">
        <v>81</v>
      </c>
      <c r="BC205" t="s" s="0">
        <v>81</v>
      </c>
      <c r="BD205" t="s" s="0">
        <v>81</v>
      </c>
      <c r="BE205" t="s" s="0">
        <v>81</v>
      </c>
      <c r="BF205" t="s" s="0">
        <v>81</v>
      </c>
      <c r="BG205" t="s" s="0">
        <v>81</v>
      </c>
      <c r="BH205" t="s" s="0">
        <v>81</v>
      </c>
      <c r="BI205" t="s" s="0">
        <v>81</v>
      </c>
      <c r="BJ205" t="s" s="0">
        <v>4882</v>
      </c>
      <c r="BK205" t="s" s="406">
        <f>HYPERLINK("http://dx.doi.org/10.1007/s00586-026-10046-8","http://dx.doi.org/10.1007/s00586-026-10046-8")</f>
        <v>4883</v>
      </c>
      <c r="BL205" t="s" s="0">
        <v>81</v>
      </c>
      <c r="BM205" t="s" s="0">
        <v>532</v>
      </c>
      <c r="BN205" t="s" s="0">
        <v>115</v>
      </c>
      <c r="BO205" t="s" s="0">
        <v>4884</v>
      </c>
      <c r="BP205" t="s" s="0">
        <v>4885</v>
      </c>
      <c r="BQ205" t="s" s="0">
        <v>4886</v>
      </c>
      <c r="BR205" t="s" s="0">
        <v>4887</v>
      </c>
      <c r="BS205" t="s" s="0">
        <v>4888</v>
      </c>
      <c r="BT205" t="s" s="407">
        <f>HYPERLINK("https://www.webofscience.com/wos/woscc/full-record/WOS:001787912100001","View Record in Web of Science")</f>
        <v>120</v>
      </c>
      <c r="BU205" t="s" s="0">
        <v>306</v>
      </c>
      <c r="BV205" t="s" s="0">
        <v>81</v>
      </c>
      <c r="BW205" t="s" s="0">
        <v>81</v>
      </c>
      <c r="BX205" t="s" s="0">
        <v>122</v>
      </c>
    </row>
    <row r="206">
      <c r="A206" t="s" s="0">
        <v>169</v>
      </c>
      <c r="B206" t="s" s="0">
        <v>77</v>
      </c>
      <c r="C206" t="s" s="0">
        <v>169</v>
      </c>
      <c r="D206" t="s" s="0">
        <v>77</v>
      </c>
      <c r="E206" t="s" s="0">
        <v>4889</v>
      </c>
      <c r="F206" t="s" s="0">
        <v>4890</v>
      </c>
      <c r="G206" t="s" s="0">
        <v>4891</v>
      </c>
      <c r="H206" t="s" s="0">
        <v>81</v>
      </c>
      <c r="I206" t="s" s="0">
        <v>218</v>
      </c>
      <c r="J206" t="s" s="0">
        <v>4892</v>
      </c>
      <c r="K206" t="s" s="0">
        <v>4893</v>
      </c>
      <c r="L206" t="s" s="0">
        <v>81</v>
      </c>
      <c r="M206" t="s" s="0">
        <v>81</v>
      </c>
      <c r="N206" t="s" s="0">
        <v>81</v>
      </c>
      <c r="O206" t="s" s="0">
        <v>4894</v>
      </c>
      <c r="P206" t="s" s="0">
        <v>4895</v>
      </c>
      <c r="Q206" t="s" s="0">
        <v>90</v>
      </c>
      <c r="R206" t="s" s="0">
        <v>81</v>
      </c>
      <c r="S206" t="s" s="0">
        <v>81</v>
      </c>
      <c r="T206" t="s" s="0">
        <v>81</v>
      </c>
      <c r="U206" t="s" s="0">
        <v>81</v>
      </c>
      <c r="V206" t="s" s="0">
        <v>4896</v>
      </c>
      <c r="W206" t="s" s="0">
        <v>1299</v>
      </c>
      <c r="X206" t="s" s="0">
        <v>81</v>
      </c>
      <c r="Y206" t="s" s="0">
        <v>81</v>
      </c>
      <c r="Z206" t="s" s="0">
        <v>93</v>
      </c>
      <c r="AA206" t="s" s="0">
        <v>94</v>
      </c>
      <c r="AB206" t="s" s="0">
        <v>81</v>
      </c>
      <c r="AC206" t="s" s="0">
        <v>81</v>
      </c>
      <c r="AD206" t="s" s="0">
        <v>81</v>
      </c>
      <c r="AE206" t="s" s="0">
        <v>81</v>
      </c>
      <c r="AF206" t="s" s="0">
        <v>81</v>
      </c>
      <c r="AG206" t="s" s="0">
        <v>4897</v>
      </c>
      <c r="AH206" t="s" s="0">
        <v>81</v>
      </c>
      <c r="AI206" t="s" s="0">
        <v>4898</v>
      </c>
      <c r="AJ206" t="s" s="0">
        <v>4899</v>
      </c>
      <c r="AK206" t="s" s="0">
        <v>81</v>
      </c>
      <c r="AL206" t="s" s="0">
        <v>583</v>
      </c>
      <c r="AM206" t="s" s="0">
        <v>386</v>
      </c>
      <c r="AN206" t="s" s="0">
        <v>102</v>
      </c>
      <c r="AO206" t="s" s="0">
        <v>100</v>
      </c>
      <c r="AP206" t="s" s="0">
        <v>210</v>
      </c>
      <c r="AQ206" t="s" s="0">
        <v>103</v>
      </c>
      <c r="AR206" t="s" s="0">
        <v>104</v>
      </c>
      <c r="AS206" t="s" s="0">
        <v>105</v>
      </c>
      <c r="AT206" t="s" s="0">
        <v>81</v>
      </c>
      <c r="AU206" t="s" s="0">
        <v>1301</v>
      </c>
      <c r="AV206" t="s" s="0">
        <v>81</v>
      </c>
      <c r="AW206" t="s" s="0">
        <v>1299</v>
      </c>
      <c r="AX206" t="s" s="0">
        <v>1299</v>
      </c>
      <c r="AY206" t="s" s="0">
        <v>110</v>
      </c>
      <c r="AZ206" t="s" s="0">
        <v>110</v>
      </c>
      <c r="BA206" t="s" s="0">
        <v>99</v>
      </c>
      <c r="BB206" t="s" s="0">
        <v>81</v>
      </c>
      <c r="BC206" t="s" s="0">
        <v>81</v>
      </c>
      <c r="BD206" t="s" s="0">
        <v>81</v>
      </c>
      <c r="BE206" t="s" s="0">
        <v>81</v>
      </c>
      <c r="BF206" t="s" s="0">
        <v>81</v>
      </c>
      <c r="BG206" t="s" s="0">
        <v>81</v>
      </c>
      <c r="BH206" t="s" s="0">
        <v>81</v>
      </c>
      <c r="BI206" t="s" s="0">
        <v>4900</v>
      </c>
      <c r="BJ206" t="s" s="0">
        <v>4901</v>
      </c>
      <c r="BK206" t="s" s="408">
        <f>HYPERLINK("http://dx.doi.org/10.2196/68776","http://dx.doi.org/10.2196/68776")</f>
        <v>4902</v>
      </c>
      <c r="BL206" t="s" s="0">
        <v>81</v>
      </c>
      <c r="BM206" t="s" s="0">
        <v>81</v>
      </c>
      <c r="BN206" t="s" s="0">
        <v>946</v>
      </c>
      <c r="BO206" t="s" s="0">
        <v>116</v>
      </c>
      <c r="BP206" t="s" s="0">
        <v>116</v>
      </c>
      <c r="BQ206" t="s" s="0">
        <v>4903</v>
      </c>
      <c r="BR206" t="s" s="0">
        <v>4904</v>
      </c>
      <c r="BS206" t="s" s="0">
        <v>4905</v>
      </c>
      <c r="BT206" t="s" s="409">
        <f>HYPERLINK("https://www.webofscience.com/wos/woscc/full-record/WOS:001529229200001","View Record in Web of Science")</f>
        <v>120</v>
      </c>
      <c r="BU206" t="s" s="0">
        <v>121</v>
      </c>
      <c r="BV206" t="s" s="0">
        <v>81</v>
      </c>
      <c r="BW206" t="s" s="0">
        <v>81</v>
      </c>
      <c r="BX206" t="s" s="0">
        <v>122</v>
      </c>
    </row>
    <row r="207">
      <c r="A207" t="s" s="0">
        <v>77</v>
      </c>
      <c r="B207" t="s" s="0">
        <v>77</v>
      </c>
      <c r="C207" t="s" s="0">
        <v>77</v>
      </c>
      <c r="D207" t="s" s="0">
        <v>77</v>
      </c>
      <c r="E207" t="s" s="0">
        <v>4906</v>
      </c>
      <c r="F207" t="s" s="0">
        <v>4907</v>
      </c>
      <c r="G207" t="s" s="0">
        <v>4908</v>
      </c>
      <c r="H207" t="s" s="0">
        <v>81</v>
      </c>
      <c r="I207" t="s" s="0">
        <v>218</v>
      </c>
      <c r="J207" t="s" s="0">
        <v>4909</v>
      </c>
      <c r="K207" t="s" s="0">
        <v>4910</v>
      </c>
      <c r="L207" t="s" s="0">
        <v>81</v>
      </c>
      <c r="M207" t="s" s="0">
        <v>81</v>
      </c>
      <c r="N207" t="s" s="0">
        <v>81</v>
      </c>
      <c r="O207" t="s" s="0">
        <v>4911</v>
      </c>
      <c r="P207" t="s" s="0">
        <v>4912</v>
      </c>
      <c r="Q207" t="s" s="0">
        <v>90</v>
      </c>
      <c r="R207" t="s" s="0">
        <v>81</v>
      </c>
      <c r="S207" t="s" s="0">
        <v>81</v>
      </c>
      <c r="T207" t="s" s="0">
        <v>81</v>
      </c>
      <c r="U207" t="s" s="0">
        <v>81</v>
      </c>
      <c r="V207" t="s" s="0">
        <v>4913</v>
      </c>
      <c r="W207" t="s" s="0">
        <v>817</v>
      </c>
      <c r="X207" t="s" s="0">
        <v>81</v>
      </c>
      <c r="Y207" t="s" s="0">
        <v>81</v>
      </c>
      <c r="Z207" t="s" s="0">
        <v>93</v>
      </c>
      <c r="AA207" t="s" s="0">
        <v>94</v>
      </c>
      <c r="AB207" t="s" s="0">
        <v>81</v>
      </c>
      <c r="AC207" t="s" s="0">
        <v>81</v>
      </c>
      <c r="AD207" t="s" s="0">
        <v>81</v>
      </c>
      <c r="AE207" t="s" s="0">
        <v>81</v>
      </c>
      <c r="AF207" t="s" s="0">
        <v>81</v>
      </c>
      <c r="AG207" t="s" s="0">
        <v>81</v>
      </c>
      <c r="AH207" t="s" s="0">
        <v>81</v>
      </c>
      <c r="AI207" t="s" s="0">
        <v>81</v>
      </c>
      <c r="AJ207" t="s" s="0">
        <v>81</v>
      </c>
      <c r="AK207" t="s" s="0">
        <v>81</v>
      </c>
      <c r="AL207" t="s" s="0">
        <v>319</v>
      </c>
      <c r="AM207" t="s" s="0">
        <v>77</v>
      </c>
      <c r="AN207" t="s" s="0">
        <v>77</v>
      </c>
      <c r="AO207" t="s" s="0">
        <v>169</v>
      </c>
      <c r="AP207" t="s" s="0">
        <v>169</v>
      </c>
      <c r="AQ207" t="s" s="0">
        <v>821</v>
      </c>
      <c r="AR207" t="s" s="0">
        <v>822</v>
      </c>
      <c r="AS207" t="s" s="0">
        <v>823</v>
      </c>
      <c r="AT207" t="s" s="0">
        <v>81</v>
      </c>
      <c r="AU207" t="s" s="0">
        <v>824</v>
      </c>
      <c r="AV207" t="s" s="0">
        <v>81</v>
      </c>
      <c r="AW207" t="s" s="0">
        <v>825</v>
      </c>
      <c r="AX207" t="s" s="0">
        <v>826</v>
      </c>
      <c r="AY207" t="s" s="0">
        <v>295</v>
      </c>
      <c r="AZ207" t="s" s="0">
        <v>144</v>
      </c>
      <c r="BA207" t="s" s="0">
        <v>100</v>
      </c>
      <c r="BB207" t="s" s="0">
        <v>100</v>
      </c>
      <c r="BC207" t="s" s="0">
        <v>81</v>
      </c>
      <c r="BD207" t="s" s="0">
        <v>81</v>
      </c>
      <c r="BE207" t="s" s="0">
        <v>81</v>
      </c>
      <c r="BF207" t="s" s="0">
        <v>81</v>
      </c>
      <c r="BG207" t="s" s="0">
        <v>81</v>
      </c>
      <c r="BH207" t="s" s="0">
        <v>81</v>
      </c>
      <c r="BI207" t="s" s="0">
        <v>4914</v>
      </c>
      <c r="BJ207" t="s" s="0">
        <v>4915</v>
      </c>
      <c r="BK207" t="s" s="410">
        <f>HYPERLINK("http://dx.doi.org/10.1371/journal.pdig.0001072","http://dx.doi.org/10.1371/journal.pdig.0001072")</f>
        <v>4916</v>
      </c>
      <c r="BL207" t="s" s="0">
        <v>81</v>
      </c>
      <c r="BM207" t="s" s="0">
        <v>81</v>
      </c>
      <c r="BN207" t="s" s="0">
        <v>526</v>
      </c>
      <c r="BO207" t="s" s="0">
        <v>116</v>
      </c>
      <c r="BP207" t="s" s="0">
        <v>116</v>
      </c>
      <c r="BQ207" t="s" s="0">
        <v>4917</v>
      </c>
      <c r="BR207" t="s" s="0">
        <v>4918</v>
      </c>
      <c r="BS207" t="s" s="0">
        <v>4919</v>
      </c>
      <c r="BT207" t="s" s="411">
        <f>HYPERLINK("https://www.webofscience.com/wos/woscc/full-record/WOS:001778969600002","View Record in Web of Science")</f>
        <v>120</v>
      </c>
      <c r="BU207" t="s" s="0">
        <v>4920</v>
      </c>
      <c r="BV207" t="s" s="0">
        <v>81</v>
      </c>
      <c r="BW207" t="s" s="0">
        <v>81</v>
      </c>
      <c r="BX207" t="s" s="0">
        <v>122</v>
      </c>
    </row>
    <row r="208">
      <c r="A208" t="s" s="0">
        <v>77</v>
      </c>
      <c r="B208" t="s" s="0">
        <v>77</v>
      </c>
      <c r="C208" t="s" s="0">
        <v>77</v>
      </c>
      <c r="D208" t="s" s="0">
        <v>77</v>
      </c>
      <c r="E208" t="s" s="0">
        <v>4921</v>
      </c>
      <c r="F208" t="s" s="0">
        <v>4922</v>
      </c>
      <c r="G208" t="s" s="0">
        <v>4923</v>
      </c>
      <c r="H208" t="s" s="0">
        <v>81</v>
      </c>
      <c r="I208" t="s" s="0">
        <v>218</v>
      </c>
      <c r="J208" t="s" s="0">
        <v>4924</v>
      </c>
      <c r="K208" t="s" s="0">
        <v>4925</v>
      </c>
      <c r="L208" t="s" s="0">
        <v>81</v>
      </c>
      <c r="M208" t="s" s="0">
        <v>81</v>
      </c>
      <c r="N208" t="s" s="0">
        <v>81</v>
      </c>
      <c r="O208" t="s" s="0">
        <v>4926</v>
      </c>
      <c r="P208" t="s" s="0">
        <v>4927</v>
      </c>
      <c r="Q208" t="s" s="0">
        <v>90</v>
      </c>
      <c r="R208" t="s" s="0">
        <v>81</v>
      </c>
      <c r="S208" t="s" s="0">
        <v>81</v>
      </c>
      <c r="T208" t="s" s="0">
        <v>81</v>
      </c>
      <c r="U208" t="s" s="0">
        <v>81</v>
      </c>
      <c r="V208" t="s" s="0">
        <v>4928</v>
      </c>
      <c r="W208" t="s" s="0">
        <v>4929</v>
      </c>
      <c r="X208" t="s" s="0">
        <v>81</v>
      </c>
      <c r="Y208" t="s" s="0">
        <v>81</v>
      </c>
      <c r="Z208" t="s" s="0">
        <v>93</v>
      </c>
      <c r="AA208" t="s" s="0">
        <v>94</v>
      </c>
      <c r="AB208" t="s" s="0">
        <v>81</v>
      </c>
      <c r="AC208" t="s" s="0">
        <v>81</v>
      </c>
      <c r="AD208" t="s" s="0">
        <v>81</v>
      </c>
      <c r="AE208" t="s" s="0">
        <v>81</v>
      </c>
      <c r="AF208" t="s" s="0">
        <v>81</v>
      </c>
      <c r="AG208" t="s" s="0">
        <v>4930</v>
      </c>
      <c r="AH208" t="s" s="0">
        <v>81</v>
      </c>
      <c r="AI208" t="s" s="0">
        <v>81</v>
      </c>
      <c r="AJ208" t="s" s="0">
        <v>81</v>
      </c>
      <c r="AK208" t="s" s="0">
        <v>81</v>
      </c>
      <c r="AL208" t="s" s="0">
        <v>445</v>
      </c>
      <c r="AM208" t="s" s="0">
        <v>77</v>
      </c>
      <c r="AN208" t="s" s="0">
        <v>77</v>
      </c>
      <c r="AO208" t="s" s="0">
        <v>169</v>
      </c>
      <c r="AP208" t="s" s="0">
        <v>169</v>
      </c>
      <c r="AQ208" t="s" s="0">
        <v>1178</v>
      </c>
      <c r="AR208" t="s" s="0">
        <v>1179</v>
      </c>
      <c r="AS208" t="s" s="0">
        <v>1180</v>
      </c>
      <c r="AT208" t="s" s="0">
        <v>81</v>
      </c>
      <c r="AU208" t="s" s="0">
        <v>4931</v>
      </c>
      <c r="AV208" t="s" s="0">
        <v>81</v>
      </c>
      <c r="AW208" t="s" s="0">
        <v>4932</v>
      </c>
      <c r="AX208" t="s" s="0">
        <v>4933</v>
      </c>
      <c r="AY208" t="s" s="0">
        <v>532</v>
      </c>
      <c r="AZ208" t="s" s="0">
        <v>144</v>
      </c>
      <c r="BA208" t="s" s="0">
        <v>386</v>
      </c>
      <c r="BB208" t="s" s="0">
        <v>101</v>
      </c>
      <c r="BC208" t="s" s="0">
        <v>81</v>
      </c>
      <c r="BD208" t="s" s="0">
        <v>81</v>
      </c>
      <c r="BE208" t="s" s="0">
        <v>81</v>
      </c>
      <c r="BF208" t="s" s="0">
        <v>81</v>
      </c>
      <c r="BG208" t="s" s="0">
        <v>81</v>
      </c>
      <c r="BH208" t="s" s="0">
        <v>81</v>
      </c>
      <c r="BI208" t="s" s="0">
        <v>4934</v>
      </c>
      <c r="BJ208" t="s" s="0">
        <v>4935</v>
      </c>
      <c r="BK208" t="s" s="412">
        <f>HYPERLINK("http://dx.doi.org/10.1227/neuprac.0000000000000244","http://dx.doi.org/10.1227/neuprac.0000000000000244")</f>
        <v>4936</v>
      </c>
      <c r="BL208" t="s" s="0">
        <v>81</v>
      </c>
      <c r="BM208" t="s" s="0">
        <v>81</v>
      </c>
      <c r="BN208" t="s" s="0">
        <v>210</v>
      </c>
      <c r="BO208" t="s" s="0">
        <v>2607</v>
      </c>
      <c r="BP208" t="s" s="0">
        <v>2608</v>
      </c>
      <c r="BQ208" t="s" s="0">
        <v>4937</v>
      </c>
      <c r="BR208" t="s" s="0">
        <v>4938</v>
      </c>
      <c r="BS208" t="s" s="0">
        <v>4939</v>
      </c>
      <c r="BT208" t="s" s="413">
        <f>HYPERLINK("https://www.webofscience.com/wos/woscc/full-record/WOS:001778372400001","View Record in Web of Science")</f>
        <v>120</v>
      </c>
      <c r="BU208" t="s" s="0">
        <v>4940</v>
      </c>
      <c r="BV208" t="s" s="0">
        <v>81</v>
      </c>
      <c r="BW208" t="s" s="0">
        <v>81</v>
      </c>
      <c r="BX208" t="s" s="0">
        <v>122</v>
      </c>
    </row>
    <row r="209">
      <c r="A209" t="s" s="0">
        <v>77</v>
      </c>
      <c r="B209" t="s" s="0">
        <v>77</v>
      </c>
      <c r="C209" t="s" s="0">
        <v>77</v>
      </c>
      <c r="D209" t="s" s="0">
        <v>77</v>
      </c>
      <c r="E209" t="s" s="0">
        <v>4941</v>
      </c>
      <c r="F209" t="s" s="0">
        <v>4942</v>
      </c>
      <c r="G209" t="s" s="0">
        <v>4943</v>
      </c>
      <c r="H209" t="s" s="0">
        <v>81</v>
      </c>
      <c r="I209" t="s" s="0">
        <v>218</v>
      </c>
      <c r="J209" t="s" s="0">
        <v>4944</v>
      </c>
      <c r="K209" t="s" s="0">
        <v>81</v>
      </c>
      <c r="L209" t="s" s="0">
        <v>81</v>
      </c>
      <c r="M209" t="s" s="0">
        <v>81</v>
      </c>
      <c r="N209" t="s" s="0">
        <v>81</v>
      </c>
      <c r="O209" t="s" s="0">
        <v>4945</v>
      </c>
      <c r="P209" t="s" s="0">
        <v>4946</v>
      </c>
      <c r="Q209" t="s" s="0">
        <v>90</v>
      </c>
      <c r="R209" t="s" s="0">
        <v>81</v>
      </c>
      <c r="S209" t="s" s="0">
        <v>81</v>
      </c>
      <c r="T209" t="s" s="0">
        <v>81</v>
      </c>
      <c r="U209" t="s" s="0">
        <v>81</v>
      </c>
      <c r="V209" t="s" s="0">
        <v>4947</v>
      </c>
      <c r="W209" t="s" s="0">
        <v>4948</v>
      </c>
      <c r="X209" t="s" s="0">
        <v>81</v>
      </c>
      <c r="Y209" t="s" s="0">
        <v>81</v>
      </c>
      <c r="Z209" t="s" s="0">
        <v>93</v>
      </c>
      <c r="AA209" t="s" s="0">
        <v>94</v>
      </c>
      <c r="AB209" t="s" s="0">
        <v>81</v>
      </c>
      <c r="AC209" t="s" s="0">
        <v>81</v>
      </c>
      <c r="AD209" t="s" s="0">
        <v>81</v>
      </c>
      <c r="AE209" t="s" s="0">
        <v>81</v>
      </c>
      <c r="AF209" t="s" s="0">
        <v>81</v>
      </c>
      <c r="AG209" t="s" s="0">
        <v>4949</v>
      </c>
      <c r="AH209" t="s" s="0">
        <v>3761</v>
      </c>
      <c r="AI209" t="s" s="0">
        <v>81</v>
      </c>
      <c r="AJ209" t="s" s="0">
        <v>81</v>
      </c>
      <c r="AK209" t="s" s="0">
        <v>81</v>
      </c>
      <c r="AL209" t="s" s="0">
        <v>261</v>
      </c>
      <c r="AM209" t="s" s="0">
        <v>77</v>
      </c>
      <c r="AN209" t="s" s="0">
        <v>77</v>
      </c>
      <c r="AO209" t="s" s="0">
        <v>77</v>
      </c>
      <c r="AP209" t="s" s="0">
        <v>77</v>
      </c>
      <c r="AQ209" t="s" s="0">
        <v>4950</v>
      </c>
      <c r="AR209" t="s" s="0">
        <v>4951</v>
      </c>
      <c r="AS209" t="s" s="0">
        <v>4952</v>
      </c>
      <c r="AT209" t="s" s="0">
        <v>81</v>
      </c>
      <c r="AU209" t="s" s="0">
        <v>4953</v>
      </c>
      <c r="AV209" t="s" s="0">
        <v>81</v>
      </c>
      <c r="AW209" t="s" s="0">
        <v>4954</v>
      </c>
      <c r="AX209" t="s" s="0">
        <v>4955</v>
      </c>
      <c r="AY209" t="s" s="0">
        <v>4956</v>
      </c>
      <c r="AZ209" t="s" s="0">
        <v>144</v>
      </c>
      <c r="BA209" t="s" s="0">
        <v>393</v>
      </c>
      <c r="BB209" t="s" s="0">
        <v>81</v>
      </c>
      <c r="BC209" t="s" s="0">
        <v>81</v>
      </c>
      <c r="BD209" t="s" s="0">
        <v>81</v>
      </c>
      <c r="BE209" t="s" s="0">
        <v>169</v>
      </c>
      <c r="BF209" t="s" s="0">
        <v>81</v>
      </c>
      <c r="BG209" t="s" s="0">
        <v>81</v>
      </c>
      <c r="BH209" t="s" s="0">
        <v>81</v>
      </c>
      <c r="BI209" t="s" s="0">
        <v>4957</v>
      </c>
      <c r="BJ209" t="s" s="0">
        <v>81</v>
      </c>
      <c r="BK209" t="s" s="0">
        <v>81</v>
      </c>
      <c r="BL209" t="s" s="0">
        <v>81</v>
      </c>
      <c r="BM209" t="s" s="0">
        <v>81</v>
      </c>
      <c r="BN209" t="s" s="0">
        <v>210</v>
      </c>
      <c r="BO209" t="s" s="0">
        <v>4958</v>
      </c>
      <c r="BP209" t="s" s="0">
        <v>4958</v>
      </c>
      <c r="BQ209" t="s" s="0">
        <v>4959</v>
      </c>
      <c r="BR209" t="s" s="0">
        <v>81</v>
      </c>
      <c r="BS209" t="s" s="0">
        <v>4960</v>
      </c>
      <c r="BT209" t="s" s="414">
        <f>HYPERLINK("https://www.webofscience.com/wos/woscc/full-record/WOS:001754387300001","View Record in Web of Science")</f>
        <v>120</v>
      </c>
      <c r="BU209" t="s" s="0">
        <v>81</v>
      </c>
      <c r="BV209" t="s" s="0">
        <v>81</v>
      </c>
      <c r="BW209" t="s" s="0">
        <v>81</v>
      </c>
      <c r="BX209" t="s" s="0">
        <v>122</v>
      </c>
    </row>
    <row r="210">
      <c r="A210" t="s" s="0">
        <v>77</v>
      </c>
      <c r="B210" t="s" s="0">
        <v>77</v>
      </c>
      <c r="C210" t="s" s="0">
        <v>77</v>
      </c>
      <c r="D210" t="s" s="0">
        <v>77</v>
      </c>
      <c r="E210" t="s" s="0">
        <v>4961</v>
      </c>
      <c r="F210" t="s" s="0">
        <v>4962</v>
      </c>
      <c r="G210" t="s" s="0">
        <v>4963</v>
      </c>
      <c r="H210" t="s" s="0">
        <v>81</v>
      </c>
      <c r="I210" t="s" s="0">
        <v>82</v>
      </c>
      <c r="J210" t="s" s="0">
        <v>4964</v>
      </c>
      <c r="K210" t="s" s="0">
        <v>4965</v>
      </c>
      <c r="L210" t="s" s="0">
        <v>4966</v>
      </c>
      <c r="M210" t="s" s="0">
        <v>4967</v>
      </c>
      <c r="N210" t="s" s="0">
        <v>4968</v>
      </c>
      <c r="O210" t="s" s="0">
        <v>4969</v>
      </c>
      <c r="P210" t="s" s="0">
        <v>4970</v>
      </c>
      <c r="Q210" t="s" s="0">
        <v>90</v>
      </c>
      <c r="R210" t="s" s="0">
        <v>81</v>
      </c>
      <c r="S210" t="s" s="0">
        <v>81</v>
      </c>
      <c r="T210" t="s" s="0">
        <v>81</v>
      </c>
      <c r="U210" t="s" s="0">
        <v>81</v>
      </c>
      <c r="V210" t="s" s="0">
        <v>4971</v>
      </c>
      <c r="W210" t="s" s="0">
        <v>3339</v>
      </c>
      <c r="X210" t="s" s="0">
        <v>81</v>
      </c>
      <c r="Y210" t="s" s="0">
        <v>81</v>
      </c>
      <c r="Z210" t="s" s="0">
        <v>93</v>
      </c>
      <c r="AA210" t="s" s="0">
        <v>94</v>
      </c>
      <c r="AB210" t="s" s="0">
        <v>81</v>
      </c>
      <c r="AC210" t="s" s="0">
        <v>81</v>
      </c>
      <c r="AD210" t="s" s="0">
        <v>81</v>
      </c>
      <c r="AE210" t="s" s="0">
        <v>81</v>
      </c>
      <c r="AF210" t="s" s="0">
        <v>81</v>
      </c>
      <c r="AG210" t="s" s="0">
        <v>4972</v>
      </c>
      <c r="AH210" t="s" s="0">
        <v>4973</v>
      </c>
      <c r="AI210" t="s" s="0">
        <v>81</v>
      </c>
      <c r="AJ210" t="s" s="0">
        <v>4974</v>
      </c>
      <c r="AK210" t="s" s="0">
        <v>81</v>
      </c>
      <c r="AL210" t="s" s="0">
        <v>287</v>
      </c>
      <c r="AM210" t="s" s="0">
        <v>169</v>
      </c>
      <c r="AN210" t="s" s="0">
        <v>554</v>
      </c>
      <c r="AO210" t="s" s="0">
        <v>169</v>
      </c>
      <c r="AP210" t="s" s="0">
        <v>169</v>
      </c>
      <c r="AQ210" t="s" s="0">
        <v>321</v>
      </c>
      <c r="AR210" t="s" s="0">
        <v>322</v>
      </c>
      <c r="AS210" t="s" s="0">
        <v>323</v>
      </c>
      <c r="AT210" t="s" s="0">
        <v>3341</v>
      </c>
      <c r="AU210" t="s" s="0">
        <v>81</v>
      </c>
      <c r="AV210" t="s" s="0">
        <v>81</v>
      </c>
      <c r="AW210" t="s" s="0">
        <v>3342</v>
      </c>
      <c r="AX210" t="s" s="0">
        <v>3343</v>
      </c>
      <c r="AY210" t="s" s="0">
        <v>2467</v>
      </c>
      <c r="AZ210" t="s" s="0">
        <v>110</v>
      </c>
      <c r="BA210" t="s" s="0">
        <v>265</v>
      </c>
      <c r="BB210" t="s" s="0">
        <v>169</v>
      </c>
      <c r="BC210" t="s" s="0">
        <v>81</v>
      </c>
      <c r="BD210" t="s" s="0">
        <v>81</v>
      </c>
      <c r="BE210" t="s" s="0">
        <v>81</v>
      </c>
      <c r="BF210" t="s" s="0">
        <v>81</v>
      </c>
      <c r="BG210" t="s" s="0">
        <v>81</v>
      </c>
      <c r="BH210" t="s" s="0">
        <v>81</v>
      </c>
      <c r="BI210" t="s" s="0">
        <v>4975</v>
      </c>
      <c r="BJ210" t="s" s="0">
        <v>4976</v>
      </c>
      <c r="BK210" t="s" s="415">
        <f>HYPERLINK("http://dx.doi.org/10.1038/s41598-025-31113-y","http://dx.doi.org/10.1038/s41598-025-31113-y")</f>
        <v>4977</v>
      </c>
      <c r="BL210" t="s" s="0">
        <v>81</v>
      </c>
      <c r="BM210" t="s" s="0">
        <v>81</v>
      </c>
      <c r="BN210" t="s" s="0">
        <v>115</v>
      </c>
      <c r="BO210" t="s" s="0">
        <v>638</v>
      </c>
      <c r="BP210" t="s" s="0">
        <v>639</v>
      </c>
      <c r="BQ210" t="s" s="0">
        <v>4978</v>
      </c>
      <c r="BR210" t="s" s="0">
        <v>4979</v>
      </c>
      <c r="BS210" t="s" s="0">
        <v>4980</v>
      </c>
      <c r="BT210" t="s" s="416">
        <f>HYPERLINK("https://www.webofscience.com/wos/woscc/full-record/WOS:001660890300005","View Record in Web of Science")</f>
        <v>120</v>
      </c>
      <c r="BU210" t="s" s="0">
        <v>121</v>
      </c>
      <c r="BV210" t="s" s="0">
        <v>81</v>
      </c>
      <c r="BW210" t="s" s="0">
        <v>81</v>
      </c>
      <c r="BX210" t="s" s="0">
        <v>122</v>
      </c>
    </row>
    <row r="211">
      <c r="A211" t="s" s="0">
        <v>169</v>
      </c>
      <c r="B211" t="s" s="0">
        <v>77</v>
      </c>
      <c r="C211" t="s" s="0">
        <v>328</v>
      </c>
      <c r="D211" t="s" s="0">
        <v>77</v>
      </c>
      <c r="E211" t="s" s="0">
        <v>4981</v>
      </c>
      <c r="F211" t="s" s="0">
        <v>4982</v>
      </c>
      <c r="G211" t="s" s="0">
        <v>4983</v>
      </c>
      <c r="H211" t="s" s="0">
        <v>81</v>
      </c>
      <c r="I211" t="s" s="0">
        <v>82</v>
      </c>
      <c r="J211" t="s" s="0">
        <v>4984</v>
      </c>
      <c r="K211" t="s" s="0">
        <v>4985</v>
      </c>
      <c r="L211" t="s" s="0">
        <v>4986</v>
      </c>
      <c r="M211" t="s" s="0">
        <v>4987</v>
      </c>
      <c r="N211" t="s" s="0">
        <v>4988</v>
      </c>
      <c r="O211" t="s" s="0">
        <v>4989</v>
      </c>
      <c r="P211" t="s" s="0">
        <v>4990</v>
      </c>
      <c r="Q211" t="s" s="0">
        <v>90</v>
      </c>
      <c r="R211" t="s" s="0">
        <v>81</v>
      </c>
      <c r="S211" t="s" s="0">
        <v>81</v>
      </c>
      <c r="T211" t="s" s="0">
        <v>81</v>
      </c>
      <c r="U211" t="s" s="0">
        <v>81</v>
      </c>
      <c r="V211" t="s" s="0">
        <v>4991</v>
      </c>
      <c r="W211" t="s" s="0">
        <v>92</v>
      </c>
      <c r="X211" t="s" s="0">
        <v>81</v>
      </c>
      <c r="Y211" t="s" s="0">
        <v>81</v>
      </c>
      <c r="Z211" t="s" s="0">
        <v>93</v>
      </c>
      <c r="AA211" t="s" s="0">
        <v>94</v>
      </c>
      <c r="AB211" t="s" s="0">
        <v>81</v>
      </c>
      <c r="AC211" t="s" s="0">
        <v>81</v>
      </c>
      <c r="AD211" t="s" s="0">
        <v>81</v>
      </c>
      <c r="AE211" t="s" s="0">
        <v>81</v>
      </c>
      <c r="AF211" t="s" s="0">
        <v>81</v>
      </c>
      <c r="AG211" t="s" s="0">
        <v>4992</v>
      </c>
      <c r="AH211" t="s" s="0">
        <v>81</v>
      </c>
      <c r="AI211" t="s" s="0">
        <v>4993</v>
      </c>
      <c r="AJ211" t="s" s="0">
        <v>4994</v>
      </c>
      <c r="AK211" t="s" s="0">
        <v>81</v>
      </c>
      <c r="AL211" t="s" s="0">
        <v>581</v>
      </c>
      <c r="AM211" t="s" s="0">
        <v>820</v>
      </c>
      <c r="AN211" t="s" s="0">
        <v>553</v>
      </c>
      <c r="AO211" t="s" s="0">
        <v>210</v>
      </c>
      <c r="AP211" t="s" s="0">
        <v>582</v>
      </c>
      <c r="AQ211" t="s" s="0">
        <v>103</v>
      </c>
      <c r="AR211" t="s" s="0">
        <v>104</v>
      </c>
      <c r="AS211" t="s" s="0">
        <v>105</v>
      </c>
      <c r="AT211" t="s" s="0">
        <v>1405</v>
      </c>
      <c r="AU211" t="s" s="0">
        <v>106</v>
      </c>
      <c r="AV211" t="s" s="0">
        <v>81</v>
      </c>
      <c r="AW211" t="s" s="0">
        <v>107</v>
      </c>
      <c r="AX211" t="s" s="0">
        <v>108</v>
      </c>
      <c r="AY211" t="s" s="0">
        <v>4995</v>
      </c>
      <c r="AZ211" t="s" s="0">
        <v>592</v>
      </c>
      <c r="BA211" t="s" s="0">
        <v>319</v>
      </c>
      <c r="BB211" t="s" s="0">
        <v>81</v>
      </c>
      <c r="BC211" t="s" s="0">
        <v>81</v>
      </c>
      <c r="BD211" t="s" s="0">
        <v>81</v>
      </c>
      <c r="BE211" t="s" s="0">
        <v>81</v>
      </c>
      <c r="BF211" t="s" s="0">
        <v>81</v>
      </c>
      <c r="BG211" t="s" s="0">
        <v>81</v>
      </c>
      <c r="BH211" t="s" s="0">
        <v>81</v>
      </c>
      <c r="BI211" t="s" s="0">
        <v>4996</v>
      </c>
      <c r="BJ211" t="s" s="0">
        <v>4997</v>
      </c>
      <c r="BK211" t="s" s="417">
        <f>HYPERLINK("http://dx.doi.org/10.2196/60063","http://dx.doi.org/10.2196/60063")</f>
        <v>4998</v>
      </c>
      <c r="BL211" t="s" s="0">
        <v>81</v>
      </c>
      <c r="BM211" t="s" s="0">
        <v>81</v>
      </c>
      <c r="BN211" t="s" s="0">
        <v>145</v>
      </c>
      <c r="BO211" t="s" s="0">
        <v>116</v>
      </c>
      <c r="BP211" t="s" s="0">
        <v>116</v>
      </c>
      <c r="BQ211" t="s" s="0">
        <v>4999</v>
      </c>
      <c r="BR211" t="s" s="0">
        <v>5000</v>
      </c>
      <c r="BS211" t="s" s="0">
        <v>5001</v>
      </c>
      <c r="BT211" t="s" s="418">
        <f>HYPERLINK("https://www.webofscience.com/wos/woscc/full-record/WOS:001382690300010","View Record in Web of Science")</f>
        <v>120</v>
      </c>
      <c r="BU211" t="s" s="0">
        <v>121</v>
      </c>
      <c r="BV211" t="s" s="0">
        <v>81</v>
      </c>
      <c r="BW211" t="s" s="0">
        <v>81</v>
      </c>
      <c r="BX211" t="s" s="0">
        <v>122</v>
      </c>
    </row>
    <row r="212">
      <c r="A212" t="s" s="0">
        <v>77</v>
      </c>
      <c r="B212" t="s" s="0">
        <v>77</v>
      </c>
      <c r="C212" t="s" s="0">
        <v>100</v>
      </c>
      <c r="D212" t="s" s="0">
        <v>77</v>
      </c>
      <c r="E212" t="s" s="0">
        <v>5002</v>
      </c>
      <c r="F212" t="s" s="0">
        <v>5003</v>
      </c>
      <c r="G212" t="s" s="0">
        <v>5004</v>
      </c>
      <c r="H212" t="s" s="0">
        <v>81</v>
      </c>
      <c r="I212" t="s" s="0">
        <v>82</v>
      </c>
      <c r="J212" t="s" s="0">
        <v>5005</v>
      </c>
      <c r="K212" t="s" s="0">
        <v>5006</v>
      </c>
      <c r="L212" t="s" s="0">
        <v>5007</v>
      </c>
      <c r="M212" t="s" s="0">
        <v>5007</v>
      </c>
      <c r="N212" t="s" s="0">
        <v>5008</v>
      </c>
      <c r="O212" t="s" s="0">
        <v>5009</v>
      </c>
      <c r="P212" t="s" s="0">
        <v>5010</v>
      </c>
      <c r="Q212" t="s" s="0">
        <v>90</v>
      </c>
      <c r="R212" t="s" s="0">
        <v>81</v>
      </c>
      <c r="S212" t="s" s="0">
        <v>81</v>
      </c>
      <c r="T212" t="s" s="0">
        <v>81</v>
      </c>
      <c r="U212" t="s" s="0">
        <v>81</v>
      </c>
      <c r="V212" t="s" s="0">
        <v>5011</v>
      </c>
      <c r="W212" t="s" s="0">
        <v>5012</v>
      </c>
      <c r="X212" t="s" s="0">
        <v>81</v>
      </c>
      <c r="Y212" t="s" s="0">
        <v>81</v>
      </c>
      <c r="Z212" t="s" s="0">
        <v>93</v>
      </c>
      <c r="AA212" t="s" s="0">
        <v>94</v>
      </c>
      <c r="AB212" t="s" s="0">
        <v>81</v>
      </c>
      <c r="AC212" t="s" s="0">
        <v>81</v>
      </c>
      <c r="AD212" t="s" s="0">
        <v>81</v>
      </c>
      <c r="AE212" t="s" s="0">
        <v>81</v>
      </c>
      <c r="AF212" t="s" s="0">
        <v>81</v>
      </c>
      <c r="AG212" t="s" s="0">
        <v>5013</v>
      </c>
      <c r="AH212" t="s" s="0">
        <v>5014</v>
      </c>
      <c r="AI212" t="s" s="0">
        <v>5015</v>
      </c>
      <c r="AJ212" t="s" s="0">
        <v>5016</v>
      </c>
      <c r="AK212" t="s" s="0">
        <v>81</v>
      </c>
      <c r="AL212" t="s" s="0">
        <v>5017</v>
      </c>
      <c r="AM212" t="s" s="0">
        <v>581</v>
      </c>
      <c r="AN212" t="s" s="0">
        <v>1580</v>
      </c>
      <c r="AO212" t="s" s="0">
        <v>265</v>
      </c>
      <c r="AP212" t="s" s="0">
        <v>168</v>
      </c>
      <c r="AQ212" t="s" s="0">
        <v>499</v>
      </c>
      <c r="AR212" t="s" s="0">
        <v>969</v>
      </c>
      <c r="AS212" t="s" s="0">
        <v>970</v>
      </c>
      <c r="AT212" t="s" s="0">
        <v>5018</v>
      </c>
      <c r="AU212" t="s" s="0">
        <v>5019</v>
      </c>
      <c r="AV212" t="s" s="0">
        <v>81</v>
      </c>
      <c r="AW212" t="s" s="0">
        <v>5020</v>
      </c>
      <c r="AX212" t="s" s="0">
        <v>5021</v>
      </c>
      <c r="AY212" t="s" s="0">
        <v>5022</v>
      </c>
      <c r="AZ212" t="s" s="0">
        <v>110</v>
      </c>
      <c r="BA212" t="s" s="0">
        <v>469</v>
      </c>
      <c r="BB212" t="s" s="0">
        <v>328</v>
      </c>
      <c r="BC212" t="s" s="0">
        <v>81</v>
      </c>
      <c r="BD212" t="s" s="0">
        <v>81</v>
      </c>
      <c r="BE212" t="s" s="0">
        <v>81</v>
      </c>
      <c r="BF212" t="s" s="0">
        <v>81</v>
      </c>
      <c r="BG212" t="s" s="0">
        <v>81</v>
      </c>
      <c r="BH212" t="s" s="0">
        <v>81</v>
      </c>
      <c r="BI212" t="s" s="0">
        <v>5023</v>
      </c>
      <c r="BJ212" t="s" s="0">
        <v>5024</v>
      </c>
      <c r="BK212" t="s" s="419">
        <f>HYPERLINK("http://dx.doi.org/10.1007/s10462-025-11259-x","http://dx.doi.org/10.1007/s10462-025-11259-x")</f>
        <v>5025</v>
      </c>
      <c r="BL212" t="s" s="0">
        <v>81</v>
      </c>
      <c r="BM212" t="s" s="0">
        <v>81</v>
      </c>
      <c r="BN212" t="s" s="0">
        <v>690</v>
      </c>
      <c r="BO212" t="s" s="0">
        <v>978</v>
      </c>
      <c r="BP212" t="s" s="0">
        <v>303</v>
      </c>
      <c r="BQ212" t="s" s="0">
        <v>5026</v>
      </c>
      <c r="BR212" t="s" s="0">
        <v>81</v>
      </c>
      <c r="BS212" t="s" s="0">
        <v>5027</v>
      </c>
      <c r="BT212" t="s" s="420">
        <f>HYPERLINK("https://www.webofscience.com/wos/woscc/full-record/WOS:001502355300003","View Record in Web of Science")</f>
        <v>120</v>
      </c>
      <c r="BU212" t="s" s="0">
        <v>186</v>
      </c>
      <c r="BV212" t="s" s="0">
        <v>602</v>
      </c>
      <c r="BW212" t="s" s="0">
        <v>603</v>
      </c>
      <c r="BX212" t="s" s="0">
        <v>122</v>
      </c>
    </row>
    <row r="213">
      <c r="A213" t="s" s="0">
        <v>77</v>
      </c>
      <c r="B213" t="s" s="0">
        <v>77</v>
      </c>
      <c r="C213" t="s" s="0">
        <v>554</v>
      </c>
      <c r="D213" t="s" s="0">
        <v>77</v>
      </c>
      <c r="E213" t="s" s="0">
        <v>5028</v>
      </c>
      <c r="F213" t="s" s="0">
        <v>5029</v>
      </c>
      <c r="G213" t="s" s="0">
        <v>5030</v>
      </c>
      <c r="H213" t="s" s="0">
        <v>81</v>
      </c>
      <c r="I213" t="s" s="0">
        <v>218</v>
      </c>
      <c r="J213" t="s" s="0">
        <v>5031</v>
      </c>
      <c r="K213" t="s" s="0">
        <v>5032</v>
      </c>
      <c r="L213" t="s" s="0">
        <v>5033</v>
      </c>
      <c r="M213" t="s" s="0">
        <v>5034</v>
      </c>
      <c r="N213" t="s" s="0">
        <v>5035</v>
      </c>
      <c r="O213" t="s" s="0">
        <v>5036</v>
      </c>
      <c r="P213" t="s" s="0">
        <v>5037</v>
      </c>
      <c r="Q213" t="s" s="0">
        <v>90</v>
      </c>
      <c r="R213" t="s" s="0">
        <v>81</v>
      </c>
      <c r="S213" t="s" s="0">
        <v>81</v>
      </c>
      <c r="T213" t="s" s="0">
        <v>81</v>
      </c>
      <c r="U213" t="s" s="0">
        <v>81</v>
      </c>
      <c r="V213" t="s" s="0">
        <v>5038</v>
      </c>
      <c r="W213" t="s" s="0">
        <v>2071</v>
      </c>
      <c r="X213" t="s" s="0">
        <v>81</v>
      </c>
      <c r="Y213" t="s" s="0">
        <v>81</v>
      </c>
      <c r="Z213" t="s" s="0">
        <v>93</v>
      </c>
      <c r="AA213" t="s" s="0">
        <v>94</v>
      </c>
      <c r="AB213" t="s" s="0">
        <v>81</v>
      </c>
      <c r="AC213" t="s" s="0">
        <v>81</v>
      </c>
      <c r="AD213" t="s" s="0">
        <v>81</v>
      </c>
      <c r="AE213" t="s" s="0">
        <v>81</v>
      </c>
      <c r="AF213" t="s" s="0">
        <v>81</v>
      </c>
      <c r="AG213" t="s" s="0">
        <v>5039</v>
      </c>
      <c r="AH213" t="s" s="0">
        <v>5040</v>
      </c>
      <c r="AI213" t="s" s="0">
        <v>5041</v>
      </c>
      <c r="AJ213" t="s" s="0">
        <v>5042</v>
      </c>
      <c r="AK213" t="s" s="0">
        <v>81</v>
      </c>
      <c r="AL213" t="s" s="0">
        <v>3391</v>
      </c>
      <c r="AM213" t="s" s="0">
        <v>438</v>
      </c>
      <c r="AN213" t="s" s="0">
        <v>301</v>
      </c>
      <c r="AO213" t="s" s="0">
        <v>99</v>
      </c>
      <c r="AP213" t="s" s="0">
        <v>115</v>
      </c>
      <c r="AQ213" t="s" s="0">
        <v>103</v>
      </c>
      <c r="AR213" t="s" s="0">
        <v>104</v>
      </c>
      <c r="AS213" t="s" s="0">
        <v>105</v>
      </c>
      <c r="AT213" t="s" s="0">
        <v>81</v>
      </c>
      <c r="AU213" t="s" s="0">
        <v>2075</v>
      </c>
      <c r="AV213" t="s" s="0">
        <v>81</v>
      </c>
      <c r="AW213" t="s" s="0">
        <v>2076</v>
      </c>
      <c r="AX213" t="s" s="0">
        <v>2077</v>
      </c>
      <c r="AY213" t="s" s="0">
        <v>110</v>
      </c>
      <c r="AZ213" t="s" s="0">
        <v>110</v>
      </c>
      <c r="BA213" t="s" s="0">
        <v>328</v>
      </c>
      <c r="BB213" t="s" s="0">
        <v>81</v>
      </c>
      <c r="BC213" t="s" s="0">
        <v>81</v>
      </c>
      <c r="BD213" t="s" s="0">
        <v>81</v>
      </c>
      <c r="BE213" t="s" s="0">
        <v>81</v>
      </c>
      <c r="BF213" t="s" s="0">
        <v>81</v>
      </c>
      <c r="BG213" t="s" s="0">
        <v>81</v>
      </c>
      <c r="BH213" t="s" s="0">
        <v>81</v>
      </c>
      <c r="BI213" t="s" s="0">
        <v>5043</v>
      </c>
      <c r="BJ213" t="s" s="0">
        <v>5044</v>
      </c>
      <c r="BK213" t="s" s="421">
        <f>HYPERLINK("http://dx.doi.org/10.2196/66207","http://dx.doi.org/10.2196/66207")</f>
        <v>5045</v>
      </c>
      <c r="BL213" t="s" s="0">
        <v>81</v>
      </c>
      <c r="BM213" t="s" s="0">
        <v>81</v>
      </c>
      <c r="BN213" t="s" s="0">
        <v>320</v>
      </c>
      <c r="BO213" t="s" s="0">
        <v>116</v>
      </c>
      <c r="BP213" t="s" s="0">
        <v>116</v>
      </c>
      <c r="BQ213" t="s" s="0">
        <v>5046</v>
      </c>
      <c r="BR213" t="s" s="0">
        <v>5047</v>
      </c>
      <c r="BS213" t="s" s="0">
        <v>5048</v>
      </c>
      <c r="BT213" t="s" s="422">
        <f>HYPERLINK("https://www.webofscience.com/wos/woscc/full-record/WOS:001533679600014","View Record in Web of Science")</f>
        <v>120</v>
      </c>
      <c r="BU213" t="s" s="0">
        <v>121</v>
      </c>
      <c r="BV213" t="s" s="0">
        <v>81</v>
      </c>
      <c r="BW213" t="s" s="0">
        <v>81</v>
      </c>
      <c r="BX213" t="s" s="0">
        <v>122</v>
      </c>
    </row>
    <row r="214">
      <c r="A214" t="s" s="0">
        <v>77</v>
      </c>
      <c r="B214" t="s" s="0">
        <v>77</v>
      </c>
      <c r="C214" t="s" s="0">
        <v>77</v>
      </c>
      <c r="D214" t="s" s="0">
        <v>77</v>
      </c>
      <c r="E214" t="s" s="0">
        <v>5049</v>
      </c>
      <c r="F214" t="s" s="0">
        <v>5050</v>
      </c>
      <c r="G214" t="s" s="0">
        <v>5051</v>
      </c>
      <c r="H214" t="s" s="0">
        <v>81</v>
      </c>
      <c r="I214" t="s" s="0">
        <v>82</v>
      </c>
      <c r="J214" t="s" s="0">
        <v>5052</v>
      </c>
      <c r="K214" t="s" s="0">
        <v>5053</v>
      </c>
      <c r="L214" t="s" s="0">
        <v>5054</v>
      </c>
      <c r="M214" t="s" s="0">
        <v>5055</v>
      </c>
      <c r="N214" t="s" s="0">
        <v>5056</v>
      </c>
      <c r="O214" t="s" s="0">
        <v>5057</v>
      </c>
      <c r="P214" t="s" s="0">
        <v>5058</v>
      </c>
      <c r="Q214" t="s" s="0">
        <v>90</v>
      </c>
      <c r="R214" t="s" s="0">
        <v>81</v>
      </c>
      <c r="S214" t="s" s="0">
        <v>81</v>
      </c>
      <c r="T214" t="s" s="0">
        <v>81</v>
      </c>
      <c r="U214" t="s" s="0">
        <v>81</v>
      </c>
      <c r="V214" t="s" s="0">
        <v>5059</v>
      </c>
      <c r="W214" t="s" s="0">
        <v>5060</v>
      </c>
      <c r="X214" t="s" s="0">
        <v>81</v>
      </c>
      <c r="Y214" t="s" s="0">
        <v>81</v>
      </c>
      <c r="Z214" t="s" s="0">
        <v>93</v>
      </c>
      <c r="AA214" t="s" s="0">
        <v>94</v>
      </c>
      <c r="AB214" t="s" s="0">
        <v>81</v>
      </c>
      <c r="AC214" t="s" s="0">
        <v>81</v>
      </c>
      <c r="AD214" t="s" s="0">
        <v>81</v>
      </c>
      <c r="AE214" t="s" s="0">
        <v>81</v>
      </c>
      <c r="AF214" t="s" s="0">
        <v>81</v>
      </c>
      <c r="AG214" t="s" s="0">
        <v>5061</v>
      </c>
      <c r="AH214" t="s" s="0">
        <v>81</v>
      </c>
      <c r="AI214" t="s" s="0">
        <v>5062</v>
      </c>
      <c r="AJ214" t="s" s="0">
        <v>5063</v>
      </c>
      <c r="AK214" t="s" s="0">
        <v>81</v>
      </c>
      <c r="AL214" t="s" s="0">
        <v>261</v>
      </c>
      <c r="AM214" t="s" s="0">
        <v>77</v>
      </c>
      <c r="AN214" t="s" s="0">
        <v>77</v>
      </c>
      <c r="AO214" t="s" s="0">
        <v>77</v>
      </c>
      <c r="AP214" t="s" s="0">
        <v>77</v>
      </c>
      <c r="AQ214" t="s" s="0">
        <v>439</v>
      </c>
      <c r="AR214" t="s" s="0">
        <v>201</v>
      </c>
      <c r="AS214" t="s" s="0">
        <v>440</v>
      </c>
      <c r="AT214" t="s" s="0">
        <v>5064</v>
      </c>
      <c r="AU214" t="s" s="0">
        <v>81</v>
      </c>
      <c r="AV214" t="s" s="0">
        <v>81</v>
      </c>
      <c r="AW214" t="s" s="0">
        <v>5065</v>
      </c>
      <c r="AX214" t="s" s="0">
        <v>5066</v>
      </c>
      <c r="AY214" t="s" s="0">
        <v>3998</v>
      </c>
      <c r="AZ214" t="s" s="0">
        <v>144</v>
      </c>
      <c r="BA214" t="s" s="0">
        <v>2026</v>
      </c>
      <c r="BB214" t="s" s="0">
        <v>169</v>
      </c>
      <c r="BC214" t="s" s="0">
        <v>81</v>
      </c>
      <c r="BD214" t="s" s="0">
        <v>81</v>
      </c>
      <c r="BE214" t="s" s="0">
        <v>81</v>
      </c>
      <c r="BF214" t="s" s="0">
        <v>81</v>
      </c>
      <c r="BG214" t="s" s="0">
        <v>81</v>
      </c>
      <c r="BH214" t="s" s="0">
        <v>81</v>
      </c>
      <c r="BI214" t="s" s="0">
        <v>1185</v>
      </c>
      <c r="BJ214" t="s" s="0">
        <v>5067</v>
      </c>
      <c r="BK214" t="s" s="423">
        <f>HYPERLINK("http://dx.doi.org/10.1186/s13049-026-01632-2","http://dx.doi.org/10.1186/s13049-026-01632-2")</f>
        <v>5068</v>
      </c>
      <c r="BL214" t="s" s="0">
        <v>81</v>
      </c>
      <c r="BM214" t="s" s="0">
        <v>81</v>
      </c>
      <c r="BN214" t="s" s="0">
        <v>328</v>
      </c>
      <c r="BO214" t="s" s="0">
        <v>5069</v>
      </c>
      <c r="BP214" t="s" s="0">
        <v>5069</v>
      </c>
      <c r="BQ214" t="s" s="0">
        <v>5070</v>
      </c>
      <c r="BR214" t="s" s="0">
        <v>5071</v>
      </c>
      <c r="BS214" t="s" s="0">
        <v>5072</v>
      </c>
      <c r="BT214" t="s" s="424">
        <f>HYPERLINK("https://www.webofscience.com/wos/woscc/full-record/WOS:001825117900001","View Record in Web of Science")</f>
        <v>120</v>
      </c>
      <c r="BU214" t="s" s="0">
        <v>121</v>
      </c>
      <c r="BV214" t="s" s="0">
        <v>81</v>
      </c>
      <c r="BW214" t="s" s="0">
        <v>81</v>
      </c>
      <c r="BX214" t="s" s="0">
        <v>122</v>
      </c>
    </row>
    <row r="215">
      <c r="A215" t="s" s="0">
        <v>77</v>
      </c>
      <c r="B215" t="s" s="0">
        <v>77</v>
      </c>
      <c r="C215" t="s" s="0">
        <v>77</v>
      </c>
      <c r="D215" t="s" s="0">
        <v>77</v>
      </c>
      <c r="E215" t="s" s="0">
        <v>5073</v>
      </c>
      <c r="F215" t="s" s="0">
        <v>5074</v>
      </c>
      <c r="G215" t="s" s="0">
        <v>5075</v>
      </c>
      <c r="H215" t="s" s="0">
        <v>81</v>
      </c>
      <c r="I215" t="s" s="0">
        <v>82</v>
      </c>
      <c r="J215" t="s" s="0">
        <v>5076</v>
      </c>
      <c r="K215" t="s" s="0">
        <v>5077</v>
      </c>
      <c r="L215" t="s" s="0">
        <v>81</v>
      </c>
      <c r="M215" t="s" s="0">
        <v>81</v>
      </c>
      <c r="N215" t="s" s="0">
        <v>81</v>
      </c>
      <c r="O215" t="s" s="0">
        <v>5078</v>
      </c>
      <c r="P215" t="s" s="0">
        <v>5079</v>
      </c>
      <c r="Q215" t="s" s="0">
        <v>90</v>
      </c>
      <c r="R215" t="s" s="0">
        <v>81</v>
      </c>
      <c r="S215" t="s" s="0">
        <v>81</v>
      </c>
      <c r="T215" t="s" s="0">
        <v>81</v>
      </c>
      <c r="U215" t="s" s="0">
        <v>81</v>
      </c>
      <c r="V215" t="s" s="0">
        <v>5080</v>
      </c>
      <c r="W215" t="s" s="0">
        <v>4874</v>
      </c>
      <c r="X215" t="s" s="0">
        <v>81</v>
      </c>
      <c r="Y215" t="s" s="0">
        <v>81</v>
      </c>
      <c r="Z215" t="s" s="0">
        <v>93</v>
      </c>
      <c r="AA215" t="s" s="0">
        <v>196</v>
      </c>
      <c r="AB215" t="s" s="0">
        <v>81</v>
      </c>
      <c r="AC215" t="s" s="0">
        <v>81</v>
      </c>
      <c r="AD215" t="s" s="0">
        <v>81</v>
      </c>
      <c r="AE215" t="s" s="0">
        <v>81</v>
      </c>
      <c r="AF215" t="s" s="0">
        <v>81</v>
      </c>
      <c r="AG215" t="s" s="0">
        <v>5081</v>
      </c>
      <c r="AH215" t="s" s="0">
        <v>81</v>
      </c>
      <c r="AI215" t="s" s="0">
        <v>5082</v>
      </c>
      <c r="AJ215" t="s" s="0">
        <v>81</v>
      </c>
      <c r="AK215" t="s" s="0">
        <v>81</v>
      </c>
      <c r="AL215" t="s" s="0">
        <v>301</v>
      </c>
      <c r="AM215" t="s" s="0">
        <v>77</v>
      </c>
      <c r="AN215" t="s" s="0">
        <v>77</v>
      </c>
      <c r="AO215" t="s" s="0">
        <v>169</v>
      </c>
      <c r="AP215" t="s" s="0">
        <v>169</v>
      </c>
      <c r="AQ215" t="s" s="0">
        <v>499</v>
      </c>
      <c r="AR215" t="s" s="0">
        <v>500</v>
      </c>
      <c r="AS215" t="s" s="0">
        <v>501</v>
      </c>
      <c r="AT215" t="s" s="0">
        <v>4878</v>
      </c>
      <c r="AU215" t="s" s="0">
        <v>4879</v>
      </c>
      <c r="AV215" t="s" s="0">
        <v>81</v>
      </c>
      <c r="AW215" t="s" s="0">
        <v>4880</v>
      </c>
      <c r="AX215" t="s" s="0">
        <v>4881</v>
      </c>
      <c r="AY215" t="s" s="0">
        <v>81</v>
      </c>
      <c r="AZ215" t="s" s="0">
        <v>144</v>
      </c>
      <c r="BA215" t="s" s="0">
        <v>81</v>
      </c>
      <c r="BB215" t="s" s="0">
        <v>81</v>
      </c>
      <c r="BC215" t="s" s="0">
        <v>81</v>
      </c>
      <c r="BD215" t="s" s="0">
        <v>81</v>
      </c>
      <c r="BE215" t="s" s="0">
        <v>81</v>
      </c>
      <c r="BF215" t="s" s="0">
        <v>81</v>
      </c>
      <c r="BG215" t="s" s="0">
        <v>81</v>
      </c>
      <c r="BH215" t="s" s="0">
        <v>81</v>
      </c>
      <c r="BI215" t="s" s="0">
        <v>81</v>
      </c>
      <c r="BJ215" t="s" s="0">
        <v>5083</v>
      </c>
      <c r="BK215" t="s" s="425">
        <f>HYPERLINK("http://dx.doi.org/10.1007/s00586-026-10069-1","http://dx.doi.org/10.1007/s00586-026-10069-1")</f>
        <v>5084</v>
      </c>
      <c r="BL215" t="s" s="0">
        <v>81</v>
      </c>
      <c r="BM215" t="s" s="0">
        <v>532</v>
      </c>
      <c r="BN215" t="s" s="0">
        <v>328</v>
      </c>
      <c r="BO215" t="s" s="0">
        <v>4884</v>
      </c>
      <c r="BP215" t="s" s="0">
        <v>4885</v>
      </c>
      <c r="BQ215" t="s" s="0">
        <v>5085</v>
      </c>
      <c r="BR215" t="s" s="0">
        <v>5086</v>
      </c>
      <c r="BS215" t="s" s="0">
        <v>5087</v>
      </c>
      <c r="BT215" t="s" s="426">
        <f>HYPERLINK("https://www.webofscience.com/wos/woscc/full-record/WOS:001792474400001","View Record in Web of Science")</f>
        <v>120</v>
      </c>
      <c r="BU215" t="s" s="0">
        <v>81</v>
      </c>
      <c r="BV215" t="s" s="0">
        <v>81</v>
      </c>
      <c r="BW215" t="s" s="0">
        <v>81</v>
      </c>
      <c r="BX215" t="s" s="0">
        <v>122</v>
      </c>
    </row>
    <row r="216">
      <c r="A216" t="s" s="0">
        <v>77</v>
      </c>
      <c r="B216" t="s" s="0">
        <v>77</v>
      </c>
      <c r="C216" t="s" s="0">
        <v>77</v>
      </c>
      <c r="D216" t="s" s="0">
        <v>77</v>
      </c>
      <c r="E216" t="s" s="0">
        <v>5088</v>
      </c>
      <c r="F216" t="s" s="0">
        <v>5089</v>
      </c>
      <c r="G216" t="s" s="0">
        <v>5090</v>
      </c>
      <c r="H216" t="s" s="0">
        <v>81</v>
      </c>
      <c r="I216" t="s" s="0">
        <v>82</v>
      </c>
      <c r="J216" t="s" s="0">
        <v>5091</v>
      </c>
      <c r="K216" t="s" s="0">
        <v>5092</v>
      </c>
      <c r="L216" t="s" s="0">
        <v>5093</v>
      </c>
      <c r="M216" t="s" s="0">
        <v>5094</v>
      </c>
      <c r="N216" t="s" s="0">
        <v>5095</v>
      </c>
      <c r="O216" t="s" s="0">
        <v>5096</v>
      </c>
      <c r="P216" t="s" s="0">
        <v>5097</v>
      </c>
      <c r="Q216" t="s" s="0">
        <v>90</v>
      </c>
      <c r="R216" t="s" s="0">
        <v>81</v>
      </c>
      <c r="S216" t="s" s="0">
        <v>81</v>
      </c>
      <c r="T216" t="s" s="0">
        <v>81</v>
      </c>
      <c r="U216" t="s" s="0">
        <v>81</v>
      </c>
      <c r="V216" t="s" s="0">
        <v>5098</v>
      </c>
      <c r="W216" t="s" s="0">
        <v>5099</v>
      </c>
      <c r="X216" t="s" s="0">
        <v>81</v>
      </c>
      <c r="Y216" t="s" s="0">
        <v>81</v>
      </c>
      <c r="Z216" t="s" s="0">
        <v>93</v>
      </c>
      <c r="AA216" t="s" s="0">
        <v>94</v>
      </c>
      <c r="AB216" t="s" s="0">
        <v>81</v>
      </c>
      <c r="AC216" t="s" s="0">
        <v>81</v>
      </c>
      <c r="AD216" t="s" s="0">
        <v>81</v>
      </c>
      <c r="AE216" t="s" s="0">
        <v>81</v>
      </c>
      <c r="AF216" t="s" s="0">
        <v>81</v>
      </c>
      <c r="AG216" t="s" s="0">
        <v>5100</v>
      </c>
      <c r="AH216" t="s" s="0">
        <v>81</v>
      </c>
      <c r="AI216" t="s" s="0">
        <v>5101</v>
      </c>
      <c r="AJ216" t="s" s="0">
        <v>5102</v>
      </c>
      <c r="AK216" t="s" s="0">
        <v>81</v>
      </c>
      <c r="AL216" t="s" s="0">
        <v>944</v>
      </c>
      <c r="AM216" t="s" s="0">
        <v>99</v>
      </c>
      <c r="AN216" t="s" s="0">
        <v>99</v>
      </c>
      <c r="AO216" t="s" s="0">
        <v>554</v>
      </c>
      <c r="AP216" t="s" s="0">
        <v>99</v>
      </c>
      <c r="AQ216" t="s" s="0">
        <v>137</v>
      </c>
      <c r="AR216" t="s" s="0">
        <v>138</v>
      </c>
      <c r="AS216" t="s" s="0">
        <v>139</v>
      </c>
      <c r="AT216" t="s" s="0">
        <v>81</v>
      </c>
      <c r="AU216" t="s" s="0">
        <v>5103</v>
      </c>
      <c r="AV216" t="s" s="0">
        <v>81</v>
      </c>
      <c r="AW216" t="s" s="0">
        <v>5104</v>
      </c>
      <c r="AX216" t="s" s="0">
        <v>5105</v>
      </c>
      <c r="AY216" t="s" s="0">
        <v>5106</v>
      </c>
      <c r="AZ216" t="s" s="0">
        <v>110</v>
      </c>
      <c r="BA216" t="s" s="0">
        <v>145</v>
      </c>
      <c r="BB216" t="s" s="0">
        <v>452</v>
      </c>
      <c r="BC216" t="s" s="0">
        <v>81</v>
      </c>
      <c r="BD216" t="s" s="0">
        <v>81</v>
      </c>
      <c r="BE216" t="s" s="0">
        <v>81</v>
      </c>
      <c r="BF216" t="s" s="0">
        <v>81</v>
      </c>
      <c r="BG216" t="s" s="0">
        <v>81</v>
      </c>
      <c r="BH216" t="s" s="0">
        <v>81</v>
      </c>
      <c r="BI216" t="s" s="0">
        <v>5107</v>
      </c>
      <c r="BJ216" t="s" s="0">
        <v>5108</v>
      </c>
      <c r="BK216" t="s" s="427">
        <f>HYPERLINK("http://dx.doi.org/10.3390/app15063379","http://dx.doi.org/10.3390/app15063379")</f>
        <v>5109</v>
      </c>
      <c r="BL216" t="s" s="0">
        <v>81</v>
      </c>
      <c r="BM216" t="s" s="0">
        <v>81</v>
      </c>
      <c r="BN216" t="s" s="0">
        <v>637</v>
      </c>
      <c r="BO216" t="s" s="0">
        <v>5110</v>
      </c>
      <c r="BP216" t="s" s="0">
        <v>5111</v>
      </c>
      <c r="BQ216" t="s" s="0">
        <v>5112</v>
      </c>
      <c r="BR216" t="s" s="0">
        <v>81</v>
      </c>
      <c r="BS216" t="s" s="0">
        <v>5113</v>
      </c>
      <c r="BT216" t="s" s="428">
        <f>HYPERLINK("https://www.webofscience.com/wos/woscc/full-record/WOS:001453382000001","View Record in Web of Science")</f>
        <v>120</v>
      </c>
      <c r="BU216" t="s" s="0">
        <v>4094</v>
      </c>
      <c r="BV216" t="s" s="0">
        <v>81</v>
      </c>
      <c r="BW216" t="s" s="0">
        <v>81</v>
      </c>
      <c r="BX216" t="s" s="0">
        <v>122</v>
      </c>
    </row>
    <row r="217">
      <c r="A217" t="s" s="0">
        <v>77</v>
      </c>
      <c r="B217" t="s" s="0">
        <v>77</v>
      </c>
      <c r="C217" t="s" s="0">
        <v>77</v>
      </c>
      <c r="D217" t="s" s="0">
        <v>77</v>
      </c>
      <c r="E217" t="s" s="0">
        <v>5114</v>
      </c>
      <c r="F217" t="s" s="0">
        <v>5115</v>
      </c>
      <c r="G217" t="s" s="0">
        <v>5116</v>
      </c>
      <c r="H217" t="s" s="0">
        <v>81</v>
      </c>
      <c r="I217" t="s" s="0">
        <v>82</v>
      </c>
      <c r="J217" t="s" s="0">
        <v>5117</v>
      </c>
      <c r="K217" t="s" s="0">
        <v>3865</v>
      </c>
      <c r="L217" t="s" s="0">
        <v>5118</v>
      </c>
      <c r="M217" t="s" s="0">
        <v>5119</v>
      </c>
      <c r="N217" t="s" s="0">
        <v>5120</v>
      </c>
      <c r="O217" t="s" s="0">
        <v>5121</v>
      </c>
      <c r="P217" t="s" s="0">
        <v>5122</v>
      </c>
      <c r="Q217" t="s" s="0">
        <v>90</v>
      </c>
      <c r="R217" t="s" s="0">
        <v>81</v>
      </c>
      <c r="S217" t="s" s="0">
        <v>81</v>
      </c>
      <c r="T217" t="s" s="0">
        <v>81</v>
      </c>
      <c r="U217" t="s" s="0">
        <v>81</v>
      </c>
      <c r="V217" t="s" s="0">
        <v>5123</v>
      </c>
      <c r="W217" t="s" s="0">
        <v>92</v>
      </c>
      <c r="X217" t="s" s="0">
        <v>81</v>
      </c>
      <c r="Y217" t="s" s="0">
        <v>81</v>
      </c>
      <c r="Z217" t="s" s="0">
        <v>93</v>
      </c>
      <c r="AA217" t="s" s="0">
        <v>94</v>
      </c>
      <c r="AB217" t="s" s="0">
        <v>81</v>
      </c>
      <c r="AC217" t="s" s="0">
        <v>81</v>
      </c>
      <c r="AD217" t="s" s="0">
        <v>81</v>
      </c>
      <c r="AE217" t="s" s="0">
        <v>81</v>
      </c>
      <c r="AF217" t="s" s="0">
        <v>81</v>
      </c>
      <c r="AG217" t="s" s="0">
        <v>5124</v>
      </c>
      <c r="AH217" t="s" s="0">
        <v>5125</v>
      </c>
      <c r="AI217" t="s" s="0">
        <v>5126</v>
      </c>
      <c r="AJ217" t="s" s="0">
        <v>81</v>
      </c>
      <c r="AK217" t="s" s="0">
        <v>81</v>
      </c>
      <c r="AL217" t="s" s="0">
        <v>924</v>
      </c>
      <c r="AM217" t="s" s="0">
        <v>77</v>
      </c>
      <c r="AN217" t="s" s="0">
        <v>77</v>
      </c>
      <c r="AO217" t="s" s="0">
        <v>77</v>
      </c>
      <c r="AP217" t="s" s="0">
        <v>77</v>
      </c>
      <c r="AQ217" t="s" s="0">
        <v>103</v>
      </c>
      <c r="AR217" t="s" s="0">
        <v>104</v>
      </c>
      <c r="AS217" t="s" s="0">
        <v>105</v>
      </c>
      <c r="AT217" t="s" s="0">
        <v>1405</v>
      </c>
      <c r="AU217" t="s" s="0">
        <v>106</v>
      </c>
      <c r="AV217" t="s" s="0">
        <v>81</v>
      </c>
      <c r="AW217" t="s" s="0">
        <v>107</v>
      </c>
      <c r="AX217" t="s" s="0">
        <v>108</v>
      </c>
      <c r="AY217" t="s" s="0">
        <v>5127</v>
      </c>
      <c r="AZ217" t="s" s="0">
        <v>144</v>
      </c>
      <c r="BA217" t="s" s="0">
        <v>637</v>
      </c>
      <c r="BB217" t="s" s="0">
        <v>81</v>
      </c>
      <c r="BC217" t="s" s="0">
        <v>81</v>
      </c>
      <c r="BD217" t="s" s="0">
        <v>81</v>
      </c>
      <c r="BE217" t="s" s="0">
        <v>81</v>
      </c>
      <c r="BF217" t="s" s="0">
        <v>81</v>
      </c>
      <c r="BG217" t="s" s="0">
        <v>81</v>
      </c>
      <c r="BH217" t="s" s="0">
        <v>81</v>
      </c>
      <c r="BI217" t="s" s="0">
        <v>5128</v>
      </c>
      <c r="BJ217" t="s" s="0">
        <v>5129</v>
      </c>
      <c r="BK217" t="s" s="429">
        <f>HYPERLINK("http://dx.doi.org/10.2196/90692","http://dx.doi.org/10.2196/90692")</f>
        <v>5130</v>
      </c>
      <c r="BL217" t="s" s="0">
        <v>81</v>
      </c>
      <c r="BM217" t="s" s="0">
        <v>81</v>
      </c>
      <c r="BN217" t="s" s="0">
        <v>319</v>
      </c>
      <c r="BO217" t="s" s="0">
        <v>116</v>
      </c>
      <c r="BP217" t="s" s="0">
        <v>116</v>
      </c>
      <c r="BQ217" t="s" s="0">
        <v>5131</v>
      </c>
      <c r="BR217" t="s" s="0">
        <v>5132</v>
      </c>
      <c r="BS217" t="s" s="0">
        <v>5133</v>
      </c>
      <c r="BT217" t="s" s="430">
        <f>HYPERLINK("https://www.webofscience.com/wos/woscc/full-record/WOS:001828668800004","View Record in Web of Science")</f>
        <v>120</v>
      </c>
      <c r="BU217" t="s" s="0">
        <v>121</v>
      </c>
      <c r="BV217" t="s" s="0">
        <v>81</v>
      </c>
      <c r="BW217" t="s" s="0">
        <v>81</v>
      </c>
      <c r="BX217" t="s" s="0">
        <v>122</v>
      </c>
    </row>
    <row r="218">
      <c r="A218" t="s" s="0">
        <v>77</v>
      </c>
      <c r="B218" t="s" s="0">
        <v>77</v>
      </c>
      <c r="C218" t="s" s="0">
        <v>77</v>
      </c>
      <c r="D218" t="s" s="0">
        <v>77</v>
      </c>
      <c r="E218" t="s" s="0">
        <v>5134</v>
      </c>
      <c r="F218" t="s" s="0">
        <v>5135</v>
      </c>
      <c r="G218" t="s" s="0">
        <v>5136</v>
      </c>
      <c r="H218" t="s" s="0">
        <v>81</v>
      </c>
      <c r="I218" t="s" s="0">
        <v>82</v>
      </c>
      <c r="J218" t="s" s="0">
        <v>5137</v>
      </c>
      <c r="K218" t="s" s="0">
        <v>5138</v>
      </c>
      <c r="L218" t="s" s="0">
        <v>5139</v>
      </c>
      <c r="M218" t="s" s="0">
        <v>5140</v>
      </c>
      <c r="N218" t="s" s="0">
        <v>5141</v>
      </c>
      <c r="O218" t="s" s="0">
        <v>5142</v>
      </c>
      <c r="P218" t="s" s="0">
        <v>5143</v>
      </c>
      <c r="Q218" t="s" s="0">
        <v>90</v>
      </c>
      <c r="R218" t="s" s="0">
        <v>81</v>
      </c>
      <c r="S218" t="s" s="0">
        <v>81</v>
      </c>
      <c r="T218" t="s" s="0">
        <v>81</v>
      </c>
      <c r="U218" t="s" s="0">
        <v>81</v>
      </c>
      <c r="V218" t="s" s="0">
        <v>5144</v>
      </c>
      <c r="W218" t="s" s="0">
        <v>5099</v>
      </c>
      <c r="X218" t="s" s="0">
        <v>81</v>
      </c>
      <c r="Y218" t="s" s="0">
        <v>81</v>
      </c>
      <c r="Z218" t="s" s="0">
        <v>93</v>
      </c>
      <c r="AA218" t="s" s="0">
        <v>94</v>
      </c>
      <c r="AB218" t="s" s="0">
        <v>81</v>
      </c>
      <c r="AC218" t="s" s="0">
        <v>81</v>
      </c>
      <c r="AD218" t="s" s="0">
        <v>81</v>
      </c>
      <c r="AE218" t="s" s="0">
        <v>81</v>
      </c>
      <c r="AF218" t="s" s="0">
        <v>81</v>
      </c>
      <c r="AG218" t="s" s="0">
        <v>5145</v>
      </c>
      <c r="AH218" t="s" s="0">
        <v>81</v>
      </c>
      <c r="AI218" t="s" s="0">
        <v>5146</v>
      </c>
      <c r="AJ218" t="s" s="0">
        <v>5147</v>
      </c>
      <c r="AK218" t="s" s="0">
        <v>81</v>
      </c>
      <c r="AL218" t="s" s="0">
        <v>1989</v>
      </c>
      <c r="AM218" t="s" s="0">
        <v>554</v>
      </c>
      <c r="AN218" t="s" s="0">
        <v>554</v>
      </c>
      <c r="AO218" t="s" s="0">
        <v>554</v>
      </c>
      <c r="AP218" t="s" s="0">
        <v>509</v>
      </c>
      <c r="AQ218" t="s" s="0">
        <v>137</v>
      </c>
      <c r="AR218" t="s" s="0">
        <v>138</v>
      </c>
      <c r="AS218" t="s" s="0">
        <v>139</v>
      </c>
      <c r="AT218" t="s" s="0">
        <v>81</v>
      </c>
      <c r="AU218" t="s" s="0">
        <v>5103</v>
      </c>
      <c r="AV218" t="s" s="0">
        <v>81</v>
      </c>
      <c r="AW218" t="s" s="0">
        <v>5104</v>
      </c>
      <c r="AX218" t="s" s="0">
        <v>5105</v>
      </c>
      <c r="AY218" t="s" s="0">
        <v>5148</v>
      </c>
      <c r="AZ218" t="s" s="0">
        <v>110</v>
      </c>
      <c r="BA218" t="s" s="0">
        <v>145</v>
      </c>
      <c r="BB218" t="s" s="0">
        <v>115</v>
      </c>
      <c r="BC218" t="s" s="0">
        <v>81</v>
      </c>
      <c r="BD218" t="s" s="0">
        <v>81</v>
      </c>
      <c r="BE218" t="s" s="0">
        <v>81</v>
      </c>
      <c r="BF218" t="s" s="0">
        <v>81</v>
      </c>
      <c r="BG218" t="s" s="0">
        <v>81</v>
      </c>
      <c r="BH218" t="s" s="0">
        <v>81</v>
      </c>
      <c r="BI218" t="s" s="0">
        <v>5149</v>
      </c>
      <c r="BJ218" t="s" s="0">
        <v>5150</v>
      </c>
      <c r="BK218" t="s" s="431">
        <f>HYPERLINK("http://dx.doi.org/10.3390/app15137134","http://dx.doi.org/10.3390/app15137134")</f>
        <v>5151</v>
      </c>
      <c r="BL218" t="s" s="0">
        <v>81</v>
      </c>
      <c r="BM218" t="s" s="0">
        <v>81</v>
      </c>
      <c r="BN218" t="s" s="0">
        <v>352</v>
      </c>
      <c r="BO218" t="s" s="0">
        <v>5110</v>
      </c>
      <c r="BP218" t="s" s="0">
        <v>5111</v>
      </c>
      <c r="BQ218" t="s" s="0">
        <v>5152</v>
      </c>
      <c r="BR218" t="s" s="0">
        <v>81</v>
      </c>
      <c r="BS218" t="s" s="0">
        <v>5153</v>
      </c>
      <c r="BT218" t="s" s="432">
        <f>HYPERLINK("https://www.webofscience.com/wos/woscc/full-record/WOS:001526204800001","View Record in Web of Science")</f>
        <v>120</v>
      </c>
      <c r="BU218" t="s" s="0">
        <v>121</v>
      </c>
      <c r="BV218" t="s" s="0">
        <v>81</v>
      </c>
      <c r="BW218" t="s" s="0">
        <v>81</v>
      </c>
      <c r="BX218" t="s" s="0">
        <v>122</v>
      </c>
    </row>
    <row r="219">
      <c r="A219" t="s" s="0">
        <v>169</v>
      </c>
      <c r="B219" t="s" s="0">
        <v>77</v>
      </c>
      <c r="C219" t="s" s="0">
        <v>554</v>
      </c>
      <c r="D219" t="s" s="0">
        <v>77</v>
      </c>
      <c r="E219" t="s" s="0">
        <v>5154</v>
      </c>
      <c r="F219" t="s" s="0">
        <v>5155</v>
      </c>
      <c r="G219" t="s" s="0">
        <v>5156</v>
      </c>
      <c r="H219" t="s" s="0">
        <v>81</v>
      </c>
      <c r="I219" t="s" s="0">
        <v>82</v>
      </c>
      <c r="J219" t="s" s="0">
        <v>5157</v>
      </c>
      <c r="K219" t="s" s="0">
        <v>5158</v>
      </c>
      <c r="L219" t="s" s="0">
        <v>81</v>
      </c>
      <c r="M219" t="s" s="0">
        <v>81</v>
      </c>
      <c r="N219" t="s" s="0">
        <v>81</v>
      </c>
      <c r="O219" t="s" s="0">
        <v>5159</v>
      </c>
      <c r="P219" t="s" s="0">
        <v>5160</v>
      </c>
      <c r="Q219" t="s" s="0">
        <v>90</v>
      </c>
      <c r="R219" t="s" s="0">
        <v>81</v>
      </c>
      <c r="S219" t="s" s="0">
        <v>81</v>
      </c>
      <c r="T219" t="s" s="0">
        <v>81</v>
      </c>
      <c r="U219" t="s" s="0">
        <v>81</v>
      </c>
      <c r="V219" t="s" s="0">
        <v>5161</v>
      </c>
      <c r="W219" t="s" s="0">
        <v>3718</v>
      </c>
      <c r="X219" t="s" s="0">
        <v>81</v>
      </c>
      <c r="Y219" t="s" s="0">
        <v>81</v>
      </c>
      <c r="Z219" t="s" s="0">
        <v>93</v>
      </c>
      <c r="AA219" t="s" s="0">
        <v>94</v>
      </c>
      <c r="AB219" t="s" s="0">
        <v>81</v>
      </c>
      <c r="AC219" t="s" s="0">
        <v>81</v>
      </c>
      <c r="AD219" t="s" s="0">
        <v>81</v>
      </c>
      <c r="AE219" t="s" s="0">
        <v>81</v>
      </c>
      <c r="AF219" t="s" s="0">
        <v>81</v>
      </c>
      <c r="AG219" t="s" s="0">
        <v>5162</v>
      </c>
      <c r="AH219" t="s" s="0">
        <v>3761</v>
      </c>
      <c r="AI219" t="s" s="0">
        <v>5163</v>
      </c>
      <c r="AJ219" t="s" s="0">
        <v>5164</v>
      </c>
      <c r="AK219" t="s" s="0">
        <v>81</v>
      </c>
      <c r="AL219" t="s" s="0">
        <v>168</v>
      </c>
      <c r="AM219" t="s" s="0">
        <v>438</v>
      </c>
      <c r="AN219" t="s" s="0">
        <v>319</v>
      </c>
      <c r="AO219" t="s" s="0">
        <v>554</v>
      </c>
      <c r="AP219" t="s" s="0">
        <v>136</v>
      </c>
      <c r="AQ219" t="s" s="0">
        <v>1544</v>
      </c>
      <c r="AR219" t="s" s="0">
        <v>1545</v>
      </c>
      <c r="AS219" t="s" s="0">
        <v>1546</v>
      </c>
      <c r="AT219" t="s" s="0">
        <v>3720</v>
      </c>
      <c r="AU219" t="s" s="0">
        <v>3721</v>
      </c>
      <c r="AV219" t="s" s="0">
        <v>81</v>
      </c>
      <c r="AW219" t="s" s="0">
        <v>3722</v>
      </c>
      <c r="AX219" t="s" s="0">
        <v>3723</v>
      </c>
      <c r="AY219" t="s" s="0">
        <v>2953</v>
      </c>
      <c r="AZ219" t="s" s="0">
        <v>592</v>
      </c>
      <c r="BA219" t="s" s="0">
        <v>5165</v>
      </c>
      <c r="BB219" t="s" s="0">
        <v>99</v>
      </c>
      <c r="BC219" t="s" s="0">
        <v>81</v>
      </c>
      <c r="BD219" t="s" s="0">
        <v>81</v>
      </c>
      <c r="BE219" t="s" s="0">
        <v>81</v>
      </c>
      <c r="BF219" t="s" s="0">
        <v>81</v>
      </c>
      <c r="BG219" t="s" s="0">
        <v>5166</v>
      </c>
      <c r="BH219" t="s" s="0">
        <v>5167</v>
      </c>
      <c r="BI219" t="s" s="0">
        <v>81</v>
      </c>
      <c r="BJ219" t="s" s="0">
        <v>5168</v>
      </c>
      <c r="BK219" t="s" s="433">
        <f>HYPERLINK("http://dx.doi.org/10.1002/ohn.864","http://dx.doi.org/10.1002/ohn.864")</f>
        <v>5169</v>
      </c>
      <c r="BL219" t="s" s="0">
        <v>81</v>
      </c>
      <c r="BM219" t="s" s="0">
        <v>597</v>
      </c>
      <c r="BN219" t="s" s="0">
        <v>102</v>
      </c>
      <c r="BO219" t="s" s="0">
        <v>3726</v>
      </c>
      <c r="BP219" t="s" s="0">
        <v>3726</v>
      </c>
      <c r="BQ219" t="s" s="0">
        <v>5170</v>
      </c>
      <c r="BR219" t="s" s="0">
        <v>5171</v>
      </c>
      <c r="BS219" t="s" s="0">
        <v>5172</v>
      </c>
      <c r="BT219" t="s" s="434">
        <f>HYPERLINK("https://www.webofscience.com/wos/woscc/full-record/WOS:001249520500001","View Record in Web of Science")</f>
        <v>120</v>
      </c>
      <c r="BU219" t="s" s="0">
        <v>306</v>
      </c>
      <c r="BV219" t="s" s="0">
        <v>81</v>
      </c>
      <c r="BW219" t="s" s="0">
        <v>81</v>
      </c>
      <c r="BX219" t="s" s="0">
        <v>122</v>
      </c>
    </row>
    <row r="220">
      <c r="A220" t="s" s="0">
        <v>77</v>
      </c>
      <c r="B220" t="s" s="0">
        <v>77</v>
      </c>
      <c r="C220" t="s" s="0">
        <v>77</v>
      </c>
      <c r="D220" t="s" s="0">
        <v>77</v>
      </c>
      <c r="E220" t="s" s="0">
        <v>5173</v>
      </c>
      <c r="F220" t="s" s="0">
        <v>5174</v>
      </c>
      <c r="G220" t="s" s="0">
        <v>5175</v>
      </c>
      <c r="H220" t="s" s="0">
        <v>81</v>
      </c>
      <c r="I220" t="s" s="0">
        <v>82</v>
      </c>
      <c r="J220" t="s" s="0">
        <v>5176</v>
      </c>
      <c r="K220" t="s" s="0">
        <v>5177</v>
      </c>
      <c r="L220" t="s" s="0">
        <v>81</v>
      </c>
      <c r="M220" t="s" s="0">
        <v>81</v>
      </c>
      <c r="N220" t="s" s="0">
        <v>128</v>
      </c>
      <c r="O220" t="s" s="0">
        <v>5178</v>
      </c>
      <c r="P220" t="s" s="0">
        <v>5179</v>
      </c>
      <c r="Q220" t="s" s="0">
        <v>90</v>
      </c>
      <c r="R220" t="s" s="0">
        <v>81</v>
      </c>
      <c r="S220" t="s" s="0">
        <v>81</v>
      </c>
      <c r="T220" t="s" s="0">
        <v>81</v>
      </c>
      <c r="U220" t="s" s="0">
        <v>81</v>
      </c>
      <c r="V220" t="s" s="0">
        <v>5180</v>
      </c>
      <c r="W220" t="s" s="0">
        <v>256</v>
      </c>
      <c r="X220" t="s" s="0">
        <v>81</v>
      </c>
      <c r="Y220" t="s" s="0">
        <v>81</v>
      </c>
      <c r="Z220" t="s" s="0">
        <v>93</v>
      </c>
      <c r="AA220" t="s" s="0">
        <v>94</v>
      </c>
      <c r="AB220" t="s" s="0">
        <v>81</v>
      </c>
      <c r="AC220" t="s" s="0">
        <v>81</v>
      </c>
      <c r="AD220" t="s" s="0">
        <v>81</v>
      </c>
      <c r="AE220" t="s" s="0">
        <v>81</v>
      </c>
      <c r="AF220" t="s" s="0">
        <v>81</v>
      </c>
      <c r="AG220" t="s" s="0">
        <v>5181</v>
      </c>
      <c r="AH220" t="s" s="0">
        <v>5182</v>
      </c>
      <c r="AI220" t="s" s="0">
        <v>5183</v>
      </c>
      <c r="AJ220" t="s" s="0">
        <v>81</v>
      </c>
      <c r="AK220" t="s" s="0">
        <v>81</v>
      </c>
      <c r="AL220" t="s" s="0">
        <v>111</v>
      </c>
      <c r="AM220" t="s" s="0">
        <v>77</v>
      </c>
      <c r="AN220" t="s" s="0">
        <v>77</v>
      </c>
      <c r="AO220" t="s" s="0">
        <v>77</v>
      </c>
      <c r="AP220" t="s" s="0">
        <v>77</v>
      </c>
      <c r="AQ220" t="s" s="0">
        <v>137</v>
      </c>
      <c r="AR220" t="s" s="0">
        <v>138</v>
      </c>
      <c r="AS220" t="s" s="0">
        <v>139</v>
      </c>
      <c r="AT220" t="s" s="0">
        <v>81</v>
      </c>
      <c r="AU220" t="s" s="0">
        <v>262</v>
      </c>
      <c r="AV220" t="s" s="0">
        <v>81</v>
      </c>
      <c r="AW220" t="s" s="0">
        <v>256</v>
      </c>
      <c r="AX220" t="s" s="0">
        <v>263</v>
      </c>
      <c r="AY220" t="s" s="0">
        <v>5184</v>
      </c>
      <c r="AZ220" t="s" s="0">
        <v>144</v>
      </c>
      <c r="BA220" t="s" s="0">
        <v>265</v>
      </c>
      <c r="BB220" t="s" s="0">
        <v>509</v>
      </c>
      <c r="BC220" t="s" s="0">
        <v>81</v>
      </c>
      <c r="BD220" t="s" s="0">
        <v>81</v>
      </c>
      <c r="BE220" t="s" s="0">
        <v>81</v>
      </c>
      <c r="BF220" t="s" s="0">
        <v>81</v>
      </c>
      <c r="BG220" t="s" s="0">
        <v>81</v>
      </c>
      <c r="BH220" t="s" s="0">
        <v>81</v>
      </c>
      <c r="BI220" t="s" s="0">
        <v>5185</v>
      </c>
      <c r="BJ220" t="s" s="0">
        <v>5186</v>
      </c>
      <c r="BK220" t="s" s="435">
        <f>HYPERLINK("http://dx.doi.org/10.3390/diagnostics16142165","http://dx.doi.org/10.3390/diagnostics16142165")</f>
        <v>5187</v>
      </c>
      <c r="BL220" t="s" s="0">
        <v>81</v>
      </c>
      <c r="BM220" t="s" s="0">
        <v>81</v>
      </c>
      <c r="BN220" t="s" s="0">
        <v>445</v>
      </c>
      <c r="BO220" t="s" s="0">
        <v>149</v>
      </c>
      <c r="BP220" t="s" s="0">
        <v>150</v>
      </c>
      <c r="BQ220" t="s" s="0">
        <v>5188</v>
      </c>
      <c r="BR220" t="s" s="0">
        <v>5189</v>
      </c>
      <c r="BS220" t="s" s="0">
        <v>5190</v>
      </c>
      <c r="BT220" t="s" s="436">
        <f>HYPERLINK("https://www.webofscience.com/wos/woscc/full-record/WOS:001833349400001","View Record in Web of Science")</f>
        <v>120</v>
      </c>
      <c r="BU220" t="s" s="0">
        <v>121</v>
      </c>
      <c r="BV220" t="s" s="0">
        <v>81</v>
      </c>
      <c r="BW220" t="s" s="0">
        <v>81</v>
      </c>
      <c r="BX220" t="s" s="0">
        <v>122</v>
      </c>
    </row>
    <row r="221">
      <c r="A221" t="s" s="0">
        <v>77</v>
      </c>
      <c r="B221" t="s" s="0">
        <v>77</v>
      </c>
      <c r="C221" t="s" s="0">
        <v>77</v>
      </c>
      <c r="D221" t="s" s="0">
        <v>77</v>
      </c>
      <c r="E221" t="s" s="0">
        <v>5191</v>
      </c>
      <c r="F221" t="s" s="0">
        <v>5192</v>
      </c>
      <c r="G221" t="s" s="0">
        <v>5193</v>
      </c>
      <c r="H221" t="s" s="0">
        <v>81</v>
      </c>
      <c r="I221" t="s" s="0">
        <v>568</v>
      </c>
      <c r="J221" t="s" s="0">
        <v>5194</v>
      </c>
      <c r="K221" t="s" s="0">
        <v>5195</v>
      </c>
      <c r="L221" t="s" s="0">
        <v>81</v>
      </c>
      <c r="M221" t="s" s="0">
        <v>81</v>
      </c>
      <c r="N221" t="s" s="0">
        <v>81</v>
      </c>
      <c r="O221" t="s" s="0">
        <v>5196</v>
      </c>
      <c r="P221" t="s" s="0">
        <v>5197</v>
      </c>
      <c r="Q221" t="s" s="0">
        <v>90</v>
      </c>
      <c r="R221" t="s" s="0">
        <v>81</v>
      </c>
      <c r="S221" t="s" s="0">
        <v>81</v>
      </c>
      <c r="T221" t="s" s="0">
        <v>81</v>
      </c>
      <c r="U221" t="s" s="0">
        <v>81</v>
      </c>
      <c r="V221" t="s" s="0">
        <v>5198</v>
      </c>
      <c r="W221" t="s" s="0">
        <v>2246</v>
      </c>
      <c r="X221" t="s" s="0">
        <v>81</v>
      </c>
      <c r="Y221" t="s" s="0">
        <v>81</v>
      </c>
      <c r="Z221" t="s" s="0">
        <v>93</v>
      </c>
      <c r="AA221" t="s" s="0">
        <v>94</v>
      </c>
      <c r="AB221" t="s" s="0">
        <v>81</v>
      </c>
      <c r="AC221" t="s" s="0">
        <v>81</v>
      </c>
      <c r="AD221" t="s" s="0">
        <v>81</v>
      </c>
      <c r="AE221" t="s" s="0">
        <v>81</v>
      </c>
      <c r="AF221" t="s" s="0">
        <v>81</v>
      </c>
      <c r="AG221" t="s" s="0">
        <v>5199</v>
      </c>
      <c r="AH221" t="s" s="0">
        <v>5200</v>
      </c>
      <c r="AI221" t="s" s="0">
        <v>81</v>
      </c>
      <c r="AJ221" t="s" s="0">
        <v>81</v>
      </c>
      <c r="AK221" t="s" s="0">
        <v>81</v>
      </c>
      <c r="AL221" t="s" s="0">
        <v>2229</v>
      </c>
      <c r="AM221" t="s" s="0">
        <v>169</v>
      </c>
      <c r="AN221" t="s" s="0">
        <v>169</v>
      </c>
      <c r="AO221" t="s" s="0">
        <v>452</v>
      </c>
      <c r="AP221" t="s" s="0">
        <v>452</v>
      </c>
      <c r="AQ221" t="s" s="0">
        <v>353</v>
      </c>
      <c r="AR221" t="s" s="0">
        <v>354</v>
      </c>
      <c r="AS221" t="s" s="0">
        <v>355</v>
      </c>
      <c r="AT221" t="s" s="0">
        <v>81</v>
      </c>
      <c r="AU221" t="s" s="0">
        <v>2248</v>
      </c>
      <c r="AV221" t="s" s="0">
        <v>81</v>
      </c>
      <c r="AW221" t="s" s="0">
        <v>2249</v>
      </c>
      <c r="AX221" t="s" s="0">
        <v>2250</v>
      </c>
      <c r="AY221" t="s" s="0">
        <v>5201</v>
      </c>
      <c r="AZ221" t="s" s="0">
        <v>144</v>
      </c>
      <c r="BA221" t="s" s="0">
        <v>509</v>
      </c>
      <c r="BB221" t="s" s="0">
        <v>81</v>
      </c>
      <c r="BC221" t="s" s="0">
        <v>81</v>
      </c>
      <c r="BD221" t="s" s="0">
        <v>81</v>
      </c>
      <c r="BE221" t="s" s="0">
        <v>81</v>
      </c>
      <c r="BF221" t="s" s="0">
        <v>81</v>
      </c>
      <c r="BG221" t="s" s="0">
        <v>81</v>
      </c>
      <c r="BH221" t="s" s="0">
        <v>81</v>
      </c>
      <c r="BI221" t="s" s="0">
        <v>5202</v>
      </c>
      <c r="BJ221" t="s" s="0">
        <v>5203</v>
      </c>
      <c r="BK221" t="s" s="437">
        <f>HYPERLINK("http://dx.doi.org/10.3389/fpubh.2026.1760872","http://dx.doi.org/10.3389/fpubh.2026.1760872")</f>
        <v>5204</v>
      </c>
      <c r="BL221" t="s" s="0">
        <v>81</v>
      </c>
      <c r="BM221" t="s" s="0">
        <v>81</v>
      </c>
      <c r="BN221" t="s" s="0">
        <v>102</v>
      </c>
      <c r="BO221" t="s" s="0">
        <v>2254</v>
      </c>
      <c r="BP221" t="s" s="0">
        <v>2254</v>
      </c>
      <c r="BQ221" t="s" s="0">
        <v>5205</v>
      </c>
      <c r="BR221" t="s" s="0">
        <v>5206</v>
      </c>
      <c r="BS221" t="s" s="0">
        <v>5207</v>
      </c>
      <c r="BT221" t="s" s="438">
        <f>HYPERLINK("https://www.webofscience.com/wos/woscc/full-record/WOS:001708717800001","View Record in Web of Science")</f>
        <v>120</v>
      </c>
      <c r="BU221" t="s" s="0">
        <v>121</v>
      </c>
      <c r="BV221" t="s" s="0">
        <v>81</v>
      </c>
      <c r="BW221" t="s" s="0">
        <v>81</v>
      </c>
      <c r="BX221" t="s" s="0">
        <v>122</v>
      </c>
    </row>
    <row r="222">
      <c r="A222" t="s" s="0">
        <v>554</v>
      </c>
      <c r="B222" t="s" s="0">
        <v>77</v>
      </c>
      <c r="C222" t="s" s="0">
        <v>77</v>
      </c>
      <c r="D222" t="s" s="0">
        <v>77</v>
      </c>
      <c r="E222" t="s" s="0">
        <v>5208</v>
      </c>
      <c r="F222" t="s" s="0">
        <v>5209</v>
      </c>
      <c r="G222" t="s" s="0">
        <v>5210</v>
      </c>
      <c r="H222" t="s" s="0">
        <v>81</v>
      </c>
      <c r="I222" t="s" s="0">
        <v>82</v>
      </c>
      <c r="J222" t="s" s="0">
        <v>5211</v>
      </c>
      <c r="K222" t="s" s="0">
        <v>5212</v>
      </c>
      <c r="L222" t="s" s="0">
        <v>5213</v>
      </c>
      <c r="M222" t="s" s="0">
        <v>5214</v>
      </c>
      <c r="N222" t="s" s="0">
        <v>5215</v>
      </c>
      <c r="O222" t="s" s="0">
        <v>5216</v>
      </c>
      <c r="P222" t="s" s="0">
        <v>5217</v>
      </c>
      <c r="Q222" t="s" s="0">
        <v>90</v>
      </c>
      <c r="R222" t="s" s="0">
        <v>81</v>
      </c>
      <c r="S222" t="s" s="0">
        <v>81</v>
      </c>
      <c r="T222" t="s" s="0">
        <v>81</v>
      </c>
      <c r="U222" t="s" s="0">
        <v>81</v>
      </c>
      <c r="V222" t="s" s="0">
        <v>5218</v>
      </c>
      <c r="W222" t="s" s="0">
        <v>5219</v>
      </c>
      <c r="X222" t="s" s="0">
        <v>81</v>
      </c>
      <c r="Y222" t="s" s="0">
        <v>81</v>
      </c>
      <c r="Z222" t="s" s="0">
        <v>93</v>
      </c>
      <c r="AA222" t="s" s="0">
        <v>94</v>
      </c>
      <c r="AB222" t="s" s="0">
        <v>81</v>
      </c>
      <c r="AC222" t="s" s="0">
        <v>81</v>
      </c>
      <c r="AD222" t="s" s="0">
        <v>81</v>
      </c>
      <c r="AE222" t="s" s="0">
        <v>81</v>
      </c>
      <c r="AF222" t="s" s="0">
        <v>81</v>
      </c>
      <c r="AG222" t="s" s="0">
        <v>5220</v>
      </c>
      <c r="AH222" t="s" s="0">
        <v>81</v>
      </c>
      <c r="AI222" t="s" s="0">
        <v>5221</v>
      </c>
      <c r="AJ222" t="s" s="0">
        <v>5222</v>
      </c>
      <c r="AK222" t="s" s="0">
        <v>81</v>
      </c>
      <c r="AL222" t="s" s="0">
        <v>944</v>
      </c>
      <c r="AM222" t="s" s="0">
        <v>100</v>
      </c>
      <c r="AN222" t="s" s="0">
        <v>210</v>
      </c>
      <c r="AO222" t="s" s="0">
        <v>99</v>
      </c>
      <c r="AP222" t="s" s="0">
        <v>100</v>
      </c>
      <c r="AQ222" t="s" s="0">
        <v>288</v>
      </c>
      <c r="AR222" t="s" s="0">
        <v>289</v>
      </c>
      <c r="AS222" t="s" s="0">
        <v>290</v>
      </c>
      <c r="AT222" t="s" s="0">
        <v>81</v>
      </c>
      <c r="AU222" t="s" s="0">
        <v>5223</v>
      </c>
      <c r="AV222" t="s" s="0">
        <v>81</v>
      </c>
      <c r="AW222" t="s" s="0">
        <v>5224</v>
      </c>
      <c r="AX222" t="s" s="0">
        <v>5225</v>
      </c>
      <c r="AY222" t="s" s="0">
        <v>300</v>
      </c>
      <c r="AZ222" t="s" s="0">
        <v>110</v>
      </c>
      <c r="BA222" t="s" s="0">
        <v>386</v>
      </c>
      <c r="BB222" t="s" s="0">
        <v>360</v>
      </c>
      <c r="BC222" t="s" s="0">
        <v>81</v>
      </c>
      <c r="BD222" t="s" s="0">
        <v>81</v>
      </c>
      <c r="BE222" t="s" s="0">
        <v>81</v>
      </c>
      <c r="BF222" t="s" s="0">
        <v>81</v>
      </c>
      <c r="BG222" t="s" s="0">
        <v>81</v>
      </c>
      <c r="BH222" t="s" s="0">
        <v>81</v>
      </c>
      <c r="BI222" t="s" s="0">
        <v>5226</v>
      </c>
      <c r="BJ222" t="s" s="0">
        <v>5227</v>
      </c>
      <c r="BK222" t="s" s="439">
        <f>HYPERLINK("http://dx.doi.org/10.1016/j.jhepr.2025.101579","http://dx.doi.org/10.1016/j.jhepr.2025.101579")</f>
        <v>5228</v>
      </c>
      <c r="BL222" t="s" s="0">
        <v>81</v>
      </c>
      <c r="BM222" t="s" s="0">
        <v>801</v>
      </c>
      <c r="BN222" t="s" s="0">
        <v>320</v>
      </c>
      <c r="BO222" t="s" s="0">
        <v>1190</v>
      </c>
      <c r="BP222" t="s" s="0">
        <v>1190</v>
      </c>
      <c r="BQ222" t="s" s="0">
        <v>5229</v>
      </c>
      <c r="BR222" t="s" s="0">
        <v>5230</v>
      </c>
      <c r="BS222" t="s" s="0">
        <v>5231</v>
      </c>
      <c r="BT222" t="s" s="440">
        <f>HYPERLINK("https://www.webofscience.com/wos/woscc/full-record/WOS:001621477300002","View Record in Web of Science")</f>
        <v>120</v>
      </c>
      <c r="BU222" t="s" s="0">
        <v>121</v>
      </c>
      <c r="BV222" t="s" s="0">
        <v>81</v>
      </c>
      <c r="BW222" t="s" s="0">
        <v>81</v>
      </c>
      <c r="BX222" t="s" s="0">
        <v>122</v>
      </c>
    </row>
    <row r="223">
      <c r="A223" t="s" s="0">
        <v>77</v>
      </c>
      <c r="B223" t="s" s="0">
        <v>77</v>
      </c>
      <c r="C223" t="s" s="0">
        <v>77</v>
      </c>
      <c r="D223" t="s" s="0">
        <v>77</v>
      </c>
      <c r="E223" t="s" s="0">
        <v>5232</v>
      </c>
      <c r="F223" t="s" s="0">
        <v>5233</v>
      </c>
      <c r="G223" t="s" s="0">
        <v>5234</v>
      </c>
      <c r="H223" t="s" s="0">
        <v>81</v>
      </c>
      <c r="I223" t="s" s="0">
        <v>82</v>
      </c>
      <c r="J223" t="s" s="0">
        <v>5235</v>
      </c>
      <c r="K223" t="s" s="0">
        <v>5236</v>
      </c>
      <c r="L223" t="s" s="0">
        <v>81</v>
      </c>
      <c r="M223" t="s" s="0">
        <v>81</v>
      </c>
      <c r="N223" t="s" s="0">
        <v>5237</v>
      </c>
      <c r="O223" t="s" s="0">
        <v>5238</v>
      </c>
      <c r="P223" t="s" s="0">
        <v>5239</v>
      </c>
      <c r="Q223" t="s" s="0">
        <v>90</v>
      </c>
      <c r="R223" t="s" s="0">
        <v>81</v>
      </c>
      <c r="S223" t="s" s="0">
        <v>81</v>
      </c>
      <c r="T223" t="s" s="0">
        <v>81</v>
      </c>
      <c r="U223" t="s" s="0">
        <v>81</v>
      </c>
      <c r="V223" t="s" s="0">
        <v>5240</v>
      </c>
      <c r="W223" t="s" s="0">
        <v>1925</v>
      </c>
      <c r="X223" t="s" s="0">
        <v>81</v>
      </c>
      <c r="Y223" t="s" s="0">
        <v>81</v>
      </c>
      <c r="Z223" t="s" s="0">
        <v>93</v>
      </c>
      <c r="AA223" t="s" s="0">
        <v>94</v>
      </c>
      <c r="AB223" t="s" s="0">
        <v>81</v>
      </c>
      <c r="AC223" t="s" s="0">
        <v>81</v>
      </c>
      <c r="AD223" t="s" s="0">
        <v>81</v>
      </c>
      <c r="AE223" t="s" s="0">
        <v>81</v>
      </c>
      <c r="AF223" t="s" s="0">
        <v>81</v>
      </c>
      <c r="AG223" t="s" s="0">
        <v>5241</v>
      </c>
      <c r="AH223" t="s" s="0">
        <v>843</v>
      </c>
      <c r="AI223" t="s" s="0">
        <v>81</v>
      </c>
      <c r="AJ223" t="s" s="0">
        <v>5242</v>
      </c>
      <c r="AK223" t="s" s="0">
        <v>81</v>
      </c>
      <c r="AL223" t="s" s="0">
        <v>239</v>
      </c>
      <c r="AM223" t="s" s="0">
        <v>77</v>
      </c>
      <c r="AN223" t="s" s="0">
        <v>77</v>
      </c>
      <c r="AO223" t="s" s="0">
        <v>77</v>
      </c>
      <c r="AP223" t="s" s="0">
        <v>77</v>
      </c>
      <c r="AQ223" t="s" s="0">
        <v>439</v>
      </c>
      <c r="AR223" t="s" s="0">
        <v>201</v>
      </c>
      <c r="AS223" t="s" s="0">
        <v>440</v>
      </c>
      <c r="AT223" t="s" s="0">
        <v>1928</v>
      </c>
      <c r="AU223" t="s" s="0">
        <v>81</v>
      </c>
      <c r="AV223" t="s" s="0">
        <v>81</v>
      </c>
      <c r="AW223" t="s" s="0">
        <v>1925</v>
      </c>
      <c r="AX223" t="s" s="0">
        <v>1929</v>
      </c>
      <c r="AY223" t="s" s="0">
        <v>5243</v>
      </c>
      <c r="AZ223" t="s" s="0">
        <v>144</v>
      </c>
      <c r="BA223" t="s" s="0">
        <v>319</v>
      </c>
      <c r="BB223" t="s" s="0">
        <v>169</v>
      </c>
      <c r="BC223" t="s" s="0">
        <v>81</v>
      </c>
      <c r="BD223" t="s" s="0">
        <v>81</v>
      </c>
      <c r="BE223" t="s" s="0">
        <v>81</v>
      </c>
      <c r="BF223" t="s" s="0">
        <v>81</v>
      </c>
      <c r="BG223" t="s" s="0">
        <v>81</v>
      </c>
      <c r="BH223" t="s" s="0">
        <v>81</v>
      </c>
      <c r="BI223" t="s" s="0">
        <v>5244</v>
      </c>
      <c r="BJ223" t="s" s="0">
        <v>5245</v>
      </c>
      <c r="BK223" t="s" s="441">
        <f>HYPERLINK("http://dx.doi.org/10.1186/s12903-026-08530-0","http://dx.doi.org/10.1186/s12903-026-08530-0")</f>
        <v>5246</v>
      </c>
      <c r="BL223" t="s" s="0">
        <v>81</v>
      </c>
      <c r="BM223" t="s" s="0">
        <v>295</v>
      </c>
      <c r="BN223" t="s" s="0">
        <v>328</v>
      </c>
      <c r="BO223" t="s" s="0">
        <v>1934</v>
      </c>
      <c r="BP223" t="s" s="0">
        <v>1934</v>
      </c>
      <c r="BQ223" t="s" s="0">
        <v>5247</v>
      </c>
      <c r="BR223" t="s" s="0">
        <v>5248</v>
      </c>
      <c r="BS223" t="s" s="0">
        <v>5249</v>
      </c>
      <c r="BT223" t="s" s="442">
        <f>HYPERLINK("https://www.webofscience.com/wos/woscc/full-record/WOS:001800677000001","View Record in Web of Science")</f>
        <v>120</v>
      </c>
      <c r="BU223" t="s" s="0">
        <v>121</v>
      </c>
      <c r="BV223" t="s" s="0">
        <v>81</v>
      </c>
      <c r="BW223" t="s" s="0">
        <v>81</v>
      </c>
      <c r="BX223" t="s" s="0">
        <v>122</v>
      </c>
    </row>
    <row r="224">
      <c r="A224" t="s" s="0">
        <v>169</v>
      </c>
      <c r="B224" t="s" s="0">
        <v>77</v>
      </c>
      <c r="C224" t="s" s="0">
        <v>452</v>
      </c>
      <c r="D224" t="s" s="0">
        <v>77</v>
      </c>
      <c r="E224" t="s" s="0">
        <v>5250</v>
      </c>
      <c r="F224" t="s" s="0">
        <v>5251</v>
      </c>
      <c r="G224" t="s" s="0">
        <v>5252</v>
      </c>
      <c r="H224" t="s" s="0">
        <v>81</v>
      </c>
      <c r="I224" t="s" s="0">
        <v>218</v>
      </c>
      <c r="J224" t="s" s="0">
        <v>5253</v>
      </c>
      <c r="K224" t="s" s="0">
        <v>5254</v>
      </c>
      <c r="L224" t="s" s="0">
        <v>5255</v>
      </c>
      <c r="M224" t="s" s="0">
        <v>5256</v>
      </c>
      <c r="N224" t="s" s="0">
        <v>5257</v>
      </c>
      <c r="O224" t="s" s="0">
        <v>5258</v>
      </c>
      <c r="P224" t="s" s="0">
        <v>5259</v>
      </c>
      <c r="Q224" t="s" s="0">
        <v>90</v>
      </c>
      <c r="R224" t="s" s="0">
        <v>81</v>
      </c>
      <c r="S224" t="s" s="0">
        <v>81</v>
      </c>
      <c r="T224" t="s" s="0">
        <v>81</v>
      </c>
      <c r="U224" t="s" s="0">
        <v>81</v>
      </c>
      <c r="V224" t="s" s="0">
        <v>5260</v>
      </c>
      <c r="W224" t="s" s="0">
        <v>4338</v>
      </c>
      <c r="X224" t="s" s="0">
        <v>81</v>
      </c>
      <c r="Y224" t="s" s="0">
        <v>81</v>
      </c>
      <c r="Z224" t="s" s="0">
        <v>93</v>
      </c>
      <c r="AA224" t="s" s="0">
        <v>94</v>
      </c>
      <c r="AB224" t="s" s="0">
        <v>81</v>
      </c>
      <c r="AC224" t="s" s="0">
        <v>81</v>
      </c>
      <c r="AD224" t="s" s="0">
        <v>81</v>
      </c>
      <c r="AE224" t="s" s="0">
        <v>81</v>
      </c>
      <c r="AF224" t="s" s="0">
        <v>81</v>
      </c>
      <c r="AG224" t="s" s="0">
        <v>81</v>
      </c>
      <c r="AH224" t="s" s="0">
        <v>81</v>
      </c>
      <c r="AI224" t="s" s="0">
        <v>5261</v>
      </c>
      <c r="AJ224" t="s" s="0">
        <v>5262</v>
      </c>
      <c r="AK224" t="s" s="0">
        <v>81</v>
      </c>
      <c r="AL224" t="s" s="0">
        <v>637</v>
      </c>
      <c r="AM224" t="s" s="0">
        <v>5263</v>
      </c>
      <c r="AN224" t="s" s="0">
        <v>2952</v>
      </c>
      <c r="AO224" t="s" s="0">
        <v>452</v>
      </c>
      <c r="AP224" t="s" s="0">
        <v>1118</v>
      </c>
      <c r="AQ224" t="s" s="0">
        <v>1380</v>
      </c>
      <c r="AR224" t="s" s="0">
        <v>201</v>
      </c>
      <c r="AS224" t="s" s="0">
        <v>3233</v>
      </c>
      <c r="AT224" t="s" s="0">
        <v>4341</v>
      </c>
      <c r="AU224" t="s" s="0">
        <v>81</v>
      </c>
      <c r="AV224" t="s" s="0">
        <v>81</v>
      </c>
      <c r="AW224" t="s" s="0">
        <v>4342</v>
      </c>
      <c r="AX224" t="s" s="0">
        <v>5264</v>
      </c>
      <c r="AY224" t="s" s="0">
        <v>5265</v>
      </c>
      <c r="AZ224" t="s" s="0">
        <v>110</v>
      </c>
      <c r="BA224" t="s" s="0">
        <v>100</v>
      </c>
      <c r="BB224" t="s" s="0">
        <v>169</v>
      </c>
      <c r="BC224" t="s" s="0">
        <v>81</v>
      </c>
      <c r="BD224" t="s" s="0">
        <v>81</v>
      </c>
      <c r="BE224" t="s" s="0">
        <v>81</v>
      </c>
      <c r="BF224" t="s" s="0">
        <v>81</v>
      </c>
      <c r="BG224" t="s" s="0">
        <v>81</v>
      </c>
      <c r="BH224" t="s" s="0">
        <v>81</v>
      </c>
      <c r="BI224" t="s" s="0">
        <v>5266</v>
      </c>
      <c r="BJ224" t="s" s="0">
        <v>5267</v>
      </c>
      <c r="BK224" t="s" s="443">
        <f>HYPERLINK("http://dx.doi.org/10.1038/s43856-025-01021-3","http://dx.doi.org/10.1038/s43856-025-01021-3")</f>
        <v>5268</v>
      </c>
      <c r="BL224" t="s" s="0">
        <v>81</v>
      </c>
      <c r="BM224" t="s" s="0">
        <v>81</v>
      </c>
      <c r="BN224" t="s" s="0">
        <v>386</v>
      </c>
      <c r="BO224" t="s" s="0">
        <v>2819</v>
      </c>
      <c r="BP224" t="s" s="0">
        <v>2820</v>
      </c>
      <c r="BQ224" t="s" s="0">
        <v>5269</v>
      </c>
      <c r="BR224" t="s" s="0">
        <v>5270</v>
      </c>
      <c r="BS224" t="s" s="0">
        <v>5271</v>
      </c>
      <c r="BT224" t="s" s="444">
        <f>HYPERLINK("https://www.webofscience.com/wos/woscc/full-record/WOS:001543132800001","View Record in Web of Science")</f>
        <v>120</v>
      </c>
      <c r="BU224" t="s" s="0">
        <v>121</v>
      </c>
      <c r="BV224" t="s" s="0">
        <v>81</v>
      </c>
      <c r="BW224" t="s" s="0">
        <v>81</v>
      </c>
      <c r="BX224" t="s" s="0">
        <v>122</v>
      </c>
    </row>
    <row r="225">
      <c r="A225" t="s" s="0">
        <v>77</v>
      </c>
      <c r="B225" t="s" s="0">
        <v>77</v>
      </c>
      <c r="C225" t="s" s="0">
        <v>77</v>
      </c>
      <c r="D225" t="s" s="0">
        <v>77</v>
      </c>
      <c r="E225" t="s" s="0">
        <v>5272</v>
      </c>
      <c r="F225" t="s" s="0">
        <v>5273</v>
      </c>
      <c r="G225" t="s" s="0">
        <v>5274</v>
      </c>
      <c r="H225" t="s" s="0">
        <v>81</v>
      </c>
      <c r="I225" t="s" s="0">
        <v>218</v>
      </c>
      <c r="J225" t="s" s="0">
        <v>5275</v>
      </c>
      <c r="K225" t="s" s="0">
        <v>5276</v>
      </c>
      <c r="L225" t="s" s="0">
        <v>81</v>
      </c>
      <c r="M225" t="s" s="0">
        <v>81</v>
      </c>
      <c r="N225" t="s" s="0">
        <v>81</v>
      </c>
      <c r="O225" t="s" s="0">
        <v>5277</v>
      </c>
      <c r="P225" t="s" s="0">
        <v>5278</v>
      </c>
      <c r="Q225" t="s" s="0">
        <v>90</v>
      </c>
      <c r="R225" t="s" s="0">
        <v>81</v>
      </c>
      <c r="S225" t="s" s="0">
        <v>81</v>
      </c>
      <c r="T225" t="s" s="0">
        <v>81</v>
      </c>
      <c r="U225" t="s" s="0">
        <v>81</v>
      </c>
      <c r="V225" t="s" s="0">
        <v>5279</v>
      </c>
      <c r="W225" t="s" s="0">
        <v>2435</v>
      </c>
      <c r="X225" t="s" s="0">
        <v>81</v>
      </c>
      <c r="Y225" t="s" s="0">
        <v>81</v>
      </c>
      <c r="Z225" t="s" s="0">
        <v>93</v>
      </c>
      <c r="AA225" t="s" s="0">
        <v>94</v>
      </c>
      <c r="AB225" t="s" s="0">
        <v>81</v>
      </c>
      <c r="AC225" t="s" s="0">
        <v>81</v>
      </c>
      <c r="AD225" t="s" s="0">
        <v>81</v>
      </c>
      <c r="AE225" t="s" s="0">
        <v>81</v>
      </c>
      <c r="AF225" t="s" s="0">
        <v>81</v>
      </c>
      <c r="AG225" t="s" s="0">
        <v>5280</v>
      </c>
      <c r="AH225" t="s" s="0">
        <v>1683</v>
      </c>
      <c r="AI225" t="s" s="0">
        <v>5281</v>
      </c>
      <c r="AJ225" t="s" s="0">
        <v>5282</v>
      </c>
      <c r="AK225" t="s" s="0">
        <v>81</v>
      </c>
      <c r="AL225" t="s" s="0">
        <v>393</v>
      </c>
      <c r="AM225" t="s" s="0">
        <v>77</v>
      </c>
      <c r="AN225" t="s" s="0">
        <v>77</v>
      </c>
      <c r="AO225" t="s" s="0">
        <v>77</v>
      </c>
      <c r="AP225" t="s" s="0">
        <v>101</v>
      </c>
      <c r="AQ225" t="s" s="0">
        <v>200</v>
      </c>
      <c r="AR225" t="s" s="0">
        <v>201</v>
      </c>
      <c r="AS225" t="s" s="0">
        <v>202</v>
      </c>
      <c r="AT225" t="s" s="0">
        <v>81</v>
      </c>
      <c r="AU225" t="s" s="0">
        <v>2440</v>
      </c>
      <c r="AV225" t="s" s="0">
        <v>81</v>
      </c>
      <c r="AW225" t="s" s="0">
        <v>2441</v>
      </c>
      <c r="AX225" t="s" s="0">
        <v>2442</v>
      </c>
      <c r="AY225" t="s" s="0">
        <v>238</v>
      </c>
      <c r="AZ225" t="s" s="0">
        <v>110</v>
      </c>
      <c r="BA225" t="s" s="0">
        <v>671</v>
      </c>
      <c r="BB225" t="s" s="0">
        <v>169</v>
      </c>
      <c r="BC225" t="s" s="0">
        <v>81</v>
      </c>
      <c r="BD225" t="s" s="0">
        <v>81</v>
      </c>
      <c r="BE225" t="s" s="0">
        <v>81</v>
      </c>
      <c r="BF225" t="s" s="0">
        <v>81</v>
      </c>
      <c r="BG225" t="s" s="0">
        <v>81</v>
      </c>
      <c r="BH225" t="s" s="0">
        <v>81</v>
      </c>
      <c r="BI225" t="s" s="0">
        <v>5283</v>
      </c>
      <c r="BJ225" t="s" s="0">
        <v>5284</v>
      </c>
      <c r="BK225" t="s" s="445">
        <f>HYPERLINK("http://dx.doi.org/10.1136/bmjhci-2025-101512","http://dx.doi.org/10.1136/bmjhci-2025-101512")</f>
        <v>5285</v>
      </c>
      <c r="BL225" t="s" s="0">
        <v>81</v>
      </c>
      <c r="BM225" t="s" s="0">
        <v>81</v>
      </c>
      <c r="BN225" t="s" s="0">
        <v>386</v>
      </c>
      <c r="BO225" t="s" s="0">
        <v>116</v>
      </c>
      <c r="BP225" t="s" s="0">
        <v>116</v>
      </c>
      <c r="BQ225" t="s" s="0">
        <v>5286</v>
      </c>
      <c r="BR225" t="s" s="0">
        <v>5287</v>
      </c>
      <c r="BS225" t="s" s="0">
        <v>5288</v>
      </c>
      <c r="BT225" t="s" s="446">
        <f>HYPERLINK("https://www.webofscience.com/wos/woscc/full-record/WOS:001588586400001","View Record in Web of Science")</f>
        <v>120</v>
      </c>
      <c r="BU225" t="s" s="0">
        <v>121</v>
      </c>
      <c r="BV225" t="s" s="0">
        <v>81</v>
      </c>
      <c r="BW225" t="s" s="0">
        <v>81</v>
      </c>
      <c r="BX225" t="s" s="0">
        <v>122</v>
      </c>
    </row>
    <row r="226">
      <c r="A226" t="s" s="0">
        <v>77</v>
      </c>
      <c r="B226" t="s" s="0">
        <v>77</v>
      </c>
      <c r="C226" t="s" s="0">
        <v>77</v>
      </c>
      <c r="D226" t="s" s="0">
        <v>77</v>
      </c>
      <c r="E226" t="s" s="0">
        <v>5289</v>
      </c>
      <c r="F226" t="s" s="0">
        <v>5290</v>
      </c>
      <c r="G226" t="s" s="0">
        <v>5291</v>
      </c>
      <c r="H226" t="s" s="0">
        <v>81</v>
      </c>
      <c r="I226" t="s" s="0">
        <v>82</v>
      </c>
      <c r="J226" t="s" s="0">
        <v>5292</v>
      </c>
      <c r="K226" t="s" s="0">
        <v>5293</v>
      </c>
      <c r="L226" t="s" s="0">
        <v>81</v>
      </c>
      <c r="M226" t="s" s="0">
        <v>81</v>
      </c>
      <c r="N226" t="s" s="0">
        <v>5294</v>
      </c>
      <c r="O226" t="s" s="0">
        <v>5295</v>
      </c>
      <c r="P226" t="s" s="0">
        <v>5296</v>
      </c>
      <c r="Q226" t="s" s="0">
        <v>90</v>
      </c>
      <c r="R226" t="s" s="0">
        <v>81</v>
      </c>
      <c r="S226" t="s" s="0">
        <v>81</v>
      </c>
      <c r="T226" t="s" s="0">
        <v>81</v>
      </c>
      <c r="U226" t="s" s="0">
        <v>81</v>
      </c>
      <c r="V226" t="s" s="0">
        <v>5297</v>
      </c>
      <c r="W226" t="s" s="0">
        <v>5298</v>
      </c>
      <c r="X226" t="s" s="0">
        <v>81</v>
      </c>
      <c r="Y226" t="s" s="0">
        <v>81</v>
      </c>
      <c r="Z226" t="s" s="0">
        <v>93</v>
      </c>
      <c r="AA226" t="s" s="0">
        <v>94</v>
      </c>
      <c r="AB226" t="s" s="0">
        <v>81</v>
      </c>
      <c r="AC226" t="s" s="0">
        <v>81</v>
      </c>
      <c r="AD226" t="s" s="0">
        <v>81</v>
      </c>
      <c r="AE226" t="s" s="0">
        <v>81</v>
      </c>
      <c r="AF226" t="s" s="0">
        <v>81</v>
      </c>
      <c r="AG226" t="s" s="0">
        <v>5299</v>
      </c>
      <c r="AH226" t="s" s="0">
        <v>3761</v>
      </c>
      <c r="AI226" t="s" s="0">
        <v>5300</v>
      </c>
      <c r="AJ226" t="s" s="0">
        <v>81</v>
      </c>
      <c r="AK226" t="s" s="0">
        <v>81</v>
      </c>
      <c r="AL226" t="s" s="0">
        <v>261</v>
      </c>
      <c r="AM226" t="s" s="0">
        <v>77</v>
      </c>
      <c r="AN226" t="s" s="0">
        <v>77</v>
      </c>
      <c r="AO226" t="s" s="0">
        <v>77</v>
      </c>
      <c r="AP226" t="s" s="0">
        <v>77</v>
      </c>
      <c r="AQ226" t="s" s="0">
        <v>439</v>
      </c>
      <c r="AR226" t="s" s="0">
        <v>201</v>
      </c>
      <c r="AS226" t="s" s="0">
        <v>440</v>
      </c>
      <c r="AT226" t="s" s="0">
        <v>5301</v>
      </c>
      <c r="AU226" t="s" s="0">
        <v>81</v>
      </c>
      <c r="AV226" t="s" s="0">
        <v>81</v>
      </c>
      <c r="AW226" t="s" s="0">
        <v>5302</v>
      </c>
      <c r="AX226" t="s" s="0">
        <v>5303</v>
      </c>
      <c r="AY226" t="s" s="0">
        <v>5304</v>
      </c>
      <c r="AZ226" t="s" s="0">
        <v>144</v>
      </c>
      <c r="BA226" t="s" s="0">
        <v>319</v>
      </c>
      <c r="BB226" t="s" s="0">
        <v>169</v>
      </c>
      <c r="BC226" t="s" s="0">
        <v>81</v>
      </c>
      <c r="BD226" t="s" s="0">
        <v>81</v>
      </c>
      <c r="BE226" t="s" s="0">
        <v>81</v>
      </c>
      <c r="BF226" t="s" s="0">
        <v>81</v>
      </c>
      <c r="BG226" t="s" s="0">
        <v>81</v>
      </c>
      <c r="BH226" t="s" s="0">
        <v>81</v>
      </c>
      <c r="BI226" t="s" s="0">
        <v>5305</v>
      </c>
      <c r="BJ226" t="s" s="0">
        <v>5306</v>
      </c>
      <c r="BK226" t="s" s="447">
        <f>HYPERLINK("http://dx.doi.org/10.1186/s12871-026-03934-5","http://dx.doi.org/10.1186/s12871-026-03934-5")</f>
        <v>5307</v>
      </c>
      <c r="BL226" t="s" s="0">
        <v>81</v>
      </c>
      <c r="BM226" t="s" s="0">
        <v>295</v>
      </c>
      <c r="BN226" t="s" s="0">
        <v>360</v>
      </c>
      <c r="BO226" t="s" s="0">
        <v>5308</v>
      </c>
      <c r="BP226" t="s" s="0">
        <v>5308</v>
      </c>
      <c r="BQ226" t="s" s="0">
        <v>5309</v>
      </c>
      <c r="BR226" t="s" s="0">
        <v>5310</v>
      </c>
      <c r="BS226" t="s" s="0">
        <v>5311</v>
      </c>
      <c r="BT226" t="s" s="448">
        <f>HYPERLINK("https://www.webofscience.com/wos/woscc/full-record/WOS:001796830600001","View Record in Web of Science")</f>
        <v>120</v>
      </c>
      <c r="BU226" t="s" s="0">
        <v>121</v>
      </c>
      <c r="BV226" t="s" s="0">
        <v>81</v>
      </c>
      <c r="BW226" t="s" s="0">
        <v>81</v>
      </c>
      <c r="BX226" t="s" s="0">
        <v>122</v>
      </c>
    </row>
    <row r="227">
      <c r="A227" t="s" s="0">
        <v>77</v>
      </c>
      <c r="B227" t="s" s="0">
        <v>77</v>
      </c>
      <c r="C227" t="s" s="0">
        <v>77</v>
      </c>
      <c r="D227" t="s" s="0">
        <v>77</v>
      </c>
      <c r="E227" t="s" s="0">
        <v>5312</v>
      </c>
      <c r="F227" t="s" s="0">
        <v>5313</v>
      </c>
      <c r="G227" t="s" s="0">
        <v>5314</v>
      </c>
      <c r="H227" t="s" s="0">
        <v>81</v>
      </c>
      <c r="I227" t="s" s="0">
        <v>82</v>
      </c>
      <c r="J227" t="s" s="0">
        <v>5315</v>
      </c>
      <c r="K227" t="s" s="0">
        <v>5316</v>
      </c>
      <c r="L227" t="s" s="0">
        <v>81</v>
      </c>
      <c r="M227" t="s" s="0">
        <v>81</v>
      </c>
      <c r="N227" t="s" s="0">
        <v>81</v>
      </c>
      <c r="O227" t="s" s="0">
        <v>5317</v>
      </c>
      <c r="P227" t="s" s="0">
        <v>5318</v>
      </c>
      <c r="Q227" t="s" s="0">
        <v>90</v>
      </c>
      <c r="R227" t="s" s="0">
        <v>81</v>
      </c>
      <c r="S227" t="s" s="0">
        <v>81</v>
      </c>
      <c r="T227" t="s" s="0">
        <v>81</v>
      </c>
      <c r="U227" t="s" s="0">
        <v>81</v>
      </c>
      <c r="V227" t="s" s="0">
        <v>5319</v>
      </c>
      <c r="W227" t="s" s="0">
        <v>5320</v>
      </c>
      <c r="X227" t="s" s="0">
        <v>81</v>
      </c>
      <c r="Y227" t="s" s="0">
        <v>81</v>
      </c>
      <c r="Z227" t="s" s="0">
        <v>93</v>
      </c>
      <c r="AA227" t="s" s="0">
        <v>94</v>
      </c>
      <c r="AB227" t="s" s="0">
        <v>81</v>
      </c>
      <c r="AC227" t="s" s="0">
        <v>81</v>
      </c>
      <c r="AD227" t="s" s="0">
        <v>81</v>
      </c>
      <c r="AE227" t="s" s="0">
        <v>81</v>
      </c>
      <c r="AF227" t="s" s="0">
        <v>81</v>
      </c>
      <c r="AG227" t="s" s="0">
        <v>5321</v>
      </c>
      <c r="AH227" t="s" s="0">
        <v>81</v>
      </c>
      <c r="AI227" t="s" s="0">
        <v>5322</v>
      </c>
      <c r="AJ227" t="s" s="0">
        <v>5323</v>
      </c>
      <c r="AK227" t="s" s="0">
        <v>81</v>
      </c>
      <c r="AL227" t="s" s="0">
        <v>690</v>
      </c>
      <c r="AM227" t="s" s="0">
        <v>101</v>
      </c>
      <c r="AN227" t="s" s="0">
        <v>101</v>
      </c>
      <c r="AO227" t="s" s="0">
        <v>169</v>
      </c>
      <c r="AP227" t="s" s="0">
        <v>210</v>
      </c>
      <c r="AQ227" t="s" s="0">
        <v>712</v>
      </c>
      <c r="AR227" t="s" s="0">
        <v>500</v>
      </c>
      <c r="AS227" t="s" s="0">
        <v>3042</v>
      </c>
      <c r="AT227" t="s" s="0">
        <v>5324</v>
      </c>
      <c r="AU227" t="s" s="0">
        <v>5325</v>
      </c>
      <c r="AV227" t="s" s="0">
        <v>81</v>
      </c>
      <c r="AW227" t="s" s="0">
        <v>5326</v>
      </c>
      <c r="AX227" t="s" s="0">
        <v>5327</v>
      </c>
      <c r="AY227" t="s" s="0">
        <v>5328</v>
      </c>
      <c r="AZ227" t="s" s="0">
        <v>110</v>
      </c>
      <c r="BA227" t="s" s="0">
        <v>1118</v>
      </c>
      <c r="BB227" t="s" s="0">
        <v>352</v>
      </c>
      <c r="BC227" t="s" s="0">
        <v>81</v>
      </c>
      <c r="BD227" t="s" s="0">
        <v>81</v>
      </c>
      <c r="BE227" t="s" s="0">
        <v>81</v>
      </c>
      <c r="BF227" t="s" s="0">
        <v>81</v>
      </c>
      <c r="BG227" t="s" s="0">
        <v>5329</v>
      </c>
      <c r="BH227" t="s" s="0">
        <v>5330</v>
      </c>
      <c r="BI227" t="s" s="0">
        <v>81</v>
      </c>
      <c r="BJ227" t="s" s="0">
        <v>5331</v>
      </c>
      <c r="BK227" t="s" s="449">
        <f>HYPERLINK("http://dx.doi.org/10.1016/j.jcin.2025.08.019","http://dx.doi.org/10.1016/j.jcin.2025.08.019")</f>
        <v>5332</v>
      </c>
      <c r="BL227" t="s" s="0">
        <v>81</v>
      </c>
      <c r="BM227" t="s" s="0">
        <v>238</v>
      </c>
      <c r="BN227" t="s" s="0">
        <v>102</v>
      </c>
      <c r="BO227" t="s" s="0">
        <v>364</v>
      </c>
      <c r="BP227" t="s" s="0">
        <v>365</v>
      </c>
      <c r="BQ227" t="s" s="0">
        <v>5333</v>
      </c>
      <c r="BR227" t="s" s="0">
        <v>5334</v>
      </c>
      <c r="BS227" t="s" s="0">
        <v>5335</v>
      </c>
      <c r="BT227" t="s" s="450">
        <f>HYPERLINK("https://www.webofscience.com/wos/woscc/full-record/WOS:001615189700002","View Record in Web of Science")</f>
        <v>120</v>
      </c>
      <c r="BU227" t="s" s="0">
        <v>81</v>
      </c>
      <c r="BV227" t="s" s="0">
        <v>81</v>
      </c>
      <c r="BW227" t="s" s="0">
        <v>81</v>
      </c>
      <c r="BX227" t="s" s="0">
        <v>122</v>
      </c>
    </row>
    <row r="228">
      <c r="A228" t="s" s="0">
        <v>77</v>
      </c>
      <c r="B228" t="s" s="0">
        <v>77</v>
      </c>
      <c r="C228" t="s" s="0">
        <v>77</v>
      </c>
      <c r="D228" t="s" s="0">
        <v>77</v>
      </c>
      <c r="E228" t="s" s="0">
        <v>5336</v>
      </c>
      <c r="F228" t="s" s="0">
        <v>5337</v>
      </c>
      <c r="G228" t="s" s="0">
        <v>5338</v>
      </c>
      <c r="H228" t="s" s="0">
        <v>81</v>
      </c>
      <c r="I228" t="s" s="0">
        <v>218</v>
      </c>
      <c r="J228" t="s" s="0">
        <v>5339</v>
      </c>
      <c r="K228" t="s" s="0">
        <v>5340</v>
      </c>
      <c r="L228" t="s" s="0">
        <v>5341</v>
      </c>
      <c r="M228" t="s" s="0">
        <v>5341</v>
      </c>
      <c r="N228" t="s" s="0">
        <v>5342</v>
      </c>
      <c r="O228" t="s" s="0">
        <v>5343</v>
      </c>
      <c r="P228" t="s" s="0">
        <v>5344</v>
      </c>
      <c r="Q228" t="s" s="0">
        <v>90</v>
      </c>
      <c r="R228" t="s" s="0">
        <v>81</v>
      </c>
      <c r="S228" t="s" s="0">
        <v>81</v>
      </c>
      <c r="T228" t="s" s="0">
        <v>81</v>
      </c>
      <c r="U228" t="s" s="0">
        <v>81</v>
      </c>
      <c r="V228" t="s" s="0">
        <v>5345</v>
      </c>
      <c r="W228" t="s" s="0">
        <v>1020</v>
      </c>
      <c r="X228" t="s" s="0">
        <v>81</v>
      </c>
      <c r="Y228" t="s" s="0">
        <v>81</v>
      </c>
      <c r="Z228" t="s" s="0">
        <v>93</v>
      </c>
      <c r="AA228" t="s" s="0">
        <v>94</v>
      </c>
      <c r="AB228" t="s" s="0">
        <v>81</v>
      </c>
      <c r="AC228" t="s" s="0">
        <v>81</v>
      </c>
      <c r="AD228" t="s" s="0">
        <v>81</v>
      </c>
      <c r="AE228" t="s" s="0">
        <v>81</v>
      </c>
      <c r="AF228" t="s" s="0">
        <v>81</v>
      </c>
      <c r="AG228" t="s" s="0">
        <v>5346</v>
      </c>
      <c r="AH228" t="s" s="0">
        <v>81</v>
      </c>
      <c r="AI228" t="s" s="0">
        <v>5347</v>
      </c>
      <c r="AJ228" t="s" s="0">
        <v>81</v>
      </c>
      <c r="AK228" t="s" s="0">
        <v>81</v>
      </c>
      <c r="AL228" t="s" s="0">
        <v>1232</v>
      </c>
      <c r="AM228" t="s" s="0">
        <v>77</v>
      </c>
      <c r="AN228" t="s" s="0">
        <v>77</v>
      </c>
      <c r="AO228" t="s" s="0">
        <v>77</v>
      </c>
      <c r="AP228" t="s" s="0">
        <v>77</v>
      </c>
      <c r="AQ228" t="s" s="0">
        <v>353</v>
      </c>
      <c r="AR228" t="s" s="0">
        <v>354</v>
      </c>
      <c r="AS228" t="s" s="0">
        <v>355</v>
      </c>
      <c r="AT228" t="s" s="0">
        <v>81</v>
      </c>
      <c r="AU228" t="s" s="0">
        <v>1025</v>
      </c>
      <c r="AV228" t="s" s="0">
        <v>81</v>
      </c>
      <c r="AW228" t="s" s="0">
        <v>1026</v>
      </c>
      <c r="AX228" t="s" s="0">
        <v>1027</v>
      </c>
      <c r="AY228" t="s" s="0">
        <v>5348</v>
      </c>
      <c r="AZ228" t="s" s="0">
        <v>144</v>
      </c>
      <c r="BA228" t="s" s="0">
        <v>210</v>
      </c>
      <c r="BB228" t="s" s="0">
        <v>81</v>
      </c>
      <c r="BC228" t="s" s="0">
        <v>81</v>
      </c>
      <c r="BD228" t="s" s="0">
        <v>81</v>
      </c>
      <c r="BE228" t="s" s="0">
        <v>81</v>
      </c>
      <c r="BF228" t="s" s="0">
        <v>81</v>
      </c>
      <c r="BG228" t="s" s="0">
        <v>81</v>
      </c>
      <c r="BH228" t="s" s="0">
        <v>81</v>
      </c>
      <c r="BI228" t="s" s="0">
        <v>5349</v>
      </c>
      <c r="BJ228" t="s" s="0">
        <v>5350</v>
      </c>
      <c r="BK228" t="s" s="451">
        <f>HYPERLINK("http://dx.doi.org/10.3389/fdgth.2026.1769467","http://dx.doi.org/10.3389/fdgth.2026.1769467")</f>
        <v>5351</v>
      </c>
      <c r="BL228" t="s" s="0">
        <v>81</v>
      </c>
      <c r="BM228" t="s" s="0">
        <v>295</v>
      </c>
      <c r="BN228" t="s" s="0">
        <v>320</v>
      </c>
      <c r="BO228" t="s" s="0">
        <v>116</v>
      </c>
      <c r="BP228" t="s" s="0">
        <v>116</v>
      </c>
      <c r="BQ228" t="s" s="0">
        <v>5352</v>
      </c>
      <c r="BR228" t="s" s="0">
        <v>5353</v>
      </c>
      <c r="BS228" t="s" s="0">
        <v>5354</v>
      </c>
      <c r="BT228" t="s" s="452">
        <f>HYPERLINK("https://www.webofscience.com/wos/woscc/full-record/WOS:001791261300001","View Record in Web of Science")</f>
        <v>120</v>
      </c>
      <c r="BU228" t="s" s="0">
        <v>121</v>
      </c>
      <c r="BV228" t="s" s="0">
        <v>81</v>
      </c>
      <c r="BW228" t="s" s="0">
        <v>81</v>
      </c>
      <c r="BX228" t="s" s="0">
        <v>122</v>
      </c>
    </row>
    <row r="229">
      <c r="A229" t="s" s="0">
        <v>169</v>
      </c>
      <c r="B229" t="s" s="0">
        <v>77</v>
      </c>
      <c r="C229" t="s" s="0">
        <v>101</v>
      </c>
      <c r="D229" t="s" s="0">
        <v>77</v>
      </c>
      <c r="E229" t="s" s="0">
        <v>5355</v>
      </c>
      <c r="F229" t="s" s="0">
        <v>5356</v>
      </c>
      <c r="G229" t="s" s="0">
        <v>5357</v>
      </c>
      <c r="H229" t="s" s="0">
        <v>81</v>
      </c>
      <c r="I229" t="s" s="0">
        <v>82</v>
      </c>
      <c r="J229" t="s" s="0">
        <v>5358</v>
      </c>
      <c r="K229" t="s" s="0">
        <v>5359</v>
      </c>
      <c r="L229" t="s" s="0">
        <v>5360</v>
      </c>
      <c r="M229" t="s" s="0">
        <v>5360</v>
      </c>
      <c r="N229" t="s" s="0">
        <v>5361</v>
      </c>
      <c r="O229" t="s" s="0">
        <v>5362</v>
      </c>
      <c r="P229" t="s" s="0">
        <v>5363</v>
      </c>
      <c r="Q229" t="s" s="0">
        <v>90</v>
      </c>
      <c r="R229" t="s" s="0">
        <v>81</v>
      </c>
      <c r="S229" t="s" s="0">
        <v>81</v>
      </c>
      <c r="T229" t="s" s="0">
        <v>81</v>
      </c>
      <c r="U229" t="s" s="0">
        <v>81</v>
      </c>
      <c r="V229" t="s" s="0">
        <v>5364</v>
      </c>
      <c r="W229" t="s" s="0">
        <v>3339</v>
      </c>
      <c r="X229" t="s" s="0">
        <v>81</v>
      </c>
      <c r="Y229" t="s" s="0">
        <v>81</v>
      </c>
      <c r="Z229" t="s" s="0">
        <v>93</v>
      </c>
      <c r="AA229" t="s" s="0">
        <v>94</v>
      </c>
      <c r="AB229" t="s" s="0">
        <v>81</v>
      </c>
      <c r="AC229" t="s" s="0">
        <v>81</v>
      </c>
      <c r="AD229" t="s" s="0">
        <v>81</v>
      </c>
      <c r="AE229" t="s" s="0">
        <v>81</v>
      </c>
      <c r="AF229" t="s" s="0">
        <v>81</v>
      </c>
      <c r="AG229" t="s" s="0">
        <v>5365</v>
      </c>
      <c r="AH229" t="s" s="0">
        <v>81</v>
      </c>
      <c r="AI229" t="s" s="0">
        <v>81</v>
      </c>
      <c r="AJ229" t="s" s="0">
        <v>81</v>
      </c>
      <c r="AK229" t="s" s="0">
        <v>81</v>
      </c>
      <c r="AL229" t="s" s="0">
        <v>199</v>
      </c>
      <c r="AM229" t="s" s="0">
        <v>438</v>
      </c>
      <c r="AN229" t="s" s="0">
        <v>1232</v>
      </c>
      <c r="AO229" t="s" s="0">
        <v>99</v>
      </c>
      <c r="AP229" t="s" s="0">
        <v>944</v>
      </c>
      <c r="AQ229" t="s" s="0">
        <v>321</v>
      </c>
      <c r="AR229" t="s" s="0">
        <v>322</v>
      </c>
      <c r="AS229" t="s" s="0">
        <v>323</v>
      </c>
      <c r="AT229" t="s" s="0">
        <v>3341</v>
      </c>
      <c r="AU229" t="s" s="0">
        <v>81</v>
      </c>
      <c r="AV229" t="s" s="0">
        <v>81</v>
      </c>
      <c r="AW229" t="s" s="0">
        <v>3342</v>
      </c>
      <c r="AX229" t="s" s="0">
        <v>3343</v>
      </c>
      <c r="AY229" t="s" s="0">
        <v>5366</v>
      </c>
      <c r="AZ229" t="s" s="0">
        <v>592</v>
      </c>
      <c r="BA229" t="s" s="0">
        <v>509</v>
      </c>
      <c r="BB229" t="s" s="0">
        <v>169</v>
      </c>
      <c r="BC229" t="s" s="0">
        <v>81</v>
      </c>
      <c r="BD229" t="s" s="0">
        <v>81</v>
      </c>
      <c r="BE229" t="s" s="0">
        <v>81</v>
      </c>
      <c r="BF229" t="s" s="0">
        <v>81</v>
      </c>
      <c r="BG229" t="s" s="0">
        <v>81</v>
      </c>
      <c r="BH229" t="s" s="0">
        <v>81</v>
      </c>
      <c r="BI229" t="s" s="0">
        <v>5367</v>
      </c>
      <c r="BJ229" t="s" s="0">
        <v>5368</v>
      </c>
      <c r="BK229" t="s" s="453">
        <f>HYPERLINK("http://dx.doi.org/10.1038/s41598-024-81052-3","http://dx.doi.org/10.1038/s41598-024-81052-3")</f>
        <v>5369</v>
      </c>
      <c r="BL229" t="s" s="0">
        <v>81</v>
      </c>
      <c r="BM229" t="s" s="0">
        <v>81</v>
      </c>
      <c r="BN229" t="s" s="0">
        <v>210</v>
      </c>
      <c r="BO229" t="s" s="0">
        <v>638</v>
      </c>
      <c r="BP229" t="s" s="0">
        <v>639</v>
      </c>
      <c r="BQ229" t="s" s="0">
        <v>5370</v>
      </c>
      <c r="BR229" t="s" s="0">
        <v>5371</v>
      </c>
      <c r="BS229" t="s" s="0">
        <v>5372</v>
      </c>
      <c r="BT229" t="s" s="454">
        <f>HYPERLINK("https://www.webofscience.com/wos/woscc/full-record/WOS:001386148600046","View Record in Web of Science")</f>
        <v>120</v>
      </c>
      <c r="BU229" t="s" s="0">
        <v>121</v>
      </c>
      <c r="BV229" t="s" s="0">
        <v>81</v>
      </c>
      <c r="BW229" t="s" s="0">
        <v>81</v>
      </c>
      <c r="BX229" t="s" s="0">
        <v>122</v>
      </c>
    </row>
    <row r="230">
      <c r="A230" t="s" s="0">
        <v>77</v>
      </c>
      <c r="B230" t="s" s="0">
        <v>77</v>
      </c>
      <c r="C230" t="s" s="0">
        <v>77</v>
      </c>
      <c r="D230" t="s" s="0">
        <v>77</v>
      </c>
      <c r="E230" t="s" s="0">
        <v>5373</v>
      </c>
      <c r="F230" t="s" s="0">
        <v>5374</v>
      </c>
      <c r="G230" t="s" s="0">
        <v>5375</v>
      </c>
      <c r="H230" t="s" s="0">
        <v>81</v>
      </c>
      <c r="I230" t="s" s="0">
        <v>82</v>
      </c>
      <c r="J230" t="s" s="0">
        <v>5376</v>
      </c>
      <c r="K230" t="s" s="0">
        <v>5377</v>
      </c>
      <c r="L230" t="s" s="0">
        <v>5378</v>
      </c>
      <c r="M230" t="s" s="0">
        <v>5379</v>
      </c>
      <c r="N230" t="s" s="0">
        <v>5380</v>
      </c>
      <c r="O230" t="s" s="0">
        <v>5381</v>
      </c>
      <c r="P230" t="s" s="0">
        <v>5382</v>
      </c>
      <c r="Q230" t="s" s="0">
        <v>90</v>
      </c>
      <c r="R230" t="s" s="0">
        <v>81</v>
      </c>
      <c r="S230" t="s" s="0">
        <v>81</v>
      </c>
      <c r="T230" t="s" s="0">
        <v>81</v>
      </c>
      <c r="U230" t="s" s="0">
        <v>81</v>
      </c>
      <c r="V230" t="s" s="0">
        <v>5383</v>
      </c>
      <c r="W230" t="s" s="0">
        <v>317</v>
      </c>
      <c r="X230" t="s" s="0">
        <v>81</v>
      </c>
      <c r="Y230" t="s" s="0">
        <v>81</v>
      </c>
      <c r="Z230" t="s" s="0">
        <v>93</v>
      </c>
      <c r="AA230" t="s" s="0">
        <v>94</v>
      </c>
      <c r="AB230" t="s" s="0">
        <v>81</v>
      </c>
      <c r="AC230" t="s" s="0">
        <v>81</v>
      </c>
      <c r="AD230" t="s" s="0">
        <v>81</v>
      </c>
      <c r="AE230" t="s" s="0">
        <v>81</v>
      </c>
      <c r="AF230" t="s" s="0">
        <v>81</v>
      </c>
      <c r="AG230" t="s" s="0">
        <v>81</v>
      </c>
      <c r="AH230" t="s" s="0">
        <v>5384</v>
      </c>
      <c r="AI230" t="s" s="0">
        <v>5385</v>
      </c>
      <c r="AJ230" t="s" s="0">
        <v>5386</v>
      </c>
      <c r="AK230" t="s" s="0">
        <v>81</v>
      </c>
      <c r="AL230" t="s" s="0">
        <v>2056</v>
      </c>
      <c r="AM230" t="s" s="0">
        <v>77</v>
      </c>
      <c r="AN230" t="s" s="0">
        <v>77</v>
      </c>
      <c r="AO230" t="s" s="0">
        <v>554</v>
      </c>
      <c r="AP230" t="s" s="0">
        <v>554</v>
      </c>
      <c r="AQ230" t="s" s="0">
        <v>321</v>
      </c>
      <c r="AR230" t="s" s="0">
        <v>322</v>
      </c>
      <c r="AS230" t="s" s="0">
        <v>323</v>
      </c>
      <c r="AT230" t="s" s="0">
        <v>324</v>
      </c>
      <c r="AU230" t="s" s="0">
        <v>81</v>
      </c>
      <c r="AV230" t="s" s="0">
        <v>81</v>
      </c>
      <c r="AW230" t="s" s="0">
        <v>325</v>
      </c>
      <c r="AX230" t="s" s="0">
        <v>326</v>
      </c>
      <c r="AY230" t="s" s="0">
        <v>5387</v>
      </c>
      <c r="AZ230" t="s" s="0">
        <v>144</v>
      </c>
      <c r="BA230" t="s" s="0">
        <v>328</v>
      </c>
      <c r="BB230" t="s" s="0">
        <v>169</v>
      </c>
      <c r="BC230" t="s" s="0">
        <v>81</v>
      </c>
      <c r="BD230" t="s" s="0">
        <v>81</v>
      </c>
      <c r="BE230" t="s" s="0">
        <v>81</v>
      </c>
      <c r="BF230" t="s" s="0">
        <v>81</v>
      </c>
      <c r="BG230" t="s" s="0">
        <v>81</v>
      </c>
      <c r="BH230" t="s" s="0">
        <v>81</v>
      </c>
      <c r="BI230" t="s" s="0">
        <v>5388</v>
      </c>
      <c r="BJ230" t="s" s="0">
        <v>5389</v>
      </c>
      <c r="BK230" t="s" s="455">
        <f>HYPERLINK("http://dx.doi.org/10.1038/s41746-026-02537-1","http://dx.doi.org/10.1038/s41746-026-02537-1")</f>
        <v>5390</v>
      </c>
      <c r="BL230" t="s" s="0">
        <v>81</v>
      </c>
      <c r="BM230" t="s" s="0">
        <v>177</v>
      </c>
      <c r="BN230" t="s" s="0">
        <v>102</v>
      </c>
      <c r="BO230" t="s" s="0">
        <v>116</v>
      </c>
      <c r="BP230" t="s" s="0">
        <v>116</v>
      </c>
      <c r="BQ230" t="s" s="0">
        <v>5391</v>
      </c>
      <c r="BR230" t="s" s="0">
        <v>5392</v>
      </c>
      <c r="BS230" t="s" s="0">
        <v>5393</v>
      </c>
      <c r="BT230" t="s" s="456">
        <f>HYPERLINK("https://www.webofscience.com/wos/woscc/full-record/WOS:001754451700001","View Record in Web of Science")</f>
        <v>120</v>
      </c>
      <c r="BU230" t="s" s="0">
        <v>121</v>
      </c>
      <c r="BV230" t="s" s="0">
        <v>81</v>
      </c>
      <c r="BW230" t="s" s="0">
        <v>81</v>
      </c>
      <c r="BX230" t="s" s="0">
        <v>122</v>
      </c>
    </row>
    <row r="231">
      <c r="A231" t="s" s="0">
        <v>77</v>
      </c>
      <c r="B231" t="s" s="0">
        <v>77</v>
      </c>
      <c r="C231" t="s" s="0">
        <v>554</v>
      </c>
      <c r="D231" t="s" s="0">
        <v>77</v>
      </c>
      <c r="E231" t="s" s="0">
        <v>5394</v>
      </c>
      <c r="F231" t="s" s="0">
        <v>5395</v>
      </c>
      <c r="G231" t="s" s="0">
        <v>5396</v>
      </c>
      <c r="H231" t="s" s="0">
        <v>81</v>
      </c>
      <c r="I231" t="s" s="0">
        <v>218</v>
      </c>
      <c r="J231" t="s" s="0">
        <v>5397</v>
      </c>
      <c r="K231" t="s" s="0">
        <v>5398</v>
      </c>
      <c r="L231" t="s" s="0">
        <v>81</v>
      </c>
      <c r="M231" t="s" s="0">
        <v>81</v>
      </c>
      <c r="N231" t="s" s="0">
        <v>81</v>
      </c>
      <c r="O231" t="s" s="0">
        <v>5399</v>
      </c>
      <c r="P231" t="s" s="0">
        <v>5400</v>
      </c>
      <c r="Q231" t="s" s="0">
        <v>90</v>
      </c>
      <c r="R231" t="s" s="0">
        <v>81</v>
      </c>
      <c r="S231" t="s" s="0">
        <v>81</v>
      </c>
      <c r="T231" t="s" s="0">
        <v>81</v>
      </c>
      <c r="U231" t="s" s="0">
        <v>81</v>
      </c>
      <c r="V231" t="s" s="0">
        <v>5401</v>
      </c>
      <c r="W231" t="s" s="0">
        <v>5402</v>
      </c>
      <c r="X231" t="s" s="0">
        <v>81</v>
      </c>
      <c r="Y231" t="s" s="0">
        <v>81</v>
      </c>
      <c r="Z231" t="s" s="0">
        <v>93</v>
      </c>
      <c r="AA231" t="s" s="0">
        <v>94</v>
      </c>
      <c r="AB231" t="s" s="0">
        <v>81</v>
      </c>
      <c r="AC231" t="s" s="0">
        <v>81</v>
      </c>
      <c r="AD231" t="s" s="0">
        <v>81</v>
      </c>
      <c r="AE231" t="s" s="0">
        <v>81</v>
      </c>
      <c r="AF231" t="s" s="0">
        <v>81</v>
      </c>
      <c r="AG231" t="s" s="0">
        <v>4729</v>
      </c>
      <c r="AH231" t="s" s="0">
        <v>81</v>
      </c>
      <c r="AI231" t="s" s="0">
        <v>5403</v>
      </c>
      <c r="AJ231" t="s" s="0">
        <v>81</v>
      </c>
      <c r="AK231" t="s" s="0">
        <v>81</v>
      </c>
      <c r="AL231" t="s" s="0">
        <v>509</v>
      </c>
      <c r="AM231" t="s" s="0">
        <v>145</v>
      </c>
      <c r="AN231" t="s" s="0">
        <v>145</v>
      </c>
      <c r="AO231" t="s" s="0">
        <v>77</v>
      </c>
      <c r="AP231" t="s" s="0">
        <v>360</v>
      </c>
      <c r="AQ231" t="s" s="0">
        <v>2412</v>
      </c>
      <c r="AR231" t="s" s="0">
        <v>2413</v>
      </c>
      <c r="AS231" t="s" s="0">
        <v>2414</v>
      </c>
      <c r="AT231" t="s" s="0">
        <v>5404</v>
      </c>
      <c r="AU231" t="s" s="0">
        <v>5405</v>
      </c>
      <c r="AV231" t="s" s="0">
        <v>81</v>
      </c>
      <c r="AW231" t="s" s="0">
        <v>5406</v>
      </c>
      <c r="AX231" t="s" s="0">
        <v>5407</v>
      </c>
      <c r="AY231" t="s" s="0">
        <v>238</v>
      </c>
      <c r="AZ231" t="s" s="0">
        <v>110</v>
      </c>
      <c r="BA231" t="s" s="0">
        <v>352</v>
      </c>
      <c r="BB231" t="s" s="0">
        <v>386</v>
      </c>
      <c r="BC231" t="s" s="0">
        <v>81</v>
      </c>
      <c r="BD231" t="s" s="0">
        <v>81</v>
      </c>
      <c r="BE231" t="s" s="0">
        <v>81</v>
      </c>
      <c r="BF231" t="s" s="0">
        <v>81</v>
      </c>
      <c r="BG231" t="s" s="0">
        <v>5408</v>
      </c>
      <c r="BH231" t="s" s="0">
        <v>5409</v>
      </c>
      <c r="BI231" t="s" s="0">
        <v>81</v>
      </c>
      <c r="BJ231" t="s" s="0">
        <v>5410</v>
      </c>
      <c r="BK231" t="s" s="457">
        <f>HYPERLINK("http://dx.doi.org/10.1177/15589447241267766","http://dx.doi.org/10.1177/15589447241267766")</f>
        <v>5411</v>
      </c>
      <c r="BL231" t="s" s="0">
        <v>81</v>
      </c>
      <c r="BM231" t="s" s="0">
        <v>4797</v>
      </c>
      <c r="BN231" t="s" s="0">
        <v>328</v>
      </c>
      <c r="BO231" t="s" s="0">
        <v>2705</v>
      </c>
      <c r="BP231" t="s" s="0">
        <v>2705</v>
      </c>
      <c r="BQ231" t="s" s="0">
        <v>5412</v>
      </c>
      <c r="BR231" t="s" s="0">
        <v>5413</v>
      </c>
      <c r="BS231" t="s" s="0">
        <v>5414</v>
      </c>
      <c r="BT231" t="s" s="458">
        <f>HYPERLINK("https://www.webofscience.com/wos/woscc/full-record/WOS:001290575000001","View Record in Web of Science")</f>
        <v>120</v>
      </c>
      <c r="BU231" t="s" s="0">
        <v>5415</v>
      </c>
      <c r="BV231" t="s" s="0">
        <v>81</v>
      </c>
      <c r="BW231" t="s" s="0">
        <v>81</v>
      </c>
      <c r="BX231" t="s" s="0">
        <v>122</v>
      </c>
    </row>
    <row r="232">
      <c r="A232" t="s" s="0">
        <v>77</v>
      </c>
      <c r="B232" t="s" s="0">
        <v>77</v>
      </c>
      <c r="C232" t="s" s="0">
        <v>77</v>
      </c>
      <c r="D232" t="s" s="0">
        <v>77</v>
      </c>
      <c r="E232" t="s" s="0">
        <v>5416</v>
      </c>
      <c r="F232" t="s" s="0">
        <v>5417</v>
      </c>
      <c r="G232" t="s" s="0">
        <v>5418</v>
      </c>
      <c r="H232" t="s" s="0">
        <v>81</v>
      </c>
      <c r="I232" t="s" s="0">
        <v>568</v>
      </c>
      <c r="J232" t="s" s="0">
        <v>5419</v>
      </c>
      <c r="K232" t="s" s="0">
        <v>5420</v>
      </c>
      <c r="L232" t="s" s="0">
        <v>81</v>
      </c>
      <c r="M232" t="s" s="0">
        <v>81</v>
      </c>
      <c r="N232" t="s" s="0">
        <v>128</v>
      </c>
      <c r="O232" t="s" s="0">
        <v>5421</v>
      </c>
      <c r="P232" t="s" s="0">
        <v>5422</v>
      </c>
      <c r="Q232" t="s" s="0">
        <v>90</v>
      </c>
      <c r="R232" t="s" s="0">
        <v>81</v>
      </c>
      <c r="S232" t="s" s="0">
        <v>81</v>
      </c>
      <c r="T232" t="s" s="0">
        <v>81</v>
      </c>
      <c r="U232" t="s" s="0">
        <v>81</v>
      </c>
      <c r="V232" t="s" s="0">
        <v>5423</v>
      </c>
      <c r="W232" t="s" s="0">
        <v>4571</v>
      </c>
      <c r="X232" t="s" s="0">
        <v>81</v>
      </c>
      <c r="Y232" t="s" s="0">
        <v>81</v>
      </c>
      <c r="Z232" t="s" s="0">
        <v>93</v>
      </c>
      <c r="AA232" t="s" s="0">
        <v>94</v>
      </c>
      <c r="AB232" t="s" s="0">
        <v>81</v>
      </c>
      <c r="AC232" t="s" s="0">
        <v>81</v>
      </c>
      <c r="AD232" t="s" s="0">
        <v>81</v>
      </c>
      <c r="AE232" t="s" s="0">
        <v>81</v>
      </c>
      <c r="AF232" t="s" s="0">
        <v>81</v>
      </c>
      <c r="AG232" t="s" s="0">
        <v>5424</v>
      </c>
      <c r="AH232" t="s" s="0">
        <v>81</v>
      </c>
      <c r="AI232" t="s" s="0">
        <v>5425</v>
      </c>
      <c r="AJ232" t="s" s="0">
        <v>81</v>
      </c>
      <c r="AK232" t="s" s="0">
        <v>81</v>
      </c>
      <c r="AL232" t="s" s="0">
        <v>1232</v>
      </c>
      <c r="AM232" t="s" s="0">
        <v>77</v>
      </c>
      <c r="AN232" t="s" s="0">
        <v>77</v>
      </c>
      <c r="AO232" t="s" s="0">
        <v>554</v>
      </c>
      <c r="AP232" t="s" s="0">
        <v>554</v>
      </c>
      <c r="AQ232" t="s" s="0">
        <v>137</v>
      </c>
      <c r="AR232" t="s" s="0">
        <v>138</v>
      </c>
      <c r="AS232" t="s" s="0">
        <v>139</v>
      </c>
      <c r="AT232" t="s" s="0">
        <v>81</v>
      </c>
      <c r="AU232" t="s" s="0">
        <v>4575</v>
      </c>
      <c r="AV232" t="s" s="0">
        <v>81</v>
      </c>
      <c r="AW232" t="s" s="0">
        <v>4576</v>
      </c>
      <c r="AX232" t="s" s="0">
        <v>4577</v>
      </c>
      <c r="AY232" t="s" s="0">
        <v>5426</v>
      </c>
      <c r="AZ232" t="s" s="0">
        <v>144</v>
      </c>
      <c r="BA232" t="s" s="0">
        <v>509</v>
      </c>
      <c r="BB232" t="s" s="0">
        <v>360</v>
      </c>
      <c r="BC232" t="s" s="0">
        <v>81</v>
      </c>
      <c r="BD232" t="s" s="0">
        <v>81</v>
      </c>
      <c r="BE232" t="s" s="0">
        <v>81</v>
      </c>
      <c r="BF232" t="s" s="0">
        <v>81</v>
      </c>
      <c r="BG232" t="s" s="0">
        <v>81</v>
      </c>
      <c r="BH232" t="s" s="0">
        <v>81</v>
      </c>
      <c r="BI232" t="s" s="0">
        <v>5427</v>
      </c>
      <c r="BJ232" t="s" s="0">
        <v>5428</v>
      </c>
      <c r="BK232" t="s" s="459">
        <f>HYPERLINK("http://dx.doi.org/10.3390/healthcare14121769","http://dx.doi.org/10.3390/healthcare14121769")</f>
        <v>5429</v>
      </c>
      <c r="BL232" t="s" s="0">
        <v>81</v>
      </c>
      <c r="BM232" t="s" s="0">
        <v>532</v>
      </c>
      <c r="BN232" t="s" s="0">
        <v>328</v>
      </c>
      <c r="BO232" t="s" s="0">
        <v>4582</v>
      </c>
      <c r="BP232" t="s" s="0">
        <v>2864</v>
      </c>
      <c r="BQ232" t="s" s="0">
        <v>5430</v>
      </c>
      <c r="BR232" t="s" s="0">
        <v>5431</v>
      </c>
      <c r="BS232" t="s" s="0">
        <v>5432</v>
      </c>
      <c r="BT232" t="s" s="460">
        <f>HYPERLINK("https://www.webofscience.com/wos/woscc/full-record/WOS:001803795900001","View Record in Web of Science")</f>
        <v>120</v>
      </c>
      <c r="BU232" t="s" s="0">
        <v>121</v>
      </c>
      <c r="BV232" t="s" s="0">
        <v>81</v>
      </c>
      <c r="BW232" t="s" s="0">
        <v>81</v>
      </c>
      <c r="BX232" t="s" s="0">
        <v>122</v>
      </c>
    </row>
    <row r="233">
      <c r="A233" t="s" s="0">
        <v>77</v>
      </c>
      <c r="B233" t="s" s="0">
        <v>77</v>
      </c>
      <c r="C233" t="s" s="0">
        <v>77</v>
      </c>
      <c r="D233" t="s" s="0">
        <v>77</v>
      </c>
      <c r="E233" t="s" s="0">
        <v>5433</v>
      </c>
      <c r="F233" t="s" s="0">
        <v>5434</v>
      </c>
      <c r="G233" t="s" s="0">
        <v>5435</v>
      </c>
      <c r="H233" t="s" s="0">
        <v>81</v>
      </c>
      <c r="I233" t="s" s="0">
        <v>82</v>
      </c>
      <c r="J233" t="s" s="0">
        <v>5436</v>
      </c>
      <c r="K233" t="s" s="0">
        <v>5437</v>
      </c>
      <c r="L233" t="s" s="0">
        <v>5438</v>
      </c>
      <c r="M233" t="s" s="0">
        <v>5439</v>
      </c>
      <c r="N233" t="s" s="0">
        <v>5440</v>
      </c>
      <c r="O233" t="s" s="0">
        <v>5441</v>
      </c>
      <c r="P233" t="s" s="0">
        <v>5442</v>
      </c>
      <c r="Q233" t="s" s="0">
        <v>90</v>
      </c>
      <c r="R233" t="s" s="0">
        <v>81</v>
      </c>
      <c r="S233" t="s" s="0">
        <v>81</v>
      </c>
      <c r="T233" t="s" s="0">
        <v>81</v>
      </c>
      <c r="U233" t="s" s="0">
        <v>81</v>
      </c>
      <c r="V233" t="s" s="0">
        <v>5443</v>
      </c>
      <c r="W233" t="s" s="0">
        <v>5444</v>
      </c>
      <c r="X233" t="s" s="0">
        <v>81</v>
      </c>
      <c r="Y233" t="s" s="0">
        <v>81</v>
      </c>
      <c r="Z233" t="s" s="0">
        <v>93</v>
      </c>
      <c r="AA233" t="s" s="0">
        <v>94</v>
      </c>
      <c r="AB233" t="s" s="0">
        <v>81</v>
      </c>
      <c r="AC233" t="s" s="0">
        <v>81</v>
      </c>
      <c r="AD233" t="s" s="0">
        <v>81</v>
      </c>
      <c r="AE233" t="s" s="0">
        <v>81</v>
      </c>
      <c r="AF233" t="s" s="0">
        <v>81</v>
      </c>
      <c r="AG233" t="s" s="0">
        <v>81</v>
      </c>
      <c r="AH233" t="s" s="0">
        <v>81</v>
      </c>
      <c r="AI233" t="s" s="0">
        <v>5445</v>
      </c>
      <c r="AJ233" t="s" s="0">
        <v>5446</v>
      </c>
      <c r="AK233" t="s" s="0">
        <v>81</v>
      </c>
      <c r="AL233" t="s" s="0">
        <v>438</v>
      </c>
      <c r="AM233" t="s" s="0">
        <v>77</v>
      </c>
      <c r="AN233" t="s" s="0">
        <v>77</v>
      </c>
      <c r="AO233" t="s" s="0">
        <v>169</v>
      </c>
      <c r="AP233" t="s" s="0">
        <v>169</v>
      </c>
      <c r="AQ233" t="s" s="0">
        <v>1544</v>
      </c>
      <c r="AR233" t="s" s="0">
        <v>1545</v>
      </c>
      <c r="AS233" t="s" s="0">
        <v>1546</v>
      </c>
      <c r="AT233" t="s" s="0">
        <v>5447</v>
      </c>
      <c r="AU233" t="s" s="0">
        <v>5448</v>
      </c>
      <c r="AV233" t="s" s="0">
        <v>81</v>
      </c>
      <c r="AW233" t="s" s="0">
        <v>5449</v>
      </c>
      <c r="AX233" t="s" s="0">
        <v>5450</v>
      </c>
      <c r="AY233" t="s" s="0">
        <v>5451</v>
      </c>
      <c r="AZ233" t="s" s="0">
        <v>110</v>
      </c>
      <c r="BA233" t="s" s="0">
        <v>2026</v>
      </c>
      <c r="BB233" t="s" s="0">
        <v>320</v>
      </c>
      <c r="BC233" t="s" s="0">
        <v>81</v>
      </c>
      <c r="BD233" t="s" s="0">
        <v>81</v>
      </c>
      <c r="BE233" t="s" s="0">
        <v>81</v>
      </c>
      <c r="BF233" t="s" s="0">
        <v>81</v>
      </c>
      <c r="BG233" t="s" s="0">
        <v>81</v>
      </c>
      <c r="BH233" t="s" s="0">
        <v>81</v>
      </c>
      <c r="BI233" t="s" s="0">
        <v>5452</v>
      </c>
      <c r="BJ233" t="s" s="0">
        <v>5453</v>
      </c>
      <c r="BK233" t="s" s="461">
        <f>HYPERLINK("http://dx.doi.org/10.1111/exd.70175","http://dx.doi.org/10.1111/exd.70175")</f>
        <v>5454</v>
      </c>
      <c r="BL233" t="s" s="0">
        <v>81</v>
      </c>
      <c r="BM233" t="s" s="0">
        <v>81</v>
      </c>
      <c r="BN233" t="s" s="0">
        <v>102</v>
      </c>
      <c r="BO233" t="s" s="0">
        <v>4676</v>
      </c>
      <c r="BP233" t="s" s="0">
        <v>4676</v>
      </c>
      <c r="BQ233" t="s" s="0">
        <v>5455</v>
      </c>
      <c r="BR233" t="s" s="0">
        <v>5456</v>
      </c>
      <c r="BS233" t="s" s="0">
        <v>5457</v>
      </c>
      <c r="BT233" t="s" s="462">
        <f>HYPERLINK("https://www.webofscience.com/wos/woscc/full-record/WOS:001614016400001","View Record in Web of Science")</f>
        <v>120</v>
      </c>
      <c r="BU233" t="s" s="0">
        <v>306</v>
      </c>
      <c r="BV233" t="s" s="0">
        <v>81</v>
      </c>
      <c r="BW233" t="s" s="0">
        <v>81</v>
      </c>
      <c r="BX233" t="s" s="0">
        <v>122</v>
      </c>
    </row>
    <row r="234">
      <c r="A234" t="s" s="0">
        <v>169</v>
      </c>
      <c r="B234" t="s" s="0">
        <v>77</v>
      </c>
      <c r="C234" t="s" s="0">
        <v>101</v>
      </c>
      <c r="D234" t="s" s="0">
        <v>77</v>
      </c>
      <c r="E234" t="s" s="0">
        <v>5458</v>
      </c>
      <c r="F234" t="s" s="0">
        <v>5459</v>
      </c>
      <c r="G234" t="s" s="0">
        <v>5460</v>
      </c>
      <c r="H234" t="s" s="0">
        <v>81</v>
      </c>
      <c r="I234" t="s" s="0">
        <v>82</v>
      </c>
      <c r="J234" t="s" s="0">
        <v>5461</v>
      </c>
      <c r="K234" t="s" s="0">
        <v>5462</v>
      </c>
      <c r="L234" t="s" s="0">
        <v>5463</v>
      </c>
      <c r="M234" t="s" s="0">
        <v>5464</v>
      </c>
      <c r="N234" t="s" s="0">
        <v>5465</v>
      </c>
      <c r="O234" t="s" s="0">
        <v>5466</v>
      </c>
      <c r="P234" t="s" s="0">
        <v>5467</v>
      </c>
      <c r="Q234" t="s" s="0">
        <v>90</v>
      </c>
      <c r="R234" t="s" s="0">
        <v>81</v>
      </c>
      <c r="S234" t="s" s="0">
        <v>81</v>
      </c>
      <c r="T234" t="s" s="0">
        <v>81</v>
      </c>
      <c r="U234" t="s" s="0">
        <v>81</v>
      </c>
      <c r="V234" t="s" s="0">
        <v>5468</v>
      </c>
      <c r="W234" t="s" s="0">
        <v>5469</v>
      </c>
      <c r="X234" t="s" s="0">
        <v>81</v>
      </c>
      <c r="Y234" t="s" s="0">
        <v>81</v>
      </c>
      <c r="Z234" t="s" s="0">
        <v>93</v>
      </c>
      <c r="AA234" t="s" s="0">
        <v>94</v>
      </c>
      <c r="AB234" t="s" s="0">
        <v>81</v>
      </c>
      <c r="AC234" t="s" s="0">
        <v>81</v>
      </c>
      <c r="AD234" t="s" s="0">
        <v>81</v>
      </c>
      <c r="AE234" t="s" s="0">
        <v>81</v>
      </c>
      <c r="AF234" t="s" s="0">
        <v>81</v>
      </c>
      <c r="AG234" t="s" s="0">
        <v>5470</v>
      </c>
      <c r="AH234" t="s" s="0">
        <v>81</v>
      </c>
      <c r="AI234" t="s" s="0">
        <v>5471</v>
      </c>
      <c r="AJ234" t="s" s="0">
        <v>5472</v>
      </c>
      <c r="AK234" t="s" s="0">
        <v>81</v>
      </c>
      <c r="AL234" t="s" s="0">
        <v>711</v>
      </c>
      <c r="AM234" t="s" s="0">
        <v>526</v>
      </c>
      <c r="AN234" t="s" s="0">
        <v>352</v>
      </c>
      <c r="AO234" t="s" s="0">
        <v>101</v>
      </c>
      <c r="AP234" t="s" s="0">
        <v>438</v>
      </c>
      <c r="AQ234" t="s" s="0">
        <v>288</v>
      </c>
      <c r="AR234" t="s" s="0">
        <v>289</v>
      </c>
      <c r="AS234" t="s" s="0">
        <v>290</v>
      </c>
      <c r="AT234" t="s" s="0">
        <v>5473</v>
      </c>
      <c r="AU234" t="s" s="0">
        <v>5474</v>
      </c>
      <c r="AV234" t="s" s="0">
        <v>81</v>
      </c>
      <c r="AW234" t="s" s="0">
        <v>5475</v>
      </c>
      <c r="AX234" t="s" s="0">
        <v>5476</v>
      </c>
      <c r="AY234" t="s" s="0">
        <v>1778</v>
      </c>
      <c r="AZ234" t="s" s="0">
        <v>110</v>
      </c>
      <c r="BA234" t="s" s="0">
        <v>5477</v>
      </c>
      <c r="BB234" t="s" s="0">
        <v>81</v>
      </c>
      <c r="BC234" t="s" s="0">
        <v>81</v>
      </c>
      <c r="BD234" t="s" s="0">
        <v>81</v>
      </c>
      <c r="BE234" t="s" s="0">
        <v>81</v>
      </c>
      <c r="BF234" t="s" s="0">
        <v>81</v>
      </c>
      <c r="BG234" t="s" s="0">
        <v>81</v>
      </c>
      <c r="BH234" t="s" s="0">
        <v>81</v>
      </c>
      <c r="BI234" t="s" s="0">
        <v>5478</v>
      </c>
      <c r="BJ234" t="s" s="0">
        <v>5479</v>
      </c>
      <c r="BK234" t="s" s="463">
        <f>HYPERLINK("http://dx.doi.org/10.1016/j.artmed.2025.103078","http://dx.doi.org/10.1016/j.artmed.2025.103078")</f>
        <v>5480</v>
      </c>
      <c r="BL234" t="s" s="0">
        <v>81</v>
      </c>
      <c r="BM234" t="s" s="0">
        <v>1357</v>
      </c>
      <c r="BN234" t="s" s="0">
        <v>320</v>
      </c>
      <c r="BO234" t="s" s="0">
        <v>5481</v>
      </c>
      <c r="BP234" t="s" s="0">
        <v>5482</v>
      </c>
      <c r="BQ234" t="s" s="0">
        <v>5483</v>
      </c>
      <c r="BR234" t="s" s="0">
        <v>5484</v>
      </c>
      <c r="BS234" t="s" s="0">
        <v>5485</v>
      </c>
      <c r="BT234" t="s" s="464">
        <f>HYPERLINK("https://www.webofscience.com/wos/woscc/full-record/WOS:001429469000001","View Record in Web of Science")</f>
        <v>120</v>
      </c>
      <c r="BU234" t="s" s="0">
        <v>306</v>
      </c>
      <c r="BV234" t="s" s="0">
        <v>81</v>
      </c>
      <c r="BW234" t="s" s="0">
        <v>81</v>
      </c>
      <c r="BX234" t="s" s="0">
        <v>122</v>
      </c>
    </row>
    <row r="235">
      <c r="A235" t="s" s="0">
        <v>77</v>
      </c>
      <c r="B235" t="s" s="0">
        <v>77</v>
      </c>
      <c r="C235" t="s" s="0">
        <v>77</v>
      </c>
      <c r="D235" t="s" s="0">
        <v>77</v>
      </c>
      <c r="E235" t="s" s="0">
        <v>5486</v>
      </c>
      <c r="F235" t="s" s="0">
        <v>5487</v>
      </c>
      <c r="G235" t="s" s="0">
        <v>5488</v>
      </c>
      <c r="H235" t="s" s="0">
        <v>81</v>
      </c>
      <c r="I235" t="s" s="0">
        <v>3425</v>
      </c>
      <c r="J235" t="s" s="0">
        <v>5489</v>
      </c>
      <c r="K235" t="s" s="0">
        <v>5490</v>
      </c>
      <c r="L235" t="s" s="0">
        <v>81</v>
      </c>
      <c r="M235" t="s" s="0">
        <v>81</v>
      </c>
      <c r="N235" t="s" s="0">
        <v>81</v>
      </c>
      <c r="O235" t="s" s="0">
        <v>5491</v>
      </c>
      <c r="P235" t="s" s="0">
        <v>5492</v>
      </c>
      <c r="Q235" t="s" s="0">
        <v>90</v>
      </c>
      <c r="R235" t="s" s="0">
        <v>81</v>
      </c>
      <c r="S235" t="s" s="0">
        <v>81</v>
      </c>
      <c r="T235" t="s" s="0">
        <v>81</v>
      </c>
      <c r="U235" t="s" s="0">
        <v>81</v>
      </c>
      <c r="V235" t="s" s="0">
        <v>5493</v>
      </c>
      <c r="W235" t="s" s="0">
        <v>5494</v>
      </c>
      <c r="X235" t="s" s="0">
        <v>81</v>
      </c>
      <c r="Y235" t="s" s="0">
        <v>81</v>
      </c>
      <c r="Z235" t="s" s="0">
        <v>93</v>
      </c>
      <c r="AA235" t="s" s="0">
        <v>94</v>
      </c>
      <c r="AB235" t="s" s="0">
        <v>81</v>
      </c>
      <c r="AC235" t="s" s="0">
        <v>81</v>
      </c>
      <c r="AD235" t="s" s="0">
        <v>81</v>
      </c>
      <c r="AE235" t="s" s="0">
        <v>81</v>
      </c>
      <c r="AF235" t="s" s="0">
        <v>81</v>
      </c>
      <c r="AG235" t="s" s="0">
        <v>5495</v>
      </c>
      <c r="AH235" t="s" s="0">
        <v>2880</v>
      </c>
      <c r="AI235" t="s" s="0">
        <v>5496</v>
      </c>
      <c r="AJ235" t="s" s="0">
        <v>5497</v>
      </c>
      <c r="AK235" t="s" s="0">
        <v>81</v>
      </c>
      <c r="AL235" t="s" s="0">
        <v>946</v>
      </c>
      <c r="AM235" t="s" s="0">
        <v>169</v>
      </c>
      <c r="AN235" t="s" s="0">
        <v>169</v>
      </c>
      <c r="AO235" t="s" s="0">
        <v>99</v>
      </c>
      <c r="AP235" t="s" s="0">
        <v>145</v>
      </c>
      <c r="AQ235" t="s" s="0">
        <v>1544</v>
      </c>
      <c r="AR235" t="s" s="0">
        <v>1545</v>
      </c>
      <c r="AS235" t="s" s="0">
        <v>1546</v>
      </c>
      <c r="AT235" t="s" s="0">
        <v>5498</v>
      </c>
      <c r="AU235" t="s" s="0">
        <v>5499</v>
      </c>
      <c r="AV235" t="s" s="0">
        <v>81</v>
      </c>
      <c r="AW235" t="s" s="0">
        <v>5500</v>
      </c>
      <c r="AX235" t="s" s="0">
        <v>5501</v>
      </c>
      <c r="AY235" t="s" s="0">
        <v>2055</v>
      </c>
      <c r="AZ235" t="s" s="0">
        <v>144</v>
      </c>
      <c r="BA235" t="s" s="0">
        <v>351</v>
      </c>
      <c r="BB235" t="s" s="0">
        <v>169</v>
      </c>
      <c r="BC235" t="s" s="0">
        <v>81</v>
      </c>
      <c r="BD235" t="s" s="0">
        <v>81</v>
      </c>
      <c r="BE235" t="s" s="0">
        <v>81</v>
      </c>
      <c r="BF235" t="s" s="0">
        <v>81</v>
      </c>
      <c r="BG235" t="s" s="0">
        <v>5502</v>
      </c>
      <c r="BH235" t="s" s="0">
        <v>5503</v>
      </c>
      <c r="BI235" t="s" s="0">
        <v>81</v>
      </c>
      <c r="BJ235" t="s" s="0">
        <v>5504</v>
      </c>
      <c r="BK235" t="s" s="465">
        <f>HYPERLINK("http://dx.doi.org/10.1002/hpm.70026","http://dx.doi.org/10.1002/hpm.70026")</f>
        <v>5505</v>
      </c>
      <c r="BL235" t="s" s="0">
        <v>81</v>
      </c>
      <c r="BM235" t="s" s="0">
        <v>666</v>
      </c>
      <c r="BN235" t="s" s="0">
        <v>452</v>
      </c>
      <c r="BO235" t="s" s="0">
        <v>5506</v>
      </c>
      <c r="BP235" t="s" s="0">
        <v>5507</v>
      </c>
      <c r="BQ235" t="s" s="0">
        <v>5508</v>
      </c>
      <c r="BR235" t="s" s="0">
        <v>5509</v>
      </c>
      <c r="BS235" t="s" s="0">
        <v>5510</v>
      </c>
      <c r="BT235" t="s" s="466">
        <f>HYPERLINK("https://www.webofscience.com/wos/woscc/full-record/WOS:001582490100001","View Record in Web of Science")</f>
        <v>120</v>
      </c>
      <c r="BU235" t="s" s="0">
        <v>81</v>
      </c>
      <c r="BV235" t="s" s="0">
        <v>81</v>
      </c>
      <c r="BW235" t="s" s="0">
        <v>81</v>
      </c>
      <c r="BX235" t="s" s="0">
        <v>122</v>
      </c>
    </row>
    <row r="236">
      <c r="A236" t="s" s="0">
        <v>101</v>
      </c>
      <c r="B236" t="s" s="0">
        <v>77</v>
      </c>
      <c r="C236" t="s" s="0">
        <v>101</v>
      </c>
      <c r="D236" t="s" s="0">
        <v>77</v>
      </c>
      <c r="E236" t="s" s="0">
        <v>5511</v>
      </c>
      <c r="F236" t="s" s="0">
        <v>5512</v>
      </c>
      <c r="G236" t="s" s="0">
        <v>5513</v>
      </c>
      <c r="H236" t="s" s="0">
        <v>81</v>
      </c>
      <c r="I236" t="s" s="0">
        <v>82</v>
      </c>
      <c r="J236" t="s" s="0">
        <v>5514</v>
      </c>
      <c r="K236" t="s" s="0">
        <v>5515</v>
      </c>
      <c r="L236" t="s" s="0">
        <v>5516</v>
      </c>
      <c r="M236" t="s" s="0">
        <v>5516</v>
      </c>
      <c r="N236" t="s" s="0">
        <v>5517</v>
      </c>
      <c r="O236" t="s" s="0">
        <v>5518</v>
      </c>
      <c r="P236" t="s" s="0">
        <v>5519</v>
      </c>
      <c r="Q236" t="s" s="0">
        <v>90</v>
      </c>
      <c r="R236" t="s" s="0">
        <v>81</v>
      </c>
      <c r="S236" t="s" s="0">
        <v>81</v>
      </c>
      <c r="T236" t="s" s="0">
        <v>81</v>
      </c>
      <c r="U236" t="s" s="0">
        <v>81</v>
      </c>
      <c r="V236" t="s" s="0">
        <v>5520</v>
      </c>
      <c r="W236" t="s" s="0">
        <v>5521</v>
      </c>
      <c r="X236" t="s" s="0">
        <v>81</v>
      </c>
      <c r="Y236" t="s" s="0">
        <v>81</v>
      </c>
      <c r="Z236" t="s" s="0">
        <v>93</v>
      </c>
      <c r="AA236" t="s" s="0">
        <v>94</v>
      </c>
      <c r="AB236" t="s" s="0">
        <v>81</v>
      </c>
      <c r="AC236" t="s" s="0">
        <v>81</v>
      </c>
      <c r="AD236" t="s" s="0">
        <v>81</v>
      </c>
      <c r="AE236" t="s" s="0">
        <v>81</v>
      </c>
      <c r="AF236" t="s" s="0">
        <v>81</v>
      </c>
      <c r="AG236" t="s" s="0">
        <v>5522</v>
      </c>
      <c r="AH236" t="s" s="0">
        <v>81</v>
      </c>
      <c r="AI236" t="s" s="0">
        <v>5523</v>
      </c>
      <c r="AJ236" t="s" s="0">
        <v>5524</v>
      </c>
      <c r="AK236" t="s" s="0">
        <v>81</v>
      </c>
      <c r="AL236" t="s" s="0">
        <v>1232</v>
      </c>
      <c r="AM236" t="s" s="0">
        <v>145</v>
      </c>
      <c r="AN236" t="s" s="0">
        <v>946</v>
      </c>
      <c r="AO236" t="s" s="0">
        <v>452</v>
      </c>
      <c r="AP236" t="s" s="0">
        <v>319</v>
      </c>
      <c r="AQ236" t="s" s="0">
        <v>1544</v>
      </c>
      <c r="AR236" t="s" s="0">
        <v>1545</v>
      </c>
      <c r="AS236" t="s" s="0">
        <v>1546</v>
      </c>
      <c r="AT236" t="s" s="0">
        <v>5525</v>
      </c>
      <c r="AU236" t="s" s="0">
        <v>5526</v>
      </c>
      <c r="AV236" t="s" s="0">
        <v>81</v>
      </c>
      <c r="AW236" t="s" s="0">
        <v>5527</v>
      </c>
      <c r="AX236" t="s" s="0">
        <v>5528</v>
      </c>
      <c r="AY236" t="s" s="0">
        <v>1062</v>
      </c>
      <c r="AZ236" t="s" s="0">
        <v>110</v>
      </c>
      <c r="BA236" t="s" s="0">
        <v>199</v>
      </c>
      <c r="BB236" t="s" s="0">
        <v>554</v>
      </c>
      <c r="BC236" t="s" s="0">
        <v>81</v>
      </c>
      <c r="BD236" t="s" s="0">
        <v>81</v>
      </c>
      <c r="BE236" t="s" s="0">
        <v>81</v>
      </c>
      <c r="BF236" t="s" s="0">
        <v>81</v>
      </c>
      <c r="BG236" t="s" s="0">
        <v>5529</v>
      </c>
      <c r="BH236" t="s" s="0">
        <v>5530</v>
      </c>
      <c r="BI236" t="s" s="0">
        <v>81</v>
      </c>
      <c r="BJ236" t="s" s="0">
        <v>5531</v>
      </c>
      <c r="BK236" t="s" s="467">
        <f>HYPERLINK("http://dx.doi.org/10.1111/eje.13073","http://dx.doi.org/10.1111/eje.13073")</f>
        <v>5532</v>
      </c>
      <c r="BL236" t="s" s="0">
        <v>81</v>
      </c>
      <c r="BM236" t="s" s="0">
        <v>927</v>
      </c>
      <c r="BN236" t="s" s="0">
        <v>328</v>
      </c>
      <c r="BO236" t="s" s="0">
        <v>5533</v>
      </c>
      <c r="BP236" t="s" s="0">
        <v>5534</v>
      </c>
      <c r="BQ236" t="s" s="0">
        <v>5535</v>
      </c>
      <c r="BR236" t="s" s="0">
        <v>5536</v>
      </c>
      <c r="BS236" t="s" s="0">
        <v>5537</v>
      </c>
      <c r="BT236" t="s" s="468">
        <f>HYPERLINK("https://www.webofscience.com/wos/woscc/full-record/WOS:001410061800001","View Record in Web of Science")</f>
        <v>120</v>
      </c>
      <c r="BU236" t="s" s="0">
        <v>81</v>
      </c>
      <c r="BV236" t="s" s="0">
        <v>81</v>
      </c>
      <c r="BW236" t="s" s="0">
        <v>81</v>
      </c>
      <c r="BX236" t="s" s="0">
        <v>122</v>
      </c>
    </row>
    <row r="237">
      <c r="A237" t="s" s="0">
        <v>77</v>
      </c>
      <c r="B237" t="s" s="0">
        <v>77</v>
      </c>
      <c r="C237" t="s" s="0">
        <v>77</v>
      </c>
      <c r="D237" t="s" s="0">
        <v>77</v>
      </c>
      <c r="E237" t="s" s="0">
        <v>5538</v>
      </c>
      <c r="F237" t="s" s="0">
        <v>5539</v>
      </c>
      <c r="G237" t="s" s="0">
        <v>5540</v>
      </c>
      <c r="H237" t="s" s="0">
        <v>81</v>
      </c>
      <c r="I237" t="s" s="0">
        <v>82</v>
      </c>
      <c r="J237" t="s" s="0">
        <v>5541</v>
      </c>
      <c r="K237" t="s" s="0">
        <v>5542</v>
      </c>
      <c r="L237" t="s" s="0">
        <v>81</v>
      </c>
      <c r="M237" t="s" s="0">
        <v>81</v>
      </c>
      <c r="N237" t="s" s="0">
        <v>81</v>
      </c>
      <c r="O237" t="s" s="0">
        <v>5543</v>
      </c>
      <c r="P237" t="s" s="0">
        <v>5544</v>
      </c>
      <c r="Q237" t="s" s="0">
        <v>90</v>
      </c>
      <c r="R237" t="s" s="0">
        <v>81</v>
      </c>
      <c r="S237" t="s" s="0">
        <v>81</v>
      </c>
      <c r="T237" t="s" s="0">
        <v>81</v>
      </c>
      <c r="U237" t="s" s="0">
        <v>81</v>
      </c>
      <c r="V237" t="s" s="0">
        <v>5545</v>
      </c>
      <c r="W237" t="s" s="0">
        <v>5546</v>
      </c>
      <c r="X237" t="s" s="0">
        <v>81</v>
      </c>
      <c r="Y237" t="s" s="0">
        <v>81</v>
      </c>
      <c r="Z237" t="s" s="0">
        <v>93</v>
      </c>
      <c r="AA237" t="s" s="0">
        <v>196</v>
      </c>
      <c r="AB237" t="s" s="0">
        <v>81</v>
      </c>
      <c r="AC237" t="s" s="0">
        <v>81</v>
      </c>
      <c r="AD237" t="s" s="0">
        <v>81</v>
      </c>
      <c r="AE237" t="s" s="0">
        <v>81</v>
      </c>
      <c r="AF237" t="s" s="0">
        <v>81</v>
      </c>
      <c r="AG237" t="s" s="0">
        <v>81</v>
      </c>
      <c r="AH237" t="s" s="0">
        <v>81</v>
      </c>
      <c r="AI237" t="s" s="0">
        <v>5547</v>
      </c>
      <c r="AJ237" t="s" s="0">
        <v>5548</v>
      </c>
      <c r="AK237" t="s" s="0">
        <v>81</v>
      </c>
      <c r="AL237" t="s" s="0">
        <v>239</v>
      </c>
      <c r="AM237" t="s" s="0">
        <v>169</v>
      </c>
      <c r="AN237" t="s" s="0">
        <v>169</v>
      </c>
      <c r="AO237" t="s" s="0">
        <v>554</v>
      </c>
      <c r="AP237" t="s" s="0">
        <v>554</v>
      </c>
      <c r="AQ237" t="s" s="0">
        <v>5549</v>
      </c>
      <c r="AR237" t="s" s="0">
        <v>1179</v>
      </c>
      <c r="AS237" t="s" s="0">
        <v>5550</v>
      </c>
      <c r="AT237" t="s" s="0">
        <v>5551</v>
      </c>
      <c r="AU237" t="s" s="0">
        <v>5552</v>
      </c>
      <c r="AV237" t="s" s="0">
        <v>81</v>
      </c>
      <c r="AW237" t="s" s="0">
        <v>5553</v>
      </c>
      <c r="AX237" t="s" s="0">
        <v>5554</v>
      </c>
      <c r="AY237" t="s" s="0">
        <v>81</v>
      </c>
      <c r="AZ237" t="s" s="0">
        <v>144</v>
      </c>
      <c r="BA237" t="s" s="0">
        <v>81</v>
      </c>
      <c r="BB237" t="s" s="0">
        <v>81</v>
      </c>
      <c r="BC237" t="s" s="0">
        <v>81</v>
      </c>
      <c r="BD237" t="s" s="0">
        <v>81</v>
      </c>
      <c r="BE237" t="s" s="0">
        <v>81</v>
      </c>
      <c r="BF237" t="s" s="0">
        <v>81</v>
      </c>
      <c r="BG237" t="s" s="0">
        <v>81</v>
      </c>
      <c r="BH237" t="s" s="0">
        <v>81</v>
      </c>
      <c r="BI237" t="s" s="0">
        <v>81</v>
      </c>
      <c r="BJ237" t="s" s="0">
        <v>5555</v>
      </c>
      <c r="BK237" t="s" s="469">
        <f>HYPERLINK("http://dx.doi.org/10.1080/10903127.2026.2668008","http://dx.doi.org/10.1080/10903127.2026.2668008")</f>
        <v>5556</v>
      </c>
      <c r="BL237" t="s" s="0">
        <v>81</v>
      </c>
      <c r="BM237" t="s" s="0">
        <v>295</v>
      </c>
      <c r="BN237" t="s" s="0">
        <v>386</v>
      </c>
      <c r="BO237" t="s" s="0">
        <v>5557</v>
      </c>
      <c r="BP237" t="s" s="0">
        <v>5557</v>
      </c>
      <c r="BQ237" t="s" s="0">
        <v>5558</v>
      </c>
      <c r="BR237" t="s" s="0">
        <v>5559</v>
      </c>
      <c r="BS237" t="s" s="0">
        <v>5560</v>
      </c>
      <c r="BT237" t="s" s="470">
        <f>HYPERLINK("https://www.webofscience.com/wos/woscc/full-record/WOS:001767707800001","View Record in Web of Science")</f>
        <v>120</v>
      </c>
      <c r="BU237" t="s" s="0">
        <v>81</v>
      </c>
      <c r="BV237" t="s" s="0">
        <v>81</v>
      </c>
      <c r="BW237" t="s" s="0">
        <v>81</v>
      </c>
      <c r="BX237" t="s" s="0">
        <v>122</v>
      </c>
    </row>
    <row r="238">
      <c r="A238" t="s" s="0">
        <v>77</v>
      </c>
      <c r="B238" t="s" s="0">
        <v>77</v>
      </c>
      <c r="C238" t="s" s="0">
        <v>77</v>
      </c>
      <c r="D238" t="s" s="0">
        <v>77</v>
      </c>
      <c r="E238" t="s" s="0">
        <v>5561</v>
      </c>
      <c r="F238" t="s" s="0">
        <v>5562</v>
      </c>
      <c r="G238" t="s" s="0">
        <v>5563</v>
      </c>
      <c r="H238" t="s" s="0">
        <v>81</v>
      </c>
      <c r="I238" t="s" s="0">
        <v>82</v>
      </c>
      <c r="J238" t="s" s="0">
        <v>5564</v>
      </c>
      <c r="K238" t="s" s="0">
        <v>5565</v>
      </c>
      <c r="L238" t="s" s="0">
        <v>81</v>
      </c>
      <c r="M238" t="s" s="0">
        <v>81</v>
      </c>
      <c r="N238" t="s" s="0">
        <v>81</v>
      </c>
      <c r="O238" t="s" s="0">
        <v>5566</v>
      </c>
      <c r="P238" t="s" s="0">
        <v>5567</v>
      </c>
      <c r="Q238" t="s" s="0">
        <v>90</v>
      </c>
      <c r="R238" t="s" s="0">
        <v>81</v>
      </c>
      <c r="S238" t="s" s="0">
        <v>81</v>
      </c>
      <c r="T238" t="s" s="0">
        <v>81</v>
      </c>
      <c r="U238" t="s" s="0">
        <v>81</v>
      </c>
      <c r="V238" t="s" s="0">
        <v>5568</v>
      </c>
      <c r="W238" t="s" s="0">
        <v>5569</v>
      </c>
      <c r="X238" t="s" s="0">
        <v>81</v>
      </c>
      <c r="Y238" t="s" s="0">
        <v>81</v>
      </c>
      <c r="Z238" t="s" s="0">
        <v>93</v>
      </c>
      <c r="AA238" t="s" s="0">
        <v>94</v>
      </c>
      <c r="AB238" t="s" s="0">
        <v>81</v>
      </c>
      <c r="AC238" t="s" s="0">
        <v>81</v>
      </c>
      <c r="AD238" t="s" s="0">
        <v>81</v>
      </c>
      <c r="AE238" t="s" s="0">
        <v>81</v>
      </c>
      <c r="AF238" t="s" s="0">
        <v>81</v>
      </c>
      <c r="AG238" t="s" s="0">
        <v>5570</v>
      </c>
      <c r="AH238" t="s" s="0">
        <v>5571</v>
      </c>
      <c r="AI238" t="s" s="0">
        <v>5572</v>
      </c>
      <c r="AJ238" t="s" s="0">
        <v>81</v>
      </c>
      <c r="AK238" t="s" s="0">
        <v>81</v>
      </c>
      <c r="AL238" t="s" s="0">
        <v>412</v>
      </c>
      <c r="AM238" t="s" s="0">
        <v>101</v>
      </c>
      <c r="AN238" t="s" s="0">
        <v>101</v>
      </c>
      <c r="AO238" t="s" s="0">
        <v>77</v>
      </c>
      <c r="AP238" t="s" s="0">
        <v>99</v>
      </c>
      <c r="AQ238" t="s" s="0">
        <v>4469</v>
      </c>
      <c r="AR238" t="s" s="0">
        <v>1179</v>
      </c>
      <c r="AS238" t="s" s="0">
        <v>4470</v>
      </c>
      <c r="AT238" t="s" s="0">
        <v>5573</v>
      </c>
      <c r="AU238" t="s" s="0">
        <v>5574</v>
      </c>
      <c r="AV238" t="s" s="0">
        <v>81</v>
      </c>
      <c r="AW238" t="s" s="0">
        <v>5575</v>
      </c>
      <c r="AX238" t="s" s="0">
        <v>5576</v>
      </c>
      <c r="AY238" t="s" s="0">
        <v>209</v>
      </c>
      <c r="AZ238" t="s" s="0">
        <v>144</v>
      </c>
      <c r="BA238" t="s" s="0">
        <v>5577</v>
      </c>
      <c r="BB238" t="s" s="0">
        <v>81</v>
      </c>
      <c r="BC238" t="s" s="0">
        <v>81</v>
      </c>
      <c r="BD238" t="s" s="0">
        <v>81</v>
      </c>
      <c r="BE238" t="s" s="0">
        <v>81</v>
      </c>
      <c r="BF238" t="s" s="0">
        <v>81</v>
      </c>
      <c r="BG238" t="s" s="0">
        <v>81</v>
      </c>
      <c r="BH238" t="s" s="0">
        <v>81</v>
      </c>
      <c r="BI238" t="s" s="0">
        <v>5578</v>
      </c>
      <c r="BJ238" t="s" s="0">
        <v>5579</v>
      </c>
      <c r="BK238" t="s" s="471">
        <f>HYPERLINK("http://dx.doi.org/10.1016/j.jcrc.2025.155358","http://dx.doi.org/10.1016/j.jcrc.2025.155358")</f>
        <v>5580</v>
      </c>
      <c r="BL238" t="s" s="0">
        <v>81</v>
      </c>
      <c r="BM238" t="s" s="0">
        <v>801</v>
      </c>
      <c r="BN238" t="s" s="0">
        <v>102</v>
      </c>
      <c r="BO238" t="s" s="0">
        <v>5581</v>
      </c>
      <c r="BP238" t="s" s="0">
        <v>150</v>
      </c>
      <c r="BQ238" t="s" s="0">
        <v>5582</v>
      </c>
      <c r="BR238" t="s" s="0">
        <v>5583</v>
      </c>
      <c r="BS238" t="s" s="0">
        <v>5584</v>
      </c>
      <c r="BT238" t="s" s="472">
        <f>HYPERLINK("https://www.webofscience.com/wos/woscc/full-record/WOS:001625410500001","View Record in Web of Science")</f>
        <v>120</v>
      </c>
      <c r="BU238" t="s" s="0">
        <v>81</v>
      </c>
      <c r="BV238" t="s" s="0">
        <v>81</v>
      </c>
      <c r="BW238" t="s" s="0">
        <v>81</v>
      </c>
      <c r="BX238" t="s" s="0">
        <v>122</v>
      </c>
    </row>
    <row r="239">
      <c r="A239" t="s" s="0">
        <v>77</v>
      </c>
      <c r="B239" t="s" s="0">
        <v>77</v>
      </c>
      <c r="C239" t="s" s="0">
        <v>169</v>
      </c>
      <c r="D239" t="s" s="0">
        <v>77</v>
      </c>
      <c r="E239" t="s" s="0">
        <v>5585</v>
      </c>
      <c r="F239" t="s" s="0">
        <v>5586</v>
      </c>
      <c r="G239" t="s" s="0">
        <v>5587</v>
      </c>
      <c r="H239" t="s" s="0">
        <v>81</v>
      </c>
      <c r="I239" t="s" s="0">
        <v>82</v>
      </c>
      <c r="J239" t="s" s="0">
        <v>5588</v>
      </c>
      <c r="K239" t="s" s="0">
        <v>3865</v>
      </c>
      <c r="L239" t="s" s="0">
        <v>5589</v>
      </c>
      <c r="M239" t="s" s="0">
        <v>5590</v>
      </c>
      <c r="N239" t="s" s="0">
        <v>5591</v>
      </c>
      <c r="O239" t="s" s="0">
        <v>5592</v>
      </c>
      <c r="P239" t="s" s="0">
        <v>5122</v>
      </c>
      <c r="Q239" t="s" s="0">
        <v>90</v>
      </c>
      <c r="R239" t="s" s="0">
        <v>81</v>
      </c>
      <c r="S239" t="s" s="0">
        <v>81</v>
      </c>
      <c r="T239" t="s" s="0">
        <v>81</v>
      </c>
      <c r="U239" t="s" s="0">
        <v>81</v>
      </c>
      <c r="V239" t="s" s="0">
        <v>5593</v>
      </c>
      <c r="W239" t="s" s="0">
        <v>2461</v>
      </c>
      <c r="X239" t="s" s="0">
        <v>81</v>
      </c>
      <c r="Y239" t="s" s="0">
        <v>81</v>
      </c>
      <c r="Z239" t="s" s="0">
        <v>93</v>
      </c>
      <c r="AA239" t="s" s="0">
        <v>94</v>
      </c>
      <c r="AB239" t="s" s="0">
        <v>81</v>
      </c>
      <c r="AC239" t="s" s="0">
        <v>81</v>
      </c>
      <c r="AD239" t="s" s="0">
        <v>81</v>
      </c>
      <c r="AE239" t="s" s="0">
        <v>81</v>
      </c>
      <c r="AF239" t="s" s="0">
        <v>81</v>
      </c>
      <c r="AG239" t="s" s="0">
        <v>5594</v>
      </c>
      <c r="AH239" t="s" s="0">
        <v>81</v>
      </c>
      <c r="AI239" t="s" s="0">
        <v>5595</v>
      </c>
      <c r="AJ239" t="s" s="0">
        <v>5596</v>
      </c>
      <c r="AK239" t="s" s="0">
        <v>81</v>
      </c>
      <c r="AL239" t="s" s="0">
        <v>2056</v>
      </c>
      <c r="AM239" t="s" s="0">
        <v>452</v>
      </c>
      <c r="AN239" t="s" s="0">
        <v>386</v>
      </c>
      <c r="AO239" t="s" s="0">
        <v>100</v>
      </c>
      <c r="AP239" t="s" s="0">
        <v>102</v>
      </c>
      <c r="AQ239" t="s" s="0">
        <v>137</v>
      </c>
      <c r="AR239" t="s" s="0">
        <v>138</v>
      </c>
      <c r="AS239" t="s" s="0">
        <v>139</v>
      </c>
      <c r="AT239" t="s" s="0">
        <v>81</v>
      </c>
      <c r="AU239" t="s" s="0">
        <v>2465</v>
      </c>
      <c r="AV239" t="s" s="0">
        <v>81</v>
      </c>
      <c r="AW239" t="s" s="0">
        <v>2461</v>
      </c>
      <c r="AX239" t="s" s="0">
        <v>2466</v>
      </c>
      <c r="AY239" t="s" s="0">
        <v>5597</v>
      </c>
      <c r="AZ239" t="s" s="0">
        <v>110</v>
      </c>
      <c r="BA239" t="s" s="0">
        <v>360</v>
      </c>
      <c r="BB239" t="s" s="0">
        <v>320</v>
      </c>
      <c r="BC239" t="s" s="0">
        <v>81</v>
      </c>
      <c r="BD239" t="s" s="0">
        <v>81</v>
      </c>
      <c r="BE239" t="s" s="0">
        <v>81</v>
      </c>
      <c r="BF239" t="s" s="0">
        <v>81</v>
      </c>
      <c r="BG239" t="s" s="0">
        <v>81</v>
      </c>
      <c r="BH239" t="s" s="0">
        <v>81</v>
      </c>
      <c r="BI239" t="s" s="0">
        <v>5598</v>
      </c>
      <c r="BJ239" t="s" s="0">
        <v>5599</v>
      </c>
      <c r="BK239" t="s" s="473">
        <f>HYPERLINK("http://dx.doi.org/10.3390/bioengineering12111219","http://dx.doi.org/10.3390/bioengineering12111219")</f>
        <v>5600</v>
      </c>
      <c r="BL239" t="s" s="0">
        <v>81</v>
      </c>
      <c r="BM239" t="s" s="0">
        <v>81</v>
      </c>
      <c r="BN239" t="s" s="0">
        <v>445</v>
      </c>
      <c r="BO239" t="s" s="0">
        <v>2471</v>
      </c>
      <c r="BP239" t="s" s="0">
        <v>2472</v>
      </c>
      <c r="BQ239" t="s" s="0">
        <v>5601</v>
      </c>
      <c r="BR239" t="s" s="0">
        <v>5602</v>
      </c>
      <c r="BS239" t="s" s="0">
        <v>5603</v>
      </c>
      <c r="BT239" t="s" s="474">
        <f>HYPERLINK("https://www.webofscience.com/wos/woscc/full-record/WOS:001624017600001","View Record in Web of Science")</f>
        <v>120</v>
      </c>
      <c r="BU239" t="s" s="0">
        <v>121</v>
      </c>
      <c r="BV239" t="s" s="0">
        <v>81</v>
      </c>
      <c r="BW239" t="s" s="0">
        <v>81</v>
      </c>
      <c r="BX239" t="s" s="0">
        <v>122</v>
      </c>
    </row>
    <row r="240">
      <c r="A240" t="s" s="0">
        <v>77</v>
      </c>
      <c r="B240" t="s" s="0">
        <v>77</v>
      </c>
      <c r="C240" t="s" s="0">
        <v>77</v>
      </c>
      <c r="D240" t="s" s="0">
        <v>77</v>
      </c>
      <c r="E240" t="s" s="0">
        <v>5604</v>
      </c>
      <c r="F240" t="s" s="0">
        <v>5605</v>
      </c>
      <c r="G240" t="s" s="0">
        <v>5606</v>
      </c>
      <c r="H240" t="s" s="0">
        <v>81</v>
      </c>
      <c r="I240" t="s" s="0">
        <v>82</v>
      </c>
      <c r="J240" t="s" s="0">
        <v>5607</v>
      </c>
      <c r="K240" t="s" s="0">
        <v>5608</v>
      </c>
      <c r="L240" t="s" s="0">
        <v>81</v>
      </c>
      <c r="M240" t="s" s="0">
        <v>81</v>
      </c>
      <c r="N240" t="s" s="0">
        <v>81</v>
      </c>
      <c r="O240" t="s" s="0">
        <v>5609</v>
      </c>
      <c r="P240" t="s" s="0">
        <v>5610</v>
      </c>
      <c r="Q240" t="s" s="0">
        <v>90</v>
      </c>
      <c r="R240" t="s" s="0">
        <v>81</v>
      </c>
      <c r="S240" t="s" s="0">
        <v>81</v>
      </c>
      <c r="T240" t="s" s="0">
        <v>81</v>
      </c>
      <c r="U240" t="s" s="0">
        <v>81</v>
      </c>
      <c r="V240" t="s" s="0">
        <v>5611</v>
      </c>
      <c r="W240" t="s" s="0">
        <v>5612</v>
      </c>
      <c r="X240" t="s" s="0">
        <v>81</v>
      </c>
      <c r="Y240" t="s" s="0">
        <v>81</v>
      </c>
      <c r="Z240" t="s" s="0">
        <v>93</v>
      </c>
      <c r="AA240" t="s" s="0">
        <v>196</v>
      </c>
      <c r="AB240" t="s" s="0">
        <v>81</v>
      </c>
      <c r="AC240" t="s" s="0">
        <v>81</v>
      </c>
      <c r="AD240" t="s" s="0">
        <v>81</v>
      </c>
      <c r="AE240" t="s" s="0">
        <v>81</v>
      </c>
      <c r="AF240" t="s" s="0">
        <v>81</v>
      </c>
      <c r="AG240" t="s" s="0">
        <v>5613</v>
      </c>
      <c r="AH240" t="s" s="0">
        <v>81</v>
      </c>
      <c r="AI240" t="s" s="0">
        <v>5614</v>
      </c>
      <c r="AJ240" t="s" s="0">
        <v>5615</v>
      </c>
      <c r="AK240" t="s" s="0">
        <v>81</v>
      </c>
      <c r="AL240" t="s" s="0">
        <v>352</v>
      </c>
      <c r="AM240" t="s" s="0">
        <v>77</v>
      </c>
      <c r="AN240" t="s" s="0">
        <v>77</v>
      </c>
      <c r="AO240" t="s" s="0">
        <v>169</v>
      </c>
      <c r="AP240" t="s" s="0">
        <v>169</v>
      </c>
      <c r="AQ240" t="s" s="0">
        <v>5616</v>
      </c>
      <c r="AR240" t="s" s="0">
        <v>201</v>
      </c>
      <c r="AS240" t="s" s="0">
        <v>5617</v>
      </c>
      <c r="AT240" t="s" s="0">
        <v>5618</v>
      </c>
      <c r="AU240" t="s" s="0">
        <v>5619</v>
      </c>
      <c r="AV240" t="s" s="0">
        <v>81</v>
      </c>
      <c r="AW240" t="s" s="0">
        <v>5620</v>
      </c>
      <c r="AX240" t="s" s="0">
        <v>5621</v>
      </c>
      <c r="AY240" t="s" s="0">
        <v>81</v>
      </c>
      <c r="AZ240" t="s" s="0">
        <v>144</v>
      </c>
      <c r="BA240" t="s" s="0">
        <v>81</v>
      </c>
      <c r="BB240" t="s" s="0">
        <v>81</v>
      </c>
      <c r="BC240" t="s" s="0">
        <v>81</v>
      </c>
      <c r="BD240" t="s" s="0">
        <v>81</v>
      </c>
      <c r="BE240" t="s" s="0">
        <v>81</v>
      </c>
      <c r="BF240" t="s" s="0">
        <v>81</v>
      </c>
      <c r="BG240" t="s" s="0">
        <v>81</v>
      </c>
      <c r="BH240" t="s" s="0">
        <v>81</v>
      </c>
      <c r="BI240" t="s" s="0">
        <v>81</v>
      </c>
      <c r="BJ240" t="s" s="0">
        <v>5622</v>
      </c>
      <c r="BK240" t="s" s="475">
        <f>HYPERLINK("http://dx.doi.org/10.1177/10781552261418957","http://dx.doi.org/10.1177/10781552261418957")</f>
        <v>5623</v>
      </c>
      <c r="BL240" t="s" s="0">
        <v>81</v>
      </c>
      <c r="BM240" t="s" s="0">
        <v>508</v>
      </c>
      <c r="BN240" t="s" s="0">
        <v>210</v>
      </c>
      <c r="BO240" t="s" s="0">
        <v>5624</v>
      </c>
      <c r="BP240" t="s" s="0">
        <v>5624</v>
      </c>
      <c r="BQ240" t="s" s="0">
        <v>5625</v>
      </c>
      <c r="BR240" t="s" s="0">
        <v>5626</v>
      </c>
      <c r="BS240" t="s" s="0">
        <v>5627</v>
      </c>
      <c r="BT240" t="s" s="476">
        <f>HYPERLINK("https://www.webofscience.com/wos/woscc/full-record/WOS:001685365800001","View Record in Web of Science")</f>
        <v>120</v>
      </c>
      <c r="BU240" t="s" s="0">
        <v>2194</v>
      </c>
      <c r="BV240" t="s" s="0">
        <v>81</v>
      </c>
      <c r="BW240" t="s" s="0">
        <v>81</v>
      </c>
      <c r="BX240" t="s" s="0">
        <v>122</v>
      </c>
    </row>
    <row r="241">
      <c r="A241" t="s" s="0">
        <v>169</v>
      </c>
      <c r="B241" t="s" s="0">
        <v>77</v>
      </c>
      <c r="C241" t="s" s="0">
        <v>554</v>
      </c>
      <c r="D241" t="s" s="0">
        <v>77</v>
      </c>
      <c r="E241" t="s" s="0">
        <v>5628</v>
      </c>
      <c r="F241" t="s" s="0">
        <v>5629</v>
      </c>
      <c r="G241" t="s" s="0">
        <v>5630</v>
      </c>
      <c r="H241" t="s" s="0">
        <v>81</v>
      </c>
      <c r="I241" t="s" s="0">
        <v>568</v>
      </c>
      <c r="J241" t="s" s="0">
        <v>5631</v>
      </c>
      <c r="K241" t="s" s="0">
        <v>5632</v>
      </c>
      <c r="L241" t="s" s="0">
        <v>81</v>
      </c>
      <c r="M241" t="s" s="0">
        <v>81</v>
      </c>
      <c r="N241" t="s" s="0">
        <v>81</v>
      </c>
      <c r="O241" t="s" s="0">
        <v>5633</v>
      </c>
      <c r="P241" t="s" s="0">
        <v>5634</v>
      </c>
      <c r="Q241" t="s" s="0">
        <v>90</v>
      </c>
      <c r="R241" t="s" s="0">
        <v>81</v>
      </c>
      <c r="S241" t="s" s="0">
        <v>81</v>
      </c>
      <c r="T241" t="s" s="0">
        <v>81</v>
      </c>
      <c r="U241" t="s" s="0">
        <v>81</v>
      </c>
      <c r="V241" t="s" s="0">
        <v>5635</v>
      </c>
      <c r="W241" t="s" s="0">
        <v>5636</v>
      </c>
      <c r="X241" t="s" s="0">
        <v>81</v>
      </c>
      <c r="Y241" t="s" s="0">
        <v>81</v>
      </c>
      <c r="Z241" t="s" s="0">
        <v>93</v>
      </c>
      <c r="AA241" t="s" s="0">
        <v>94</v>
      </c>
      <c r="AB241" t="s" s="0">
        <v>81</v>
      </c>
      <c r="AC241" t="s" s="0">
        <v>81</v>
      </c>
      <c r="AD241" t="s" s="0">
        <v>81</v>
      </c>
      <c r="AE241" t="s" s="0">
        <v>81</v>
      </c>
      <c r="AF241" t="s" s="0">
        <v>81</v>
      </c>
      <c r="AG241" t="s" s="0">
        <v>5637</v>
      </c>
      <c r="AH241" t="s" s="0">
        <v>81</v>
      </c>
      <c r="AI241" t="s" s="0">
        <v>81</v>
      </c>
      <c r="AJ241" t="s" s="0">
        <v>81</v>
      </c>
      <c r="AK241" t="s" s="0">
        <v>81</v>
      </c>
      <c r="AL241" t="s" s="0">
        <v>946</v>
      </c>
      <c r="AM241" t="s" s="0">
        <v>102</v>
      </c>
      <c r="AN241" t="s" s="0">
        <v>320</v>
      </c>
      <c r="AO241" t="s" s="0">
        <v>77</v>
      </c>
      <c r="AP241" t="s" s="0">
        <v>115</v>
      </c>
      <c r="AQ241" t="s" s="0">
        <v>439</v>
      </c>
      <c r="AR241" t="s" s="0">
        <v>201</v>
      </c>
      <c r="AS241" t="s" s="0">
        <v>440</v>
      </c>
      <c r="AT241" t="s" s="0">
        <v>81</v>
      </c>
      <c r="AU241" t="s" s="0">
        <v>5638</v>
      </c>
      <c r="AV241" t="s" s="0">
        <v>81</v>
      </c>
      <c r="AW241" t="s" s="0">
        <v>5639</v>
      </c>
      <c r="AX241" t="s" s="0">
        <v>5640</v>
      </c>
      <c r="AY241" t="s" s="0">
        <v>5641</v>
      </c>
      <c r="AZ241" t="s" s="0">
        <v>110</v>
      </c>
      <c r="BA241" t="s" s="0">
        <v>393</v>
      </c>
      <c r="BB241" t="s" s="0">
        <v>169</v>
      </c>
      <c r="BC241" t="s" s="0">
        <v>81</v>
      </c>
      <c r="BD241" t="s" s="0">
        <v>81</v>
      </c>
      <c r="BE241" t="s" s="0">
        <v>81</v>
      </c>
      <c r="BF241" t="s" s="0">
        <v>81</v>
      </c>
      <c r="BG241" t="s" s="0">
        <v>81</v>
      </c>
      <c r="BH241" t="s" s="0">
        <v>81</v>
      </c>
      <c r="BI241" t="s" s="0">
        <v>5642</v>
      </c>
      <c r="BJ241" t="s" s="0">
        <v>5643</v>
      </c>
      <c r="BK241" t="s" s="477">
        <f>HYPERLINK("http://dx.doi.org/10.1186/s12909-025-07195-7","http://dx.doi.org/10.1186/s12909-025-07195-7")</f>
        <v>5644</v>
      </c>
      <c r="BL241" t="s" s="0">
        <v>81</v>
      </c>
      <c r="BM241" t="s" s="0">
        <v>81</v>
      </c>
      <c r="BN241" t="s" s="0">
        <v>210</v>
      </c>
      <c r="BO241" t="s" s="0">
        <v>5645</v>
      </c>
      <c r="BP241" t="s" s="0">
        <v>2146</v>
      </c>
      <c r="BQ241" t="s" s="0">
        <v>5646</v>
      </c>
      <c r="BR241" t="s" s="0">
        <v>5647</v>
      </c>
      <c r="BS241" t="s" s="0">
        <v>5648</v>
      </c>
      <c r="BT241" t="s" s="478">
        <f>HYPERLINK("https://www.webofscience.com/wos/woscc/full-record/WOS:001506188400004","View Record in Web of Science")</f>
        <v>120</v>
      </c>
      <c r="BU241" t="s" s="0">
        <v>121</v>
      </c>
      <c r="BV241" t="s" s="0">
        <v>81</v>
      </c>
      <c r="BW241" t="s" s="0">
        <v>81</v>
      </c>
      <c r="BX241" t="s" s="0">
        <v>122</v>
      </c>
    </row>
    <row r="242">
      <c r="A242" t="s" s="0">
        <v>77</v>
      </c>
      <c r="B242" t="s" s="0">
        <v>77</v>
      </c>
      <c r="C242" t="s" s="0">
        <v>77</v>
      </c>
      <c r="D242" t="s" s="0">
        <v>77</v>
      </c>
      <c r="E242" t="s" s="0">
        <v>5649</v>
      </c>
      <c r="F242" t="s" s="0">
        <v>5650</v>
      </c>
      <c r="G242" t="s" s="0">
        <v>5651</v>
      </c>
      <c r="H242" t="s" s="0">
        <v>81</v>
      </c>
      <c r="I242" t="s" s="0">
        <v>82</v>
      </c>
      <c r="J242" t="s" s="0">
        <v>5652</v>
      </c>
      <c r="K242" t="s" s="0">
        <v>5653</v>
      </c>
      <c r="L242" t="s" s="0">
        <v>81</v>
      </c>
      <c r="M242" t="s" s="0">
        <v>81</v>
      </c>
      <c r="N242" t="s" s="0">
        <v>81</v>
      </c>
      <c r="O242" t="s" s="0">
        <v>5654</v>
      </c>
      <c r="P242" t="s" s="0">
        <v>5655</v>
      </c>
      <c r="Q242" t="s" s="0">
        <v>90</v>
      </c>
      <c r="R242" t="s" s="0">
        <v>81</v>
      </c>
      <c r="S242" t="s" s="0">
        <v>81</v>
      </c>
      <c r="T242" t="s" s="0">
        <v>81</v>
      </c>
      <c r="U242" t="s" s="0">
        <v>81</v>
      </c>
      <c r="V242" t="s" s="0">
        <v>5656</v>
      </c>
      <c r="W242" t="s" s="0">
        <v>1925</v>
      </c>
      <c r="X242" t="s" s="0">
        <v>81</v>
      </c>
      <c r="Y242" t="s" s="0">
        <v>81</v>
      </c>
      <c r="Z242" t="s" s="0">
        <v>93</v>
      </c>
      <c r="AA242" t="s" s="0">
        <v>94</v>
      </c>
      <c r="AB242" t="s" s="0">
        <v>81</v>
      </c>
      <c r="AC242" t="s" s="0">
        <v>81</v>
      </c>
      <c r="AD242" t="s" s="0">
        <v>81</v>
      </c>
      <c r="AE242" t="s" s="0">
        <v>81</v>
      </c>
      <c r="AF242" t="s" s="0">
        <v>81</v>
      </c>
      <c r="AG242" t="s" s="0">
        <v>5657</v>
      </c>
      <c r="AH242" t="s" s="0">
        <v>5658</v>
      </c>
      <c r="AI242" t="s" s="0">
        <v>81</v>
      </c>
      <c r="AJ242" t="s" s="0">
        <v>81</v>
      </c>
      <c r="AK242" t="s" s="0">
        <v>81</v>
      </c>
      <c r="AL242" t="s" s="0">
        <v>690</v>
      </c>
      <c r="AM242" t="s" s="0">
        <v>77</v>
      </c>
      <c r="AN242" t="s" s="0">
        <v>77</v>
      </c>
      <c r="AO242" t="s" s="0">
        <v>77</v>
      </c>
      <c r="AP242" t="s" s="0">
        <v>77</v>
      </c>
      <c r="AQ242" t="s" s="0">
        <v>439</v>
      </c>
      <c r="AR242" t="s" s="0">
        <v>201</v>
      </c>
      <c r="AS242" t="s" s="0">
        <v>440</v>
      </c>
      <c r="AT242" t="s" s="0">
        <v>1928</v>
      </c>
      <c r="AU242" t="s" s="0">
        <v>81</v>
      </c>
      <c r="AV242" t="s" s="0">
        <v>81</v>
      </c>
      <c r="AW242" t="s" s="0">
        <v>1925</v>
      </c>
      <c r="AX242" t="s" s="0">
        <v>1929</v>
      </c>
      <c r="AY242" t="s" s="0">
        <v>5659</v>
      </c>
      <c r="AZ242" t="s" s="0">
        <v>144</v>
      </c>
      <c r="BA242" t="s" s="0">
        <v>319</v>
      </c>
      <c r="BB242" t="s" s="0">
        <v>169</v>
      </c>
      <c r="BC242" t="s" s="0">
        <v>81</v>
      </c>
      <c r="BD242" t="s" s="0">
        <v>81</v>
      </c>
      <c r="BE242" t="s" s="0">
        <v>81</v>
      </c>
      <c r="BF242" t="s" s="0">
        <v>81</v>
      </c>
      <c r="BG242" t="s" s="0">
        <v>81</v>
      </c>
      <c r="BH242" t="s" s="0">
        <v>81</v>
      </c>
      <c r="BI242" t="s" s="0">
        <v>5660</v>
      </c>
      <c r="BJ242" t="s" s="0">
        <v>5661</v>
      </c>
      <c r="BK242" t="s" s="479">
        <f>HYPERLINK("http://dx.doi.org/10.1186/s12903-026-08705-9","http://dx.doi.org/10.1186/s12903-026-08705-9")</f>
        <v>5662</v>
      </c>
      <c r="BL242" t="s" s="0">
        <v>81</v>
      </c>
      <c r="BM242" t="s" s="0">
        <v>81</v>
      </c>
      <c r="BN242" t="s" s="0">
        <v>328</v>
      </c>
      <c r="BO242" t="s" s="0">
        <v>1934</v>
      </c>
      <c r="BP242" t="s" s="0">
        <v>1934</v>
      </c>
      <c r="BQ242" t="s" s="0">
        <v>5663</v>
      </c>
      <c r="BR242" t="s" s="0">
        <v>5664</v>
      </c>
      <c r="BS242" t="s" s="0">
        <v>5665</v>
      </c>
      <c r="BT242" t="s" s="480">
        <f>HYPERLINK("https://www.webofscience.com/wos/woscc/full-record/WOS:001849396200004","View Record in Web of Science")</f>
        <v>120</v>
      </c>
      <c r="BU242" t="s" s="0">
        <v>121</v>
      </c>
      <c r="BV242" t="s" s="0">
        <v>81</v>
      </c>
      <c r="BW242" t="s" s="0">
        <v>81</v>
      </c>
      <c r="BX242" t="s" s="0">
        <v>122</v>
      </c>
    </row>
    <row r="243">
      <c r="A243" t="s" s="0">
        <v>77</v>
      </c>
      <c r="B243" t="s" s="0">
        <v>77</v>
      </c>
      <c r="C243" t="s" s="0">
        <v>77</v>
      </c>
      <c r="D243" t="s" s="0">
        <v>77</v>
      </c>
      <c r="E243" t="s" s="0">
        <v>5666</v>
      </c>
      <c r="F243" t="s" s="0">
        <v>5667</v>
      </c>
      <c r="G243" t="s" s="0">
        <v>5668</v>
      </c>
      <c r="H243" t="s" s="0">
        <v>81</v>
      </c>
      <c r="I243" t="s" s="0">
        <v>218</v>
      </c>
      <c r="J243" t="s" s="0">
        <v>5669</v>
      </c>
      <c r="K243" t="s" s="0">
        <v>5670</v>
      </c>
      <c r="L243" t="s" s="0">
        <v>5671</v>
      </c>
      <c r="M243" t="s" s="0">
        <v>5672</v>
      </c>
      <c r="N243" t="s" s="0">
        <v>5673</v>
      </c>
      <c r="O243" t="s" s="0">
        <v>5674</v>
      </c>
      <c r="P243" t="s" s="0">
        <v>4193</v>
      </c>
      <c r="Q243" t="s" s="0">
        <v>90</v>
      </c>
      <c r="R243" t="s" s="0">
        <v>81</v>
      </c>
      <c r="S243" t="s" s="0">
        <v>81</v>
      </c>
      <c r="T243" t="s" s="0">
        <v>81</v>
      </c>
      <c r="U243" t="s" s="0">
        <v>81</v>
      </c>
      <c r="V243" t="s" s="0">
        <v>5675</v>
      </c>
      <c r="W243" t="s" s="0">
        <v>1299</v>
      </c>
      <c r="X243" t="s" s="0">
        <v>81</v>
      </c>
      <c r="Y243" t="s" s="0">
        <v>81</v>
      </c>
      <c r="Z243" t="s" s="0">
        <v>93</v>
      </c>
      <c r="AA243" t="s" s="0">
        <v>94</v>
      </c>
      <c r="AB243" t="s" s="0">
        <v>81</v>
      </c>
      <c r="AC243" t="s" s="0">
        <v>81</v>
      </c>
      <c r="AD243" t="s" s="0">
        <v>81</v>
      </c>
      <c r="AE243" t="s" s="0">
        <v>81</v>
      </c>
      <c r="AF243" t="s" s="0">
        <v>81</v>
      </c>
      <c r="AG243" t="s" s="0">
        <v>5676</v>
      </c>
      <c r="AH243" t="s" s="0">
        <v>81</v>
      </c>
      <c r="AI243" t="s" s="0">
        <v>5677</v>
      </c>
      <c r="AJ243" t="s" s="0">
        <v>5678</v>
      </c>
      <c r="AK243" t="s" s="0">
        <v>81</v>
      </c>
      <c r="AL243" t="s" s="0">
        <v>136</v>
      </c>
      <c r="AM243" t="s" s="0">
        <v>77</v>
      </c>
      <c r="AN243" t="s" s="0">
        <v>77</v>
      </c>
      <c r="AO243" t="s" s="0">
        <v>452</v>
      </c>
      <c r="AP243" t="s" s="0">
        <v>210</v>
      </c>
      <c r="AQ243" t="s" s="0">
        <v>103</v>
      </c>
      <c r="AR243" t="s" s="0">
        <v>104</v>
      </c>
      <c r="AS243" t="s" s="0">
        <v>105</v>
      </c>
      <c r="AT243" t="s" s="0">
        <v>81</v>
      </c>
      <c r="AU243" t="s" s="0">
        <v>1301</v>
      </c>
      <c r="AV243" t="s" s="0">
        <v>81</v>
      </c>
      <c r="AW243" t="s" s="0">
        <v>1299</v>
      </c>
      <c r="AX243" t="s" s="0">
        <v>1299</v>
      </c>
      <c r="AY243" t="s" s="0">
        <v>110</v>
      </c>
      <c r="AZ243" t="s" s="0">
        <v>110</v>
      </c>
      <c r="BA243" t="s" s="0">
        <v>99</v>
      </c>
      <c r="BB243" t="s" s="0">
        <v>81</v>
      </c>
      <c r="BC243" t="s" s="0">
        <v>81</v>
      </c>
      <c r="BD243" t="s" s="0">
        <v>81</v>
      </c>
      <c r="BE243" t="s" s="0">
        <v>81</v>
      </c>
      <c r="BF243" t="s" s="0">
        <v>81</v>
      </c>
      <c r="BG243" t="s" s="0">
        <v>81</v>
      </c>
      <c r="BH243" t="s" s="0">
        <v>81</v>
      </c>
      <c r="BI243" t="s" s="0">
        <v>5679</v>
      </c>
      <c r="BJ243" t="s" s="0">
        <v>5680</v>
      </c>
      <c r="BK243" t="s" s="481">
        <f>HYPERLINK("http://dx.doi.org/10.2196/76372","http://dx.doi.org/10.2196/76372")</f>
        <v>5681</v>
      </c>
      <c r="BL243" t="s" s="0">
        <v>81</v>
      </c>
      <c r="BM243" t="s" s="0">
        <v>81</v>
      </c>
      <c r="BN243" t="s" s="0">
        <v>320</v>
      </c>
      <c r="BO243" t="s" s="0">
        <v>116</v>
      </c>
      <c r="BP243" t="s" s="0">
        <v>116</v>
      </c>
      <c r="BQ243" t="s" s="0">
        <v>5682</v>
      </c>
      <c r="BR243" t="s" s="0">
        <v>5683</v>
      </c>
      <c r="BS243" t="s" s="0">
        <v>5684</v>
      </c>
      <c r="BT243" t="s" s="482">
        <f>HYPERLINK("https://www.webofscience.com/wos/woscc/full-record/WOS:001625277800001","View Record in Web of Science")</f>
        <v>120</v>
      </c>
      <c r="BU243" t="s" s="0">
        <v>121</v>
      </c>
      <c r="BV243" t="s" s="0">
        <v>81</v>
      </c>
      <c r="BW243" t="s" s="0">
        <v>81</v>
      </c>
      <c r="BX243" t="s" s="0">
        <v>122</v>
      </c>
    </row>
    <row r="244">
      <c r="A244" t="s" s="0">
        <v>77</v>
      </c>
      <c r="B244" t="s" s="0">
        <v>77</v>
      </c>
      <c r="C244" t="s" s="0">
        <v>77</v>
      </c>
      <c r="D244" t="s" s="0">
        <v>77</v>
      </c>
      <c r="E244" t="s" s="0">
        <v>4778</v>
      </c>
      <c r="F244" t="s" s="0">
        <v>5685</v>
      </c>
      <c r="G244" t="s" s="0">
        <v>4780</v>
      </c>
      <c r="H244" t="s" s="0">
        <v>81</v>
      </c>
      <c r="I244" t="s" s="0">
        <v>218</v>
      </c>
      <c r="J244" t="s" s="0">
        <v>5686</v>
      </c>
      <c r="K244" t="s" s="0">
        <v>5687</v>
      </c>
      <c r="L244" t="s" s="0">
        <v>81</v>
      </c>
      <c r="M244" t="s" s="0">
        <v>81</v>
      </c>
      <c r="N244" t="s" s="0">
        <v>81</v>
      </c>
      <c r="O244" t="s" s="0">
        <v>5688</v>
      </c>
      <c r="P244" t="s" s="0">
        <v>4784</v>
      </c>
      <c r="Q244" t="s" s="0">
        <v>90</v>
      </c>
      <c r="R244" t="s" s="0">
        <v>81</v>
      </c>
      <c r="S244" t="s" s="0">
        <v>81</v>
      </c>
      <c r="T244" t="s" s="0">
        <v>81</v>
      </c>
      <c r="U244" t="s" s="0">
        <v>81</v>
      </c>
      <c r="V244" t="s" s="0">
        <v>5689</v>
      </c>
      <c r="W244" t="s" s="0">
        <v>5690</v>
      </c>
      <c r="X244" t="s" s="0">
        <v>81</v>
      </c>
      <c r="Y244" t="s" s="0">
        <v>81</v>
      </c>
      <c r="Z244" t="s" s="0">
        <v>93</v>
      </c>
      <c r="AA244" t="s" s="0">
        <v>94</v>
      </c>
      <c r="AB244" t="s" s="0">
        <v>81</v>
      </c>
      <c r="AC244" t="s" s="0">
        <v>81</v>
      </c>
      <c r="AD244" t="s" s="0">
        <v>81</v>
      </c>
      <c r="AE244" t="s" s="0">
        <v>81</v>
      </c>
      <c r="AF244" t="s" s="0">
        <v>81</v>
      </c>
      <c r="AG244" t="s" s="0">
        <v>5691</v>
      </c>
      <c r="AH244" t="s" s="0">
        <v>81</v>
      </c>
      <c r="AI244" t="s" s="0">
        <v>81</v>
      </c>
      <c r="AJ244" t="s" s="0">
        <v>81</v>
      </c>
      <c r="AK244" t="s" s="0">
        <v>81</v>
      </c>
      <c r="AL244" t="s" s="0">
        <v>445</v>
      </c>
      <c r="AM244" t="s" s="0">
        <v>77</v>
      </c>
      <c r="AN244" t="s" s="0">
        <v>77</v>
      </c>
      <c r="AO244" t="s" s="0">
        <v>77</v>
      </c>
      <c r="AP244" t="s" s="0">
        <v>77</v>
      </c>
      <c r="AQ244" t="s" s="0">
        <v>5692</v>
      </c>
      <c r="AR244" t="s" s="0">
        <v>5693</v>
      </c>
      <c r="AS244" t="s" s="0">
        <v>5694</v>
      </c>
      <c r="AT244" t="s" s="0">
        <v>5695</v>
      </c>
      <c r="AU244" t="s" s="0">
        <v>5696</v>
      </c>
      <c r="AV244" t="s" s="0">
        <v>81</v>
      </c>
      <c r="AW244" t="s" s="0">
        <v>5697</v>
      </c>
      <c r="AX244" t="s" s="0">
        <v>5698</v>
      </c>
      <c r="AY244" t="s" s="0">
        <v>5699</v>
      </c>
      <c r="AZ244" t="s" s="0">
        <v>144</v>
      </c>
      <c r="BA244" t="s" s="0">
        <v>1232</v>
      </c>
      <c r="BB244" t="s" s="0">
        <v>101</v>
      </c>
      <c r="BC244" t="s" s="0">
        <v>81</v>
      </c>
      <c r="BD244" t="s" s="0">
        <v>81</v>
      </c>
      <c r="BE244" t="s" s="0">
        <v>81</v>
      </c>
      <c r="BF244" t="s" s="0">
        <v>81</v>
      </c>
      <c r="BG244" t="s" s="0">
        <v>81</v>
      </c>
      <c r="BH244" t="s" s="0">
        <v>81</v>
      </c>
      <c r="BI244" t="s" s="0">
        <v>5700</v>
      </c>
      <c r="BJ244" t="s" s="0">
        <v>5701</v>
      </c>
      <c r="BK244" t="s" s="483">
        <f>HYPERLINK("http://dx.doi.org/10.18549/PharmPract.2026.3.3652","http://dx.doi.org/10.18549/PharmPract.2026.3.3652")</f>
        <v>5702</v>
      </c>
      <c r="BL244" t="s" s="0">
        <v>81</v>
      </c>
      <c r="BM244" t="s" s="0">
        <v>81</v>
      </c>
      <c r="BN244" t="s" s="0">
        <v>5703</v>
      </c>
      <c r="BO244" t="s" s="0">
        <v>4798</v>
      </c>
      <c r="BP244" t="s" s="0">
        <v>4798</v>
      </c>
      <c r="BQ244" t="s" s="0">
        <v>5704</v>
      </c>
      <c r="BR244" t="s" s="0">
        <v>81</v>
      </c>
      <c r="BS244" t="s" s="0">
        <v>5705</v>
      </c>
      <c r="BT244" t="s" s="484">
        <f>HYPERLINK("https://www.webofscience.com/wos/woscc/full-record/WOS:001852933100001","View Record in Web of Science")</f>
        <v>120</v>
      </c>
      <c r="BU244" t="s" s="0">
        <v>1216</v>
      </c>
      <c r="BV244" t="s" s="0">
        <v>81</v>
      </c>
      <c r="BW244" t="s" s="0">
        <v>81</v>
      </c>
      <c r="BX244" t="s" s="0">
        <v>122</v>
      </c>
    </row>
    <row r="245">
      <c r="A245" t="s" s="0">
        <v>77</v>
      </c>
      <c r="B245" t="s" s="0">
        <v>77</v>
      </c>
      <c r="C245" t="s" s="0">
        <v>77</v>
      </c>
      <c r="D245" t="s" s="0">
        <v>77</v>
      </c>
      <c r="E245" t="s" s="0">
        <v>5706</v>
      </c>
      <c r="F245" t="s" s="0">
        <v>5707</v>
      </c>
      <c r="G245" t="s" s="0">
        <v>5708</v>
      </c>
      <c r="H245" t="s" s="0">
        <v>81</v>
      </c>
      <c r="I245" t="s" s="0">
        <v>82</v>
      </c>
      <c r="J245" t="s" s="0">
        <v>5709</v>
      </c>
      <c r="K245" t="s" s="0">
        <v>5710</v>
      </c>
      <c r="L245" t="s" s="0">
        <v>5711</v>
      </c>
      <c r="M245" t="s" s="0">
        <v>5712</v>
      </c>
      <c r="N245" t="s" s="0">
        <v>5713</v>
      </c>
      <c r="O245" t="s" s="0">
        <v>5714</v>
      </c>
      <c r="P245" t="s" s="0">
        <v>5715</v>
      </c>
      <c r="Q245" t="s" s="0">
        <v>90</v>
      </c>
      <c r="R245" t="s" s="0">
        <v>81</v>
      </c>
      <c r="S245" t="s" s="0">
        <v>81</v>
      </c>
      <c r="T245" t="s" s="0">
        <v>81</v>
      </c>
      <c r="U245" t="s" s="0">
        <v>81</v>
      </c>
      <c r="V245" t="s" s="0">
        <v>5716</v>
      </c>
      <c r="W245" t="s" s="0">
        <v>5717</v>
      </c>
      <c r="X245" t="s" s="0">
        <v>81</v>
      </c>
      <c r="Y245" t="s" s="0">
        <v>81</v>
      </c>
      <c r="Z245" t="s" s="0">
        <v>93</v>
      </c>
      <c r="AA245" t="s" s="0">
        <v>94</v>
      </c>
      <c r="AB245" t="s" s="0">
        <v>81</v>
      </c>
      <c r="AC245" t="s" s="0">
        <v>81</v>
      </c>
      <c r="AD245" t="s" s="0">
        <v>81</v>
      </c>
      <c r="AE245" t="s" s="0">
        <v>81</v>
      </c>
      <c r="AF245" t="s" s="0">
        <v>81</v>
      </c>
      <c r="AG245" t="s" s="0">
        <v>5718</v>
      </c>
      <c r="AH245" t="s" s="0">
        <v>81</v>
      </c>
      <c r="AI245" t="s" s="0">
        <v>81</v>
      </c>
      <c r="AJ245" t="s" s="0">
        <v>5719</v>
      </c>
      <c r="AK245" t="s" s="0">
        <v>81</v>
      </c>
      <c r="AL245" t="s" s="0">
        <v>351</v>
      </c>
      <c r="AM245" t="s" s="0">
        <v>77</v>
      </c>
      <c r="AN245" t="s" s="0">
        <v>77</v>
      </c>
      <c r="AO245" t="s" s="0">
        <v>169</v>
      </c>
      <c r="AP245" t="s" s="0">
        <v>169</v>
      </c>
      <c r="AQ245" t="s" s="0">
        <v>499</v>
      </c>
      <c r="AR245" t="s" s="0">
        <v>500</v>
      </c>
      <c r="AS245" t="s" s="0">
        <v>501</v>
      </c>
      <c r="AT245" t="s" s="0">
        <v>5720</v>
      </c>
      <c r="AU245" t="s" s="0">
        <v>5721</v>
      </c>
      <c r="AV245" t="s" s="0">
        <v>81</v>
      </c>
      <c r="AW245" t="s" s="0">
        <v>5722</v>
      </c>
      <c r="AX245" t="s" s="0">
        <v>5723</v>
      </c>
      <c r="AY245" t="s" s="0">
        <v>5724</v>
      </c>
      <c r="AZ245" t="s" s="0">
        <v>144</v>
      </c>
      <c r="BA245" t="s" s="0">
        <v>98</v>
      </c>
      <c r="BB245" t="s" s="0">
        <v>169</v>
      </c>
      <c r="BC245" t="s" s="0">
        <v>81</v>
      </c>
      <c r="BD245" t="s" s="0">
        <v>81</v>
      </c>
      <c r="BE245" t="s" s="0">
        <v>81</v>
      </c>
      <c r="BF245" t="s" s="0">
        <v>81</v>
      </c>
      <c r="BG245" t="s" s="0">
        <v>81</v>
      </c>
      <c r="BH245" t="s" s="0">
        <v>81</v>
      </c>
      <c r="BI245" t="s" s="0">
        <v>4063</v>
      </c>
      <c r="BJ245" t="s" s="0">
        <v>5725</v>
      </c>
      <c r="BK245" t="s" s="485">
        <f>HYPERLINK("http://dx.doi.org/10.1007/s10916-026-02440-y","http://dx.doi.org/10.1007/s10916-026-02440-y")</f>
        <v>5726</v>
      </c>
      <c r="BL245" t="s" s="0">
        <v>81</v>
      </c>
      <c r="BM245" t="s" s="0">
        <v>81</v>
      </c>
      <c r="BN245" t="s" s="0">
        <v>526</v>
      </c>
      <c r="BO245" t="s" s="0">
        <v>116</v>
      </c>
      <c r="BP245" t="s" s="0">
        <v>116</v>
      </c>
      <c r="BQ245" t="s" s="0">
        <v>5727</v>
      </c>
      <c r="BR245" t="s" s="0">
        <v>5728</v>
      </c>
      <c r="BS245" t="s" s="0">
        <v>5729</v>
      </c>
      <c r="BT245" t="s" s="486">
        <f>HYPERLINK("https://www.webofscience.com/wos/woscc/full-record/WOS:001826355900001","View Record in Web of Science")</f>
        <v>120</v>
      </c>
      <c r="BU245" t="s" s="0">
        <v>81</v>
      </c>
      <c r="BV245" t="s" s="0">
        <v>81</v>
      </c>
      <c r="BW245" t="s" s="0">
        <v>81</v>
      </c>
      <c r="BX245" t="s" s="0">
        <v>122</v>
      </c>
    </row>
    <row r="246">
      <c r="A246" t="s" s="0">
        <v>77</v>
      </c>
      <c r="B246" t="s" s="0">
        <v>77</v>
      </c>
      <c r="C246" t="s" s="0">
        <v>169</v>
      </c>
      <c r="D246" t="s" s="0">
        <v>77</v>
      </c>
      <c r="E246" t="s" s="0">
        <v>5730</v>
      </c>
      <c r="F246" t="s" s="0">
        <v>5731</v>
      </c>
      <c r="G246" t="s" s="0">
        <v>5732</v>
      </c>
      <c r="H246" t="s" s="0">
        <v>81</v>
      </c>
      <c r="I246" t="s" s="0">
        <v>82</v>
      </c>
      <c r="J246" t="s" s="0">
        <v>5733</v>
      </c>
      <c r="K246" t="s" s="0">
        <v>5734</v>
      </c>
      <c r="L246" t="s" s="0">
        <v>5735</v>
      </c>
      <c r="M246" t="s" s="0">
        <v>5736</v>
      </c>
      <c r="N246" t="s" s="0">
        <v>5737</v>
      </c>
      <c r="O246" t="s" s="0">
        <v>5738</v>
      </c>
      <c r="P246" t="s" s="0">
        <v>5739</v>
      </c>
      <c r="Q246" t="s" s="0">
        <v>90</v>
      </c>
      <c r="R246" t="s" s="0">
        <v>81</v>
      </c>
      <c r="S246" t="s" s="0">
        <v>81</v>
      </c>
      <c r="T246" t="s" s="0">
        <v>81</v>
      </c>
      <c r="U246" t="s" s="0">
        <v>81</v>
      </c>
      <c r="V246" t="s" s="0">
        <v>5740</v>
      </c>
      <c r="W246" t="s" s="0">
        <v>2308</v>
      </c>
      <c r="X246" t="s" s="0">
        <v>81</v>
      </c>
      <c r="Y246" t="s" s="0">
        <v>81</v>
      </c>
      <c r="Z246" t="s" s="0">
        <v>93</v>
      </c>
      <c r="AA246" t="s" s="0">
        <v>94</v>
      </c>
      <c r="AB246" t="s" s="0">
        <v>81</v>
      </c>
      <c r="AC246" t="s" s="0">
        <v>81</v>
      </c>
      <c r="AD246" t="s" s="0">
        <v>81</v>
      </c>
      <c r="AE246" t="s" s="0">
        <v>81</v>
      </c>
      <c r="AF246" t="s" s="0">
        <v>81</v>
      </c>
      <c r="AG246" t="s" s="0">
        <v>5741</v>
      </c>
      <c r="AH246" t="s" s="0">
        <v>81</v>
      </c>
      <c r="AI246" t="s" s="0">
        <v>5742</v>
      </c>
      <c r="AJ246" t="s" s="0">
        <v>81</v>
      </c>
      <c r="AK246" t="s" s="0">
        <v>81</v>
      </c>
      <c r="AL246" t="s" s="0">
        <v>553</v>
      </c>
      <c r="AM246" t="s" s="0">
        <v>169</v>
      </c>
      <c r="AN246" t="s" s="0">
        <v>169</v>
      </c>
      <c r="AO246" t="s" s="0">
        <v>169</v>
      </c>
      <c r="AP246" t="s" s="0">
        <v>169</v>
      </c>
      <c r="AQ246" t="s" s="0">
        <v>584</v>
      </c>
      <c r="AR246" t="s" s="0">
        <v>585</v>
      </c>
      <c r="AS246" t="s" s="0">
        <v>586</v>
      </c>
      <c r="AT246" t="s" s="0">
        <v>2312</v>
      </c>
      <c r="AU246" t="s" s="0">
        <v>2313</v>
      </c>
      <c r="AV246" t="s" s="0">
        <v>81</v>
      </c>
      <c r="AW246" t="s" s="0">
        <v>2314</v>
      </c>
      <c r="AX246" t="s" s="0">
        <v>2315</v>
      </c>
      <c r="AY246" t="s" s="0">
        <v>3149</v>
      </c>
      <c r="AZ246" t="s" s="0">
        <v>144</v>
      </c>
      <c r="BA246" t="s" s="0">
        <v>178</v>
      </c>
      <c r="BB246" t="s" s="0">
        <v>81</v>
      </c>
      <c r="BC246" t="s" s="0">
        <v>81</v>
      </c>
      <c r="BD246" t="s" s="0">
        <v>81</v>
      </c>
      <c r="BE246" t="s" s="0">
        <v>81</v>
      </c>
      <c r="BF246" t="s" s="0">
        <v>81</v>
      </c>
      <c r="BG246" t="s" s="0">
        <v>81</v>
      </c>
      <c r="BH246" t="s" s="0">
        <v>81</v>
      </c>
      <c r="BI246" t="s" s="0">
        <v>5743</v>
      </c>
      <c r="BJ246" t="s" s="0">
        <v>5744</v>
      </c>
      <c r="BK246" t="s" s="487">
        <f>HYPERLINK("http://dx.doi.org/10.1016/j.ijmedinf.2026.106424","http://dx.doi.org/10.1016/j.ijmedinf.2026.106424")</f>
        <v>5745</v>
      </c>
      <c r="BL246" t="s" s="0">
        <v>81</v>
      </c>
      <c r="BM246" t="s" s="0">
        <v>209</v>
      </c>
      <c r="BN246" t="s" s="0">
        <v>328</v>
      </c>
      <c r="BO246" t="s" s="0">
        <v>2320</v>
      </c>
      <c r="BP246" t="s" s="0">
        <v>2321</v>
      </c>
      <c r="BQ246" t="s" s="0">
        <v>5746</v>
      </c>
      <c r="BR246" t="s" s="0">
        <v>5747</v>
      </c>
      <c r="BS246" t="s" s="0">
        <v>5748</v>
      </c>
      <c r="BT246" t="s" s="488">
        <f>HYPERLINK("https://www.webofscience.com/wos/woscc/full-record/WOS:001741714700001","View Record in Web of Science")</f>
        <v>120</v>
      </c>
      <c r="BU246" t="s" s="0">
        <v>81</v>
      </c>
      <c r="BV246" t="s" s="0">
        <v>81</v>
      </c>
      <c r="BW246" t="s" s="0">
        <v>81</v>
      </c>
      <c r="BX246" t="s" s="0">
        <v>122</v>
      </c>
    </row>
    <row r="247">
      <c r="A247" t="s" s="0">
        <v>77</v>
      </c>
      <c r="B247" t="s" s="0">
        <v>77</v>
      </c>
      <c r="C247" t="s" s="0">
        <v>77</v>
      </c>
      <c r="D247" t="s" s="0">
        <v>77</v>
      </c>
      <c r="E247" t="s" s="0">
        <v>5749</v>
      </c>
      <c r="F247" t="s" s="0">
        <v>5750</v>
      </c>
      <c r="G247" t="s" s="0">
        <v>5751</v>
      </c>
      <c r="H247" t="s" s="0">
        <v>81</v>
      </c>
      <c r="I247" t="s" s="0">
        <v>218</v>
      </c>
      <c r="J247" t="s" s="0">
        <v>5752</v>
      </c>
      <c r="K247" t="s" s="0">
        <v>5753</v>
      </c>
      <c r="L247" t="s" s="0">
        <v>81</v>
      </c>
      <c r="M247" t="s" s="0">
        <v>81</v>
      </c>
      <c r="N247" t="s" s="0">
        <v>81</v>
      </c>
      <c r="O247" t="s" s="0">
        <v>5754</v>
      </c>
      <c r="P247" t="s" s="0">
        <v>5755</v>
      </c>
      <c r="Q247" t="s" s="0">
        <v>90</v>
      </c>
      <c r="R247" t="s" s="0">
        <v>81</v>
      </c>
      <c r="S247" t="s" s="0">
        <v>81</v>
      </c>
      <c r="T247" t="s" s="0">
        <v>81</v>
      </c>
      <c r="U247" t="s" s="0">
        <v>81</v>
      </c>
      <c r="V247" t="s" s="0">
        <v>5756</v>
      </c>
      <c r="W247" t="s" s="0">
        <v>5757</v>
      </c>
      <c r="X247" t="s" s="0">
        <v>81</v>
      </c>
      <c r="Y247" t="s" s="0">
        <v>81</v>
      </c>
      <c r="Z247" t="s" s="0">
        <v>93</v>
      </c>
      <c r="AA247" t="s" s="0">
        <v>94</v>
      </c>
      <c r="AB247" t="s" s="0">
        <v>81</v>
      </c>
      <c r="AC247" t="s" s="0">
        <v>81</v>
      </c>
      <c r="AD247" t="s" s="0">
        <v>81</v>
      </c>
      <c r="AE247" t="s" s="0">
        <v>81</v>
      </c>
      <c r="AF247" t="s" s="0">
        <v>81</v>
      </c>
      <c r="AG247" t="s" s="0">
        <v>81</v>
      </c>
      <c r="AH247" t="s" s="0">
        <v>5758</v>
      </c>
      <c r="AI247" t="s" s="0">
        <v>5759</v>
      </c>
      <c r="AJ247" t="s" s="0">
        <v>81</v>
      </c>
      <c r="AK247" t="s" s="0">
        <v>81</v>
      </c>
      <c r="AL247" t="s" s="0">
        <v>351</v>
      </c>
      <c r="AM247" t="s" s="0">
        <v>77</v>
      </c>
      <c r="AN247" t="s" s="0">
        <v>77</v>
      </c>
      <c r="AO247" t="s" s="0">
        <v>77</v>
      </c>
      <c r="AP247" t="s" s="0">
        <v>77</v>
      </c>
      <c r="AQ247" t="s" s="0">
        <v>659</v>
      </c>
      <c r="AR247" t="s" s="0">
        <v>660</v>
      </c>
      <c r="AS247" t="s" s="0">
        <v>661</v>
      </c>
      <c r="AT247" t="s" s="0">
        <v>5760</v>
      </c>
      <c r="AU247" t="s" s="0">
        <v>5761</v>
      </c>
      <c r="AV247" t="s" s="0">
        <v>81</v>
      </c>
      <c r="AW247" t="s" s="0">
        <v>5762</v>
      </c>
      <c r="AX247" t="s" s="0">
        <v>5763</v>
      </c>
      <c r="AY247" t="s" s="0">
        <v>143</v>
      </c>
      <c r="AZ247" t="s" s="0">
        <v>144</v>
      </c>
      <c r="BA247" t="s" s="0">
        <v>1451</v>
      </c>
      <c r="BB247" t="s" s="0">
        <v>386</v>
      </c>
      <c r="BC247" t="s" s="0">
        <v>81</v>
      </c>
      <c r="BD247" t="s" s="0">
        <v>81</v>
      </c>
      <c r="BE247" t="s" s="0">
        <v>81</v>
      </c>
      <c r="BF247" t="s" s="0">
        <v>81</v>
      </c>
      <c r="BG247" t="s" s="0">
        <v>5764</v>
      </c>
      <c r="BH247" t="s" s="0">
        <v>5765</v>
      </c>
      <c r="BI247" t="s" s="0">
        <v>81</v>
      </c>
      <c r="BJ247" t="s" s="0">
        <v>5766</v>
      </c>
      <c r="BK247" t="s" s="489">
        <f>HYPERLINK("http://dx.doi.org/10.1016/j.jcjq.2026.03.011","http://dx.doi.org/10.1016/j.jcjq.2026.03.011")</f>
        <v>5767</v>
      </c>
      <c r="BL247" t="s" s="0">
        <v>81</v>
      </c>
      <c r="BM247" t="s" s="0">
        <v>81</v>
      </c>
      <c r="BN247" t="s" s="0">
        <v>386</v>
      </c>
      <c r="BO247" t="s" s="0">
        <v>2864</v>
      </c>
      <c r="BP247" t="s" s="0">
        <v>2864</v>
      </c>
      <c r="BQ247" t="s" s="0">
        <v>5768</v>
      </c>
      <c r="BR247" t="s" s="0">
        <v>5769</v>
      </c>
      <c r="BS247" t="s" s="0">
        <v>5770</v>
      </c>
      <c r="BT247" t="s" s="490">
        <f>HYPERLINK("https://www.webofscience.com/wos/woscc/full-record/WOS:001811298400001","View Record in Web of Science")</f>
        <v>120</v>
      </c>
      <c r="BU247" t="s" s="0">
        <v>81</v>
      </c>
      <c r="BV247" t="s" s="0">
        <v>81</v>
      </c>
      <c r="BW247" t="s" s="0">
        <v>81</v>
      </c>
      <c r="BX247" t="s" s="0">
        <v>122</v>
      </c>
    </row>
    <row r="248">
      <c r="A248" t="s" s="0">
        <v>77</v>
      </c>
      <c r="B248" t="s" s="0">
        <v>77</v>
      </c>
      <c r="C248" t="s" s="0">
        <v>77</v>
      </c>
      <c r="D248" t="s" s="0">
        <v>77</v>
      </c>
      <c r="E248" t="s" s="0">
        <v>5771</v>
      </c>
      <c r="F248" t="s" s="0">
        <v>5772</v>
      </c>
      <c r="G248" t="s" s="0">
        <v>5773</v>
      </c>
      <c r="H248" t="s" s="0">
        <v>81</v>
      </c>
      <c r="I248" t="s" s="0">
        <v>82</v>
      </c>
      <c r="J248" t="s" s="0">
        <v>5774</v>
      </c>
      <c r="K248" t="s" s="0">
        <v>5775</v>
      </c>
      <c r="L248" t="s" s="0">
        <v>5776</v>
      </c>
      <c r="M248" t="s" s="0">
        <v>5777</v>
      </c>
      <c r="N248" t="s" s="0">
        <v>5778</v>
      </c>
      <c r="O248" t="s" s="0">
        <v>5779</v>
      </c>
      <c r="P248" t="s" s="0">
        <v>5780</v>
      </c>
      <c r="Q248" t="s" s="0">
        <v>90</v>
      </c>
      <c r="R248" t="s" s="0">
        <v>81</v>
      </c>
      <c r="S248" t="s" s="0">
        <v>81</v>
      </c>
      <c r="T248" t="s" s="0">
        <v>81</v>
      </c>
      <c r="U248" t="s" s="0">
        <v>81</v>
      </c>
      <c r="V248" t="s" s="0">
        <v>5781</v>
      </c>
      <c r="W248" t="s" s="0">
        <v>5782</v>
      </c>
      <c r="X248" t="s" s="0">
        <v>81</v>
      </c>
      <c r="Y248" t="s" s="0">
        <v>81</v>
      </c>
      <c r="Z248" t="s" s="0">
        <v>93</v>
      </c>
      <c r="AA248" t="s" s="0">
        <v>94</v>
      </c>
      <c r="AB248" t="s" s="0">
        <v>81</v>
      </c>
      <c r="AC248" t="s" s="0">
        <v>81</v>
      </c>
      <c r="AD248" t="s" s="0">
        <v>81</v>
      </c>
      <c r="AE248" t="s" s="0">
        <v>81</v>
      </c>
      <c r="AF248" t="s" s="0">
        <v>81</v>
      </c>
      <c r="AG248" t="s" s="0">
        <v>5783</v>
      </c>
      <c r="AH248" t="s" s="0">
        <v>81</v>
      </c>
      <c r="AI248" t="s" s="0">
        <v>5784</v>
      </c>
      <c r="AJ248" t="s" s="0">
        <v>81</v>
      </c>
      <c r="AK248" t="s" s="0">
        <v>81</v>
      </c>
      <c r="AL248" t="s" s="0">
        <v>438</v>
      </c>
      <c r="AM248" t="s" s="0">
        <v>169</v>
      </c>
      <c r="AN248" t="s" s="0">
        <v>169</v>
      </c>
      <c r="AO248" t="s" s="0">
        <v>554</v>
      </c>
      <c r="AP248" t="s" s="0">
        <v>101</v>
      </c>
      <c r="AQ248" t="s" s="0">
        <v>137</v>
      </c>
      <c r="AR248" t="s" s="0">
        <v>138</v>
      </c>
      <c r="AS248" t="s" s="0">
        <v>139</v>
      </c>
      <c r="AT248" t="s" s="0">
        <v>81</v>
      </c>
      <c r="AU248" t="s" s="0">
        <v>5785</v>
      </c>
      <c r="AV248" t="s" s="0">
        <v>81</v>
      </c>
      <c r="AW248" t="s" s="0">
        <v>5782</v>
      </c>
      <c r="AX248" t="s" s="0">
        <v>5786</v>
      </c>
      <c r="AY248" t="s" s="0">
        <v>5787</v>
      </c>
      <c r="AZ248" t="s" s="0">
        <v>144</v>
      </c>
      <c r="BA248" t="s" s="0">
        <v>265</v>
      </c>
      <c r="BB248" t="s" s="0">
        <v>169</v>
      </c>
      <c r="BC248" t="s" s="0">
        <v>81</v>
      </c>
      <c r="BD248" t="s" s="0">
        <v>81</v>
      </c>
      <c r="BE248" t="s" s="0">
        <v>81</v>
      </c>
      <c r="BF248" t="s" s="0">
        <v>81</v>
      </c>
      <c r="BG248" t="s" s="0">
        <v>81</v>
      </c>
      <c r="BH248" t="s" s="0">
        <v>81</v>
      </c>
      <c r="BI248" t="s" s="0">
        <v>1106</v>
      </c>
      <c r="BJ248" t="s" s="0">
        <v>5788</v>
      </c>
      <c r="BK248" t="s" s="491">
        <f>HYPERLINK("http://dx.doi.org/10.3390/life16010066","http://dx.doi.org/10.3390/life16010066")</f>
        <v>5789</v>
      </c>
      <c r="BL248" t="s" s="0">
        <v>81</v>
      </c>
      <c r="BM248" t="s" s="0">
        <v>81</v>
      </c>
      <c r="BN248" t="s" s="0">
        <v>115</v>
      </c>
      <c r="BO248" t="s" s="0">
        <v>5790</v>
      </c>
      <c r="BP248" t="s" s="0">
        <v>5791</v>
      </c>
      <c r="BQ248" t="s" s="0">
        <v>5792</v>
      </c>
      <c r="BR248" t="s" s="0">
        <v>5793</v>
      </c>
      <c r="BS248" t="s" s="0">
        <v>5794</v>
      </c>
      <c r="BT248" t="s" s="492">
        <f>HYPERLINK("https://www.webofscience.com/wos/woscc/full-record/WOS:001672804900001","View Record in Web of Science")</f>
        <v>120</v>
      </c>
      <c r="BU248" t="s" s="0">
        <v>121</v>
      </c>
      <c r="BV248" t="s" s="0">
        <v>81</v>
      </c>
      <c r="BW248" t="s" s="0">
        <v>81</v>
      </c>
      <c r="BX248" t="s" s="0">
        <v>122</v>
      </c>
    </row>
    <row r="249">
      <c r="A249" t="s" s="0">
        <v>77</v>
      </c>
      <c r="B249" t="s" s="0">
        <v>77</v>
      </c>
      <c r="C249" t="s" s="0">
        <v>77</v>
      </c>
      <c r="D249" t="s" s="0">
        <v>77</v>
      </c>
      <c r="E249" t="s" s="0">
        <v>5795</v>
      </c>
      <c r="F249" t="s" s="0">
        <v>5796</v>
      </c>
      <c r="G249" t="s" s="0">
        <v>5797</v>
      </c>
      <c r="H249" t="s" s="0">
        <v>81</v>
      </c>
      <c r="I249" t="s" s="0">
        <v>82</v>
      </c>
      <c r="J249" t="s" s="0">
        <v>5798</v>
      </c>
      <c r="K249" t="s" s="0">
        <v>3865</v>
      </c>
      <c r="L249" t="s" s="0">
        <v>5799</v>
      </c>
      <c r="M249" t="s" s="0">
        <v>5800</v>
      </c>
      <c r="N249" t="s" s="0">
        <v>5801</v>
      </c>
      <c r="O249" t="s" s="0">
        <v>5802</v>
      </c>
      <c r="P249" t="s" s="0">
        <v>5803</v>
      </c>
      <c r="Q249" t="s" s="0">
        <v>90</v>
      </c>
      <c r="R249" t="s" s="0">
        <v>81</v>
      </c>
      <c r="S249" t="s" s="0">
        <v>81</v>
      </c>
      <c r="T249" t="s" s="0">
        <v>81</v>
      </c>
      <c r="U249" t="s" s="0">
        <v>81</v>
      </c>
      <c r="V249" t="s" s="0">
        <v>5804</v>
      </c>
      <c r="W249" t="s" s="0">
        <v>2461</v>
      </c>
      <c r="X249" t="s" s="0">
        <v>81</v>
      </c>
      <c r="Y249" t="s" s="0">
        <v>81</v>
      </c>
      <c r="Z249" t="s" s="0">
        <v>93</v>
      </c>
      <c r="AA249" t="s" s="0">
        <v>94</v>
      </c>
      <c r="AB249" t="s" s="0">
        <v>81</v>
      </c>
      <c r="AC249" t="s" s="0">
        <v>81</v>
      </c>
      <c r="AD249" t="s" s="0">
        <v>81</v>
      </c>
      <c r="AE249" t="s" s="0">
        <v>81</v>
      </c>
      <c r="AF249" t="s" s="0">
        <v>81</v>
      </c>
      <c r="AG249" t="s" s="0">
        <v>5805</v>
      </c>
      <c r="AH249" t="s" s="0">
        <v>81</v>
      </c>
      <c r="AI249" t="s" s="0">
        <v>5806</v>
      </c>
      <c r="AJ249" t="s" s="0">
        <v>5807</v>
      </c>
      <c r="AK249" t="s" s="0">
        <v>81</v>
      </c>
      <c r="AL249" t="s" s="0">
        <v>1543</v>
      </c>
      <c r="AM249" t="s" s="0">
        <v>99</v>
      </c>
      <c r="AN249" t="s" s="0">
        <v>99</v>
      </c>
      <c r="AO249" t="s" s="0">
        <v>99</v>
      </c>
      <c r="AP249" t="s" s="0">
        <v>115</v>
      </c>
      <c r="AQ249" t="s" s="0">
        <v>137</v>
      </c>
      <c r="AR249" t="s" s="0">
        <v>138</v>
      </c>
      <c r="AS249" t="s" s="0">
        <v>139</v>
      </c>
      <c r="AT249" t="s" s="0">
        <v>81</v>
      </c>
      <c r="AU249" t="s" s="0">
        <v>2465</v>
      </c>
      <c r="AV249" t="s" s="0">
        <v>81</v>
      </c>
      <c r="AW249" t="s" s="0">
        <v>2461</v>
      </c>
      <c r="AX249" t="s" s="0">
        <v>2466</v>
      </c>
      <c r="AY249" t="s" s="0">
        <v>5808</v>
      </c>
      <c r="AZ249" t="s" s="0">
        <v>110</v>
      </c>
      <c r="BA249" t="s" s="0">
        <v>360</v>
      </c>
      <c r="BB249" t="s" s="0">
        <v>386</v>
      </c>
      <c r="BC249" t="s" s="0">
        <v>81</v>
      </c>
      <c r="BD249" t="s" s="0">
        <v>81</v>
      </c>
      <c r="BE249" t="s" s="0">
        <v>81</v>
      </c>
      <c r="BF249" t="s" s="0">
        <v>81</v>
      </c>
      <c r="BG249" t="s" s="0">
        <v>81</v>
      </c>
      <c r="BH249" t="s" s="0">
        <v>81</v>
      </c>
      <c r="BI249" t="s" s="0">
        <v>4156</v>
      </c>
      <c r="BJ249" t="s" s="0">
        <v>5809</v>
      </c>
      <c r="BK249" t="s" s="493">
        <f>HYPERLINK("http://dx.doi.org/10.3390/bioengineering12070706","http://dx.doi.org/10.3390/bioengineering12070706")</f>
        <v>5810</v>
      </c>
      <c r="BL249" t="s" s="0">
        <v>81</v>
      </c>
      <c r="BM249" t="s" s="0">
        <v>81</v>
      </c>
      <c r="BN249" t="s" s="0">
        <v>445</v>
      </c>
      <c r="BO249" t="s" s="0">
        <v>2471</v>
      </c>
      <c r="BP249" t="s" s="0">
        <v>2472</v>
      </c>
      <c r="BQ249" t="s" s="0">
        <v>5811</v>
      </c>
      <c r="BR249" t="s" s="0">
        <v>5812</v>
      </c>
      <c r="BS249" t="s" s="0">
        <v>5813</v>
      </c>
      <c r="BT249" t="s" s="494">
        <f>HYPERLINK("https://www.webofscience.com/wos/woscc/full-record/WOS:001535484800001","View Record in Web of Science")</f>
        <v>120</v>
      </c>
      <c r="BU249" t="s" s="0">
        <v>121</v>
      </c>
      <c r="BV249" t="s" s="0">
        <v>81</v>
      </c>
      <c r="BW249" t="s" s="0">
        <v>81</v>
      </c>
      <c r="BX249" t="s" s="0">
        <v>122</v>
      </c>
    </row>
    <row r="250">
      <c r="A250" t="s" s="0">
        <v>77</v>
      </c>
      <c r="B250" t="s" s="0">
        <v>77</v>
      </c>
      <c r="C250" t="s" s="0">
        <v>77</v>
      </c>
      <c r="D250" t="s" s="0">
        <v>77</v>
      </c>
      <c r="E250" t="s" s="0">
        <v>5814</v>
      </c>
      <c r="F250" t="s" s="0">
        <v>5815</v>
      </c>
      <c r="G250" t="s" s="0">
        <v>5816</v>
      </c>
      <c r="H250" t="s" s="0">
        <v>81</v>
      </c>
      <c r="I250" t="s" s="0">
        <v>82</v>
      </c>
      <c r="J250" t="s" s="0">
        <v>5817</v>
      </c>
      <c r="K250" t="s" s="0">
        <v>5818</v>
      </c>
      <c r="L250" t="s" s="0">
        <v>81</v>
      </c>
      <c r="M250" t="s" s="0">
        <v>81</v>
      </c>
      <c r="N250" t="s" s="0">
        <v>81</v>
      </c>
      <c r="O250" t="s" s="0">
        <v>5819</v>
      </c>
      <c r="P250" t="s" s="0">
        <v>5820</v>
      </c>
      <c r="Q250" t="s" s="0">
        <v>90</v>
      </c>
      <c r="R250" t="s" s="0">
        <v>81</v>
      </c>
      <c r="S250" t="s" s="0">
        <v>81</v>
      </c>
      <c r="T250" t="s" s="0">
        <v>81</v>
      </c>
      <c r="U250" t="s" s="0">
        <v>81</v>
      </c>
      <c r="V250" t="s" s="0">
        <v>5821</v>
      </c>
      <c r="W250" t="s" s="0">
        <v>2044</v>
      </c>
      <c r="X250" t="s" s="0">
        <v>81</v>
      </c>
      <c r="Y250" t="s" s="0">
        <v>81</v>
      </c>
      <c r="Z250" t="s" s="0">
        <v>93</v>
      </c>
      <c r="AA250" t="s" s="0">
        <v>94</v>
      </c>
      <c r="AB250" t="s" s="0">
        <v>81</v>
      </c>
      <c r="AC250" t="s" s="0">
        <v>81</v>
      </c>
      <c r="AD250" t="s" s="0">
        <v>81</v>
      </c>
      <c r="AE250" t="s" s="0">
        <v>81</v>
      </c>
      <c r="AF250" t="s" s="0">
        <v>81</v>
      </c>
      <c r="AG250" t="s" s="0">
        <v>5822</v>
      </c>
      <c r="AH250" t="s" s="0">
        <v>81</v>
      </c>
      <c r="AI250" t="s" s="0">
        <v>5823</v>
      </c>
      <c r="AJ250" t="s" s="0">
        <v>81</v>
      </c>
      <c r="AK250" t="s" s="0">
        <v>81</v>
      </c>
      <c r="AL250" t="s" s="0">
        <v>445</v>
      </c>
      <c r="AM250" t="s" s="0">
        <v>77</v>
      </c>
      <c r="AN250" t="s" s="0">
        <v>77</v>
      </c>
      <c r="AO250" t="s" s="0">
        <v>99</v>
      </c>
      <c r="AP250" t="s" s="0">
        <v>99</v>
      </c>
      <c r="AQ250" t="s" s="0">
        <v>2048</v>
      </c>
      <c r="AR250" t="s" s="0">
        <v>2049</v>
      </c>
      <c r="AS250" t="s" s="0">
        <v>2050</v>
      </c>
      <c r="AT250" t="s" s="0">
        <v>2051</v>
      </c>
      <c r="AU250" t="s" s="0">
        <v>2052</v>
      </c>
      <c r="AV250" t="s" s="0">
        <v>81</v>
      </c>
      <c r="AW250" t="s" s="0">
        <v>2053</v>
      </c>
      <c r="AX250" t="s" s="0">
        <v>2054</v>
      </c>
      <c r="AY250" t="s" s="0">
        <v>209</v>
      </c>
      <c r="AZ250" t="s" s="0">
        <v>144</v>
      </c>
      <c r="BA250" t="s" s="0">
        <v>2056</v>
      </c>
      <c r="BB250" t="s" s="0">
        <v>101</v>
      </c>
      <c r="BC250" t="s" s="0">
        <v>81</v>
      </c>
      <c r="BD250" t="s" s="0">
        <v>81</v>
      </c>
      <c r="BE250" t="s" s="0">
        <v>81</v>
      </c>
      <c r="BF250" t="s" s="0">
        <v>81</v>
      </c>
      <c r="BG250" t="s" s="0">
        <v>5824</v>
      </c>
      <c r="BH250" t="s" s="0">
        <v>5825</v>
      </c>
      <c r="BI250" t="s" s="0">
        <v>81</v>
      </c>
      <c r="BJ250" t="s" s="0">
        <v>5826</v>
      </c>
      <c r="BK250" t="s" s="495">
        <f>HYPERLINK("http://dx.doi.org/10.1016/j.bjoms.2026.01.002","http://dx.doi.org/10.1016/j.bjoms.2026.01.002")</f>
        <v>5827</v>
      </c>
      <c r="BL250" t="s" s="0">
        <v>81</v>
      </c>
      <c r="BM250" t="s" s="0">
        <v>209</v>
      </c>
      <c r="BN250" t="s" s="0">
        <v>386</v>
      </c>
      <c r="BO250" t="s" s="0">
        <v>2059</v>
      </c>
      <c r="BP250" t="s" s="0">
        <v>2059</v>
      </c>
      <c r="BQ250" t="s" s="0">
        <v>5828</v>
      </c>
      <c r="BR250" t="s" s="0">
        <v>5829</v>
      </c>
      <c r="BS250" t="s" s="0">
        <v>5830</v>
      </c>
      <c r="BT250" t="s" s="496">
        <f>HYPERLINK("https://www.webofscience.com/wos/woscc/full-record/WOS:001741290900001","View Record in Web of Science")</f>
        <v>120</v>
      </c>
      <c r="BU250" t="s" s="0">
        <v>306</v>
      </c>
      <c r="BV250" t="s" s="0">
        <v>81</v>
      </c>
      <c r="BW250" t="s" s="0">
        <v>81</v>
      </c>
      <c r="BX250" t="s" s="0">
        <v>122</v>
      </c>
    </row>
    <row r="251">
      <c r="A251" t="s" s="0">
        <v>77</v>
      </c>
      <c r="B251" t="s" s="0">
        <v>77</v>
      </c>
      <c r="C251" t="s" s="0">
        <v>77</v>
      </c>
      <c r="D251" t="s" s="0">
        <v>77</v>
      </c>
      <c r="E251" t="s" s="0">
        <v>5831</v>
      </c>
      <c r="F251" t="s" s="0">
        <v>5832</v>
      </c>
      <c r="G251" t="s" s="0">
        <v>5833</v>
      </c>
      <c r="H251" t="s" s="0">
        <v>81</v>
      </c>
      <c r="I251" t="s" s="0">
        <v>82</v>
      </c>
      <c r="J251" t="s" s="0">
        <v>5834</v>
      </c>
      <c r="K251" t="s" s="0">
        <v>5835</v>
      </c>
      <c r="L251" t="s" s="0">
        <v>5836</v>
      </c>
      <c r="M251" t="s" s="0">
        <v>5837</v>
      </c>
      <c r="N251" t="s" s="0">
        <v>5838</v>
      </c>
      <c r="O251" t="s" s="0">
        <v>5839</v>
      </c>
      <c r="P251" t="s" s="0">
        <v>5840</v>
      </c>
      <c r="Q251" t="s" s="0">
        <v>90</v>
      </c>
      <c r="R251" t="s" s="0">
        <v>81</v>
      </c>
      <c r="S251" t="s" s="0">
        <v>81</v>
      </c>
      <c r="T251" t="s" s="0">
        <v>81</v>
      </c>
      <c r="U251" t="s" s="0">
        <v>81</v>
      </c>
      <c r="V251" t="s" s="0">
        <v>5841</v>
      </c>
      <c r="W251" t="s" s="0">
        <v>256</v>
      </c>
      <c r="X251" t="s" s="0">
        <v>81</v>
      </c>
      <c r="Y251" t="s" s="0">
        <v>81</v>
      </c>
      <c r="Z251" t="s" s="0">
        <v>93</v>
      </c>
      <c r="AA251" t="s" s="0">
        <v>94</v>
      </c>
      <c r="AB251" t="s" s="0">
        <v>81</v>
      </c>
      <c r="AC251" t="s" s="0">
        <v>81</v>
      </c>
      <c r="AD251" t="s" s="0">
        <v>81</v>
      </c>
      <c r="AE251" t="s" s="0">
        <v>81</v>
      </c>
      <c r="AF251" t="s" s="0">
        <v>81</v>
      </c>
      <c r="AG251" t="s" s="0">
        <v>5842</v>
      </c>
      <c r="AH251" t="s" s="0">
        <v>81</v>
      </c>
      <c r="AI251" t="s" s="0">
        <v>5843</v>
      </c>
      <c r="AJ251" t="s" s="0">
        <v>81</v>
      </c>
      <c r="AK251" t="s" s="0">
        <v>81</v>
      </c>
      <c r="AL251" t="s" s="0">
        <v>2026</v>
      </c>
      <c r="AM251" t="s" s="0">
        <v>77</v>
      </c>
      <c r="AN251" t="s" s="0">
        <v>77</v>
      </c>
      <c r="AO251" t="s" s="0">
        <v>169</v>
      </c>
      <c r="AP251" t="s" s="0">
        <v>169</v>
      </c>
      <c r="AQ251" t="s" s="0">
        <v>137</v>
      </c>
      <c r="AR251" t="s" s="0">
        <v>138</v>
      </c>
      <c r="AS251" t="s" s="0">
        <v>139</v>
      </c>
      <c r="AT251" t="s" s="0">
        <v>81</v>
      </c>
      <c r="AU251" t="s" s="0">
        <v>262</v>
      </c>
      <c r="AV251" t="s" s="0">
        <v>81</v>
      </c>
      <c r="AW251" t="s" s="0">
        <v>256</v>
      </c>
      <c r="AX251" t="s" s="0">
        <v>263</v>
      </c>
      <c r="AY251" t="s" s="0">
        <v>1028</v>
      </c>
      <c r="AZ251" t="s" s="0">
        <v>144</v>
      </c>
      <c r="BA251" t="s" s="0">
        <v>265</v>
      </c>
      <c r="BB251" t="s" s="0">
        <v>100</v>
      </c>
      <c r="BC251" t="s" s="0">
        <v>81</v>
      </c>
      <c r="BD251" t="s" s="0">
        <v>81</v>
      </c>
      <c r="BE251" t="s" s="0">
        <v>81</v>
      </c>
      <c r="BF251" t="s" s="0">
        <v>81</v>
      </c>
      <c r="BG251" t="s" s="0">
        <v>81</v>
      </c>
      <c r="BH251" t="s" s="0">
        <v>81</v>
      </c>
      <c r="BI251" t="s" s="0">
        <v>5844</v>
      </c>
      <c r="BJ251" t="s" s="0">
        <v>5845</v>
      </c>
      <c r="BK251" t="s" s="497">
        <f>HYPERLINK("http://dx.doi.org/10.3390/diagnostics16050749","http://dx.doi.org/10.3390/diagnostics16050749")</f>
        <v>5846</v>
      </c>
      <c r="BL251" t="s" s="0">
        <v>81</v>
      </c>
      <c r="BM251" t="s" s="0">
        <v>81</v>
      </c>
      <c r="BN251" t="s" s="0">
        <v>115</v>
      </c>
      <c r="BO251" t="s" s="0">
        <v>149</v>
      </c>
      <c r="BP251" t="s" s="0">
        <v>150</v>
      </c>
      <c r="BQ251" t="s" s="0">
        <v>5847</v>
      </c>
      <c r="BR251" t="s" s="0">
        <v>5848</v>
      </c>
      <c r="BS251" t="s" s="0">
        <v>5849</v>
      </c>
      <c r="BT251" t="s" s="498">
        <f>HYPERLINK("https://www.webofscience.com/wos/woscc/full-record/WOS:001714579800001","View Record in Web of Science")</f>
        <v>120</v>
      </c>
      <c r="BU251" t="s" s="0">
        <v>121</v>
      </c>
      <c r="BV251" t="s" s="0">
        <v>81</v>
      </c>
      <c r="BW251" t="s" s="0">
        <v>81</v>
      </c>
      <c r="BX251" t="s" s="0">
        <v>122</v>
      </c>
    </row>
    <row r="252">
      <c r="A252" t="s" s="0">
        <v>77</v>
      </c>
      <c r="B252" t="s" s="0">
        <v>77</v>
      </c>
      <c r="C252" t="s" s="0">
        <v>169</v>
      </c>
      <c r="D252" t="s" s="0">
        <v>77</v>
      </c>
      <c r="E252" t="s" s="0">
        <v>5850</v>
      </c>
      <c r="F252" t="s" s="0">
        <v>5851</v>
      </c>
      <c r="G252" t="s" s="0">
        <v>5852</v>
      </c>
      <c r="H252" t="s" s="0">
        <v>81</v>
      </c>
      <c r="I252" t="s" s="0">
        <v>218</v>
      </c>
      <c r="J252" t="s" s="0">
        <v>5853</v>
      </c>
      <c r="K252" t="s" s="0">
        <v>5854</v>
      </c>
      <c r="L252" t="s" s="0">
        <v>81</v>
      </c>
      <c r="M252" t="s" s="0">
        <v>81</v>
      </c>
      <c r="N252" t="s" s="0">
        <v>81</v>
      </c>
      <c r="O252" t="s" s="0">
        <v>5855</v>
      </c>
      <c r="P252" t="s" s="0">
        <v>5856</v>
      </c>
      <c r="Q252" t="s" s="0">
        <v>90</v>
      </c>
      <c r="R252" t="s" s="0">
        <v>81</v>
      </c>
      <c r="S252" t="s" s="0">
        <v>81</v>
      </c>
      <c r="T252" t="s" s="0">
        <v>81</v>
      </c>
      <c r="U252" t="s" s="0">
        <v>81</v>
      </c>
      <c r="V252" t="s" s="0">
        <v>5857</v>
      </c>
      <c r="W252" t="s" s="0">
        <v>3457</v>
      </c>
      <c r="X252" t="s" s="0">
        <v>81</v>
      </c>
      <c r="Y252" t="s" s="0">
        <v>81</v>
      </c>
      <c r="Z252" t="s" s="0">
        <v>93</v>
      </c>
      <c r="AA252" t="s" s="0">
        <v>94</v>
      </c>
      <c r="AB252" t="s" s="0">
        <v>81</v>
      </c>
      <c r="AC252" t="s" s="0">
        <v>81</v>
      </c>
      <c r="AD252" t="s" s="0">
        <v>81</v>
      </c>
      <c r="AE252" t="s" s="0">
        <v>81</v>
      </c>
      <c r="AF252" t="s" s="0">
        <v>81</v>
      </c>
      <c r="AG252" t="s" s="0">
        <v>5858</v>
      </c>
      <c r="AH252" t="s" s="0">
        <v>81</v>
      </c>
      <c r="AI252" t="s" s="0">
        <v>81</v>
      </c>
      <c r="AJ252" t="s" s="0">
        <v>5859</v>
      </c>
      <c r="AK252" t="s" s="0">
        <v>81</v>
      </c>
      <c r="AL252" t="s" s="0">
        <v>301</v>
      </c>
      <c r="AM252" t="s" s="0">
        <v>100</v>
      </c>
      <c r="AN252" t="s" s="0">
        <v>386</v>
      </c>
      <c r="AO252" t="s" s="0">
        <v>320</v>
      </c>
      <c r="AP252" t="s" s="0">
        <v>637</v>
      </c>
      <c r="AQ252" t="s" s="0">
        <v>137</v>
      </c>
      <c r="AR252" t="s" s="0">
        <v>138</v>
      </c>
      <c r="AS252" t="s" s="0">
        <v>139</v>
      </c>
      <c r="AT252" t="s" s="0">
        <v>81</v>
      </c>
      <c r="AU252" t="s" s="0">
        <v>5860</v>
      </c>
      <c r="AV252" t="s" s="0">
        <v>81</v>
      </c>
      <c r="AW252" t="s" s="0">
        <v>5861</v>
      </c>
      <c r="AX252" t="s" s="0">
        <v>3457</v>
      </c>
      <c r="AY252" t="s" s="0">
        <v>5862</v>
      </c>
      <c r="AZ252" t="s" s="0">
        <v>110</v>
      </c>
      <c r="BA252" t="s" s="0">
        <v>452</v>
      </c>
      <c r="BB252" t="s" s="0">
        <v>210</v>
      </c>
      <c r="BC252" t="s" s="0">
        <v>81</v>
      </c>
      <c r="BD252" t="s" s="0">
        <v>81</v>
      </c>
      <c r="BE252" t="s" s="0">
        <v>81</v>
      </c>
      <c r="BF252" t="s" s="0">
        <v>81</v>
      </c>
      <c r="BG252" t="s" s="0">
        <v>81</v>
      </c>
      <c r="BH252" t="s" s="0">
        <v>81</v>
      </c>
      <c r="BI252" t="s" s="0">
        <v>5863</v>
      </c>
      <c r="BJ252" t="s" s="0">
        <v>5864</v>
      </c>
      <c r="BK252" t="s" s="499">
        <f>HYPERLINK("http://dx.doi.org/10.3390/ai6080188","http://dx.doi.org/10.3390/ai6080188")</f>
        <v>5865</v>
      </c>
      <c r="BL252" t="s" s="0">
        <v>81</v>
      </c>
      <c r="BM252" t="s" s="0">
        <v>81</v>
      </c>
      <c r="BN252" t="s" s="0">
        <v>438</v>
      </c>
      <c r="BO252" t="s" s="0">
        <v>907</v>
      </c>
      <c r="BP252" t="s" s="0">
        <v>303</v>
      </c>
      <c r="BQ252" t="s" s="0">
        <v>5866</v>
      </c>
      <c r="BR252" t="s" s="0">
        <v>81</v>
      </c>
      <c r="BS252" t="s" s="0">
        <v>5867</v>
      </c>
      <c r="BT252" t="s" s="500">
        <f>HYPERLINK("https://www.webofscience.com/wos/woscc/full-record/WOS:001559530000001","View Record in Web of Science")</f>
        <v>120</v>
      </c>
      <c r="BU252" t="s" s="0">
        <v>121</v>
      </c>
      <c r="BV252" t="s" s="0">
        <v>81</v>
      </c>
      <c r="BW252" t="s" s="0">
        <v>81</v>
      </c>
      <c r="BX252" t="s" s="0">
        <v>122</v>
      </c>
    </row>
    <row r="253">
      <c r="A253" t="s" s="0">
        <v>77</v>
      </c>
      <c r="B253" t="s" s="0">
        <v>77</v>
      </c>
      <c r="C253" t="s" s="0">
        <v>77</v>
      </c>
      <c r="D253" t="s" s="0">
        <v>77</v>
      </c>
      <c r="E253" t="s" s="0">
        <v>5868</v>
      </c>
      <c r="F253" t="s" s="0">
        <v>5869</v>
      </c>
      <c r="G253" t="s" s="0">
        <v>5870</v>
      </c>
      <c r="H253" t="s" s="0">
        <v>81</v>
      </c>
      <c r="I253" t="s" s="0">
        <v>82</v>
      </c>
      <c r="J253" t="s" s="0">
        <v>5871</v>
      </c>
      <c r="K253" t="s" s="0">
        <v>5872</v>
      </c>
      <c r="L253" t="s" s="0">
        <v>5873</v>
      </c>
      <c r="M253" t="s" s="0">
        <v>5874</v>
      </c>
      <c r="N253" t="s" s="0">
        <v>5875</v>
      </c>
      <c r="O253" t="s" s="0">
        <v>5876</v>
      </c>
      <c r="P253" t="s" s="0">
        <v>81</v>
      </c>
      <c r="Q253" t="s" s="0">
        <v>90</v>
      </c>
      <c r="R253" t="s" s="0">
        <v>81</v>
      </c>
      <c r="S253" t="s" s="0">
        <v>81</v>
      </c>
      <c r="T253" t="s" s="0">
        <v>81</v>
      </c>
      <c r="U253" t="s" s="0">
        <v>81</v>
      </c>
      <c r="V253" t="s" s="0">
        <v>5877</v>
      </c>
      <c r="W253" t="s" s="0">
        <v>5878</v>
      </c>
      <c r="X253" t="s" s="0">
        <v>81</v>
      </c>
      <c r="Y253" t="s" s="0">
        <v>81</v>
      </c>
      <c r="Z253" t="s" s="0">
        <v>93</v>
      </c>
      <c r="AA253" t="s" s="0">
        <v>94</v>
      </c>
      <c r="AB253" t="s" s="0">
        <v>81</v>
      </c>
      <c r="AC253" t="s" s="0">
        <v>81</v>
      </c>
      <c r="AD253" t="s" s="0">
        <v>81</v>
      </c>
      <c r="AE253" t="s" s="0">
        <v>81</v>
      </c>
      <c r="AF253" t="s" s="0">
        <v>81</v>
      </c>
      <c r="AG253" t="s" s="0">
        <v>5879</v>
      </c>
      <c r="AH253" t="s" s="0">
        <v>5880</v>
      </c>
      <c r="AI253" t="s" s="0">
        <v>81</v>
      </c>
      <c r="AJ253" t="s" s="0">
        <v>81</v>
      </c>
      <c r="AK253" t="s" s="0">
        <v>81</v>
      </c>
      <c r="AL253" t="s" s="0">
        <v>136</v>
      </c>
      <c r="AM253" t="s" s="0">
        <v>77</v>
      </c>
      <c r="AN253" t="s" s="0">
        <v>77</v>
      </c>
      <c r="AO253" t="s" s="0">
        <v>77</v>
      </c>
      <c r="AP253" t="s" s="0">
        <v>77</v>
      </c>
      <c r="AQ253" t="s" s="0">
        <v>353</v>
      </c>
      <c r="AR253" t="s" s="0">
        <v>354</v>
      </c>
      <c r="AS253" t="s" s="0">
        <v>355</v>
      </c>
      <c r="AT253" t="s" s="0">
        <v>5881</v>
      </c>
      <c r="AU253" t="s" s="0">
        <v>81</v>
      </c>
      <c r="AV253" t="s" s="0">
        <v>81</v>
      </c>
      <c r="AW253" t="s" s="0">
        <v>5882</v>
      </c>
      <c r="AX253" t="s" s="0">
        <v>5883</v>
      </c>
      <c r="AY253" t="s" s="0">
        <v>5884</v>
      </c>
      <c r="AZ253" t="s" s="0">
        <v>144</v>
      </c>
      <c r="BA253" t="s" s="0">
        <v>946</v>
      </c>
      <c r="BB253" t="s" s="0">
        <v>81</v>
      </c>
      <c r="BC253" t="s" s="0">
        <v>81</v>
      </c>
      <c r="BD253" t="s" s="0">
        <v>81</v>
      </c>
      <c r="BE253" t="s" s="0">
        <v>81</v>
      </c>
      <c r="BF253" t="s" s="0">
        <v>81</v>
      </c>
      <c r="BG253" t="s" s="0">
        <v>81</v>
      </c>
      <c r="BH253" t="s" s="0">
        <v>81</v>
      </c>
      <c r="BI253" t="s" s="0">
        <v>5885</v>
      </c>
      <c r="BJ253" t="s" s="0">
        <v>5886</v>
      </c>
      <c r="BK253" t="s" s="501">
        <f>HYPERLINK("http://dx.doi.org/10.3389/fendo.2026.1895366","http://dx.doi.org/10.3389/fendo.2026.1895366")</f>
        <v>5887</v>
      </c>
      <c r="BL253" t="s" s="0">
        <v>81</v>
      </c>
      <c r="BM253" t="s" s="0">
        <v>81</v>
      </c>
      <c r="BN253" t="s" s="0">
        <v>265</v>
      </c>
      <c r="BO253" t="s" s="0">
        <v>5888</v>
      </c>
      <c r="BP253" t="s" s="0">
        <v>5888</v>
      </c>
      <c r="BQ253" t="s" s="0">
        <v>5889</v>
      </c>
      <c r="BR253" t="s" s="0">
        <v>5890</v>
      </c>
      <c r="BS253" t="s" s="0">
        <v>5891</v>
      </c>
      <c r="BT253" t="s" s="502">
        <f>HYPERLINK("https://www.webofscience.com/wos/woscc/full-record/WOS:001838677300001","View Record in Web of Science")</f>
        <v>120</v>
      </c>
      <c r="BU253" t="s" s="0">
        <v>121</v>
      </c>
      <c r="BV253" t="s" s="0">
        <v>81</v>
      </c>
      <c r="BW253" t="s" s="0">
        <v>81</v>
      </c>
      <c r="BX253" t="s" s="0">
        <v>122</v>
      </c>
    </row>
    <row r="254">
      <c r="A254" t="s" s="0">
        <v>77</v>
      </c>
      <c r="B254" t="s" s="0">
        <v>77</v>
      </c>
      <c r="C254" t="s" s="0">
        <v>77</v>
      </c>
      <c r="D254" t="s" s="0">
        <v>77</v>
      </c>
      <c r="E254" t="s" s="0">
        <v>5892</v>
      </c>
      <c r="F254" t="s" s="0">
        <v>5893</v>
      </c>
      <c r="G254" t="s" s="0">
        <v>5894</v>
      </c>
      <c r="H254" t="s" s="0">
        <v>81</v>
      </c>
      <c r="I254" t="s" s="0">
        <v>82</v>
      </c>
      <c r="J254" t="s" s="0">
        <v>5895</v>
      </c>
      <c r="K254" t="s" s="0">
        <v>5896</v>
      </c>
      <c r="L254" t="s" s="0">
        <v>81</v>
      </c>
      <c r="M254" t="s" s="0">
        <v>81</v>
      </c>
      <c r="N254" t="s" s="0">
        <v>81</v>
      </c>
      <c r="O254" t="s" s="0">
        <v>5897</v>
      </c>
      <c r="P254" t="s" s="0">
        <v>5898</v>
      </c>
      <c r="Q254" t="s" s="0">
        <v>90</v>
      </c>
      <c r="R254" t="s" s="0">
        <v>81</v>
      </c>
      <c r="S254" t="s" s="0">
        <v>81</v>
      </c>
      <c r="T254" t="s" s="0">
        <v>81</v>
      </c>
      <c r="U254" t="s" s="0">
        <v>81</v>
      </c>
      <c r="V254" t="s" s="0">
        <v>5899</v>
      </c>
      <c r="W254" t="s" s="0">
        <v>92</v>
      </c>
      <c r="X254" t="s" s="0">
        <v>81</v>
      </c>
      <c r="Y254" t="s" s="0">
        <v>81</v>
      </c>
      <c r="Z254" t="s" s="0">
        <v>93</v>
      </c>
      <c r="AA254" t="s" s="0">
        <v>94</v>
      </c>
      <c r="AB254" t="s" s="0">
        <v>81</v>
      </c>
      <c r="AC254" t="s" s="0">
        <v>81</v>
      </c>
      <c r="AD254" t="s" s="0">
        <v>81</v>
      </c>
      <c r="AE254" t="s" s="0">
        <v>81</v>
      </c>
      <c r="AF254" t="s" s="0">
        <v>81</v>
      </c>
      <c r="AG254" t="s" s="0">
        <v>5900</v>
      </c>
      <c r="AH254" t="s" s="0">
        <v>81</v>
      </c>
      <c r="AI254" t="s" s="0">
        <v>81</v>
      </c>
      <c r="AJ254" t="s" s="0">
        <v>81</v>
      </c>
      <c r="AK254" t="s" s="0">
        <v>81</v>
      </c>
      <c r="AL254" t="s" s="0">
        <v>968</v>
      </c>
      <c r="AM254" t="s" s="0">
        <v>77</v>
      </c>
      <c r="AN254" t="s" s="0">
        <v>77</v>
      </c>
      <c r="AO254" t="s" s="0">
        <v>169</v>
      </c>
      <c r="AP254" t="s" s="0">
        <v>169</v>
      </c>
      <c r="AQ254" t="s" s="0">
        <v>103</v>
      </c>
      <c r="AR254" t="s" s="0">
        <v>104</v>
      </c>
      <c r="AS254" t="s" s="0">
        <v>105</v>
      </c>
      <c r="AT254" t="s" s="0">
        <v>1405</v>
      </c>
      <c r="AU254" t="s" s="0">
        <v>106</v>
      </c>
      <c r="AV254" t="s" s="0">
        <v>81</v>
      </c>
      <c r="AW254" t="s" s="0">
        <v>107</v>
      </c>
      <c r="AX254" t="s" s="0">
        <v>108</v>
      </c>
      <c r="AY254" t="s" s="0">
        <v>5901</v>
      </c>
      <c r="AZ254" t="s" s="0">
        <v>144</v>
      </c>
      <c r="BA254" t="s" s="0">
        <v>637</v>
      </c>
      <c r="BB254" t="s" s="0">
        <v>81</v>
      </c>
      <c r="BC254" t="s" s="0">
        <v>81</v>
      </c>
      <c r="BD254" t="s" s="0">
        <v>81</v>
      </c>
      <c r="BE254" t="s" s="0">
        <v>81</v>
      </c>
      <c r="BF254" t="s" s="0">
        <v>81</v>
      </c>
      <c r="BG254" t="s" s="0">
        <v>81</v>
      </c>
      <c r="BH254" t="s" s="0">
        <v>81</v>
      </c>
      <c r="BI254" t="s" s="0">
        <v>5902</v>
      </c>
      <c r="BJ254" t="s" s="0">
        <v>5903</v>
      </c>
      <c r="BK254" t="s" s="503">
        <f>HYPERLINK("http://dx.doi.org/10.2196/91727","http://dx.doi.org/10.2196/91727")</f>
        <v>5904</v>
      </c>
      <c r="BL254" t="s" s="0">
        <v>81</v>
      </c>
      <c r="BM254" t="s" s="0">
        <v>81</v>
      </c>
      <c r="BN254" t="s" s="0">
        <v>115</v>
      </c>
      <c r="BO254" t="s" s="0">
        <v>116</v>
      </c>
      <c r="BP254" t="s" s="0">
        <v>116</v>
      </c>
      <c r="BQ254" t="s" s="0">
        <v>5905</v>
      </c>
      <c r="BR254" t="s" s="0">
        <v>5906</v>
      </c>
      <c r="BS254" t="s" s="0">
        <v>5907</v>
      </c>
      <c r="BT254" t="s" s="504">
        <f>HYPERLINK("https://www.webofscience.com/wos/woscc/full-record/WOS:001813510300001","View Record in Web of Science")</f>
        <v>120</v>
      </c>
      <c r="BU254" t="s" s="0">
        <v>121</v>
      </c>
      <c r="BV254" t="s" s="0">
        <v>81</v>
      </c>
      <c r="BW254" t="s" s="0">
        <v>81</v>
      </c>
      <c r="BX254" t="s" s="0">
        <v>122</v>
      </c>
    </row>
    <row r="255">
      <c r="A255" t="s" s="0">
        <v>77</v>
      </c>
      <c r="B255" t="s" s="0">
        <v>77</v>
      </c>
      <c r="C255" t="s" s="0">
        <v>77</v>
      </c>
      <c r="D255" t="s" s="0">
        <v>77</v>
      </c>
      <c r="E255" t="s" s="0">
        <v>5908</v>
      </c>
      <c r="F255" t="s" s="0">
        <v>5909</v>
      </c>
      <c r="G255" t="s" s="0">
        <v>5910</v>
      </c>
      <c r="H255" t="s" s="0">
        <v>81</v>
      </c>
      <c r="I255" t="s" s="0">
        <v>218</v>
      </c>
      <c r="J255" t="s" s="0">
        <v>5911</v>
      </c>
      <c r="K255" t="s" s="0">
        <v>5912</v>
      </c>
      <c r="L255" t="s" s="0">
        <v>81</v>
      </c>
      <c r="M255" t="s" s="0">
        <v>81</v>
      </c>
      <c r="N255" t="s" s="0">
        <v>81</v>
      </c>
      <c r="O255" t="s" s="0">
        <v>5913</v>
      </c>
      <c r="P255" t="s" s="0">
        <v>5914</v>
      </c>
      <c r="Q255" t="s" s="0">
        <v>90</v>
      </c>
      <c r="R255" t="s" s="0">
        <v>81</v>
      </c>
      <c r="S255" t="s" s="0">
        <v>81</v>
      </c>
      <c r="T255" t="s" s="0">
        <v>81</v>
      </c>
      <c r="U255" t="s" s="0">
        <v>81</v>
      </c>
      <c r="V255" t="s" s="0">
        <v>5915</v>
      </c>
      <c r="W255" t="s" s="0">
        <v>408</v>
      </c>
      <c r="X255" t="s" s="0">
        <v>81</v>
      </c>
      <c r="Y255" t="s" s="0">
        <v>81</v>
      </c>
      <c r="Z255" t="s" s="0">
        <v>93</v>
      </c>
      <c r="AA255" t="s" s="0">
        <v>94</v>
      </c>
      <c r="AB255" t="s" s="0">
        <v>81</v>
      </c>
      <c r="AC255" t="s" s="0">
        <v>81</v>
      </c>
      <c r="AD255" t="s" s="0">
        <v>81</v>
      </c>
      <c r="AE255" t="s" s="0">
        <v>81</v>
      </c>
      <c r="AF255" t="s" s="0">
        <v>81</v>
      </c>
      <c r="AG255" t="s" s="0">
        <v>5916</v>
      </c>
      <c r="AH255" t="s" s="0">
        <v>5917</v>
      </c>
      <c r="AI255" t="s" s="0">
        <v>81</v>
      </c>
      <c r="AJ255" t="s" s="0">
        <v>81</v>
      </c>
      <c r="AK255" t="s" s="0">
        <v>81</v>
      </c>
      <c r="AL255" t="s" s="0">
        <v>671</v>
      </c>
      <c r="AM255" t="s" s="0">
        <v>101</v>
      </c>
      <c r="AN255" t="s" s="0">
        <v>101</v>
      </c>
      <c r="AO255" t="s" s="0">
        <v>77</v>
      </c>
      <c r="AP255" t="s" s="0">
        <v>169</v>
      </c>
      <c r="AQ255" t="s" s="0">
        <v>353</v>
      </c>
      <c r="AR255" t="s" s="0">
        <v>354</v>
      </c>
      <c r="AS255" t="s" s="0">
        <v>355</v>
      </c>
      <c r="AT255" t="s" s="0">
        <v>81</v>
      </c>
      <c r="AU255" t="s" s="0">
        <v>413</v>
      </c>
      <c r="AV255" t="s" s="0">
        <v>81</v>
      </c>
      <c r="AW255" t="s" s="0">
        <v>414</v>
      </c>
      <c r="AX255" t="s" s="0">
        <v>415</v>
      </c>
      <c r="AY255" t="s" s="0">
        <v>5918</v>
      </c>
      <c r="AZ255" t="s" s="0">
        <v>110</v>
      </c>
      <c r="BA255" t="s" s="0">
        <v>210</v>
      </c>
      <c r="BB255" t="s" s="0">
        <v>81</v>
      </c>
      <c r="BC255" t="s" s="0">
        <v>81</v>
      </c>
      <c r="BD255" t="s" s="0">
        <v>81</v>
      </c>
      <c r="BE255" t="s" s="0">
        <v>81</v>
      </c>
      <c r="BF255" t="s" s="0">
        <v>81</v>
      </c>
      <c r="BG255" t="s" s="0">
        <v>81</v>
      </c>
      <c r="BH255" t="s" s="0">
        <v>81</v>
      </c>
      <c r="BI255" t="s" s="0">
        <v>5919</v>
      </c>
      <c r="BJ255" t="s" s="0">
        <v>5920</v>
      </c>
      <c r="BK255" t="s" s="505">
        <f>HYPERLINK("http://dx.doi.org/10.3389/frai.2025.1683322","http://dx.doi.org/10.3389/frai.2025.1683322")</f>
        <v>5921</v>
      </c>
      <c r="BL255" t="s" s="0">
        <v>81</v>
      </c>
      <c r="BM255" t="s" s="0">
        <v>81</v>
      </c>
      <c r="BN255" t="s" s="0">
        <v>360</v>
      </c>
      <c r="BO255" t="s" s="0">
        <v>420</v>
      </c>
      <c r="BP255" t="s" s="0">
        <v>303</v>
      </c>
      <c r="BQ255" t="s" s="0">
        <v>5922</v>
      </c>
      <c r="BR255" t="s" s="0">
        <v>5923</v>
      </c>
      <c r="BS255" t="s" s="0">
        <v>5924</v>
      </c>
      <c r="BT255" t="s" s="506">
        <f>HYPERLINK("https://www.webofscience.com/wos/woscc/full-record/WOS:001644718100001","View Record in Web of Science")</f>
        <v>120</v>
      </c>
      <c r="BU255" t="s" s="0">
        <v>121</v>
      </c>
      <c r="BV255" t="s" s="0">
        <v>81</v>
      </c>
      <c r="BW255" t="s" s="0">
        <v>81</v>
      </c>
      <c r="BX255" t="s" s="0">
        <v>122</v>
      </c>
    </row>
    <row r="256">
      <c r="A256" t="s" s="0">
        <v>77</v>
      </c>
      <c r="B256" t="s" s="0">
        <v>77</v>
      </c>
      <c r="C256" t="s" s="0">
        <v>77</v>
      </c>
      <c r="D256" t="s" s="0">
        <v>77</v>
      </c>
      <c r="E256" t="s" s="0">
        <v>5925</v>
      </c>
      <c r="F256" t="s" s="0">
        <v>5926</v>
      </c>
      <c r="G256" t="s" s="0">
        <v>5927</v>
      </c>
      <c r="H256" t="s" s="0">
        <v>81</v>
      </c>
      <c r="I256" t="s" s="0">
        <v>82</v>
      </c>
      <c r="J256" t="s" s="0">
        <v>5928</v>
      </c>
      <c r="K256" t="s" s="0">
        <v>5929</v>
      </c>
      <c r="L256" t="s" s="0">
        <v>81</v>
      </c>
      <c r="M256" t="s" s="0">
        <v>81</v>
      </c>
      <c r="N256" t="s" s="0">
        <v>81</v>
      </c>
      <c r="O256" t="s" s="0">
        <v>5930</v>
      </c>
      <c r="P256" t="s" s="0">
        <v>5931</v>
      </c>
      <c r="Q256" t="s" s="0">
        <v>90</v>
      </c>
      <c r="R256" t="s" s="0">
        <v>81</v>
      </c>
      <c r="S256" t="s" s="0">
        <v>81</v>
      </c>
      <c r="T256" t="s" s="0">
        <v>81</v>
      </c>
      <c r="U256" t="s" s="0">
        <v>81</v>
      </c>
      <c r="V256" t="s" s="0">
        <v>5932</v>
      </c>
      <c r="W256" t="s" s="0">
        <v>317</v>
      </c>
      <c r="X256" t="s" s="0">
        <v>81</v>
      </c>
      <c r="Y256" t="s" s="0">
        <v>81</v>
      </c>
      <c r="Z256" t="s" s="0">
        <v>93</v>
      </c>
      <c r="AA256" t="s" s="0">
        <v>94</v>
      </c>
      <c r="AB256" t="s" s="0">
        <v>81</v>
      </c>
      <c r="AC256" t="s" s="0">
        <v>81</v>
      </c>
      <c r="AD256" t="s" s="0">
        <v>81</v>
      </c>
      <c r="AE256" t="s" s="0">
        <v>81</v>
      </c>
      <c r="AF256" t="s" s="0">
        <v>81</v>
      </c>
      <c r="AG256" t="s" s="0">
        <v>81</v>
      </c>
      <c r="AH256" t="s" s="0">
        <v>3828</v>
      </c>
      <c r="AI256" t="s" s="0">
        <v>5933</v>
      </c>
      <c r="AJ256" t="s" s="0">
        <v>5934</v>
      </c>
      <c r="AK256" t="s" s="0">
        <v>81</v>
      </c>
      <c r="AL256" t="s" s="0">
        <v>671</v>
      </c>
      <c r="AM256" t="s" s="0">
        <v>169</v>
      </c>
      <c r="AN256" t="s" s="0">
        <v>100</v>
      </c>
      <c r="AO256" t="s" s="0">
        <v>265</v>
      </c>
      <c r="AP256" t="s" s="0">
        <v>1602</v>
      </c>
      <c r="AQ256" t="s" s="0">
        <v>321</v>
      </c>
      <c r="AR256" t="s" s="0">
        <v>322</v>
      </c>
      <c r="AS256" t="s" s="0">
        <v>323</v>
      </c>
      <c r="AT256" t="s" s="0">
        <v>324</v>
      </c>
      <c r="AU256" t="s" s="0">
        <v>81</v>
      </c>
      <c r="AV256" t="s" s="0">
        <v>81</v>
      </c>
      <c r="AW256" t="s" s="0">
        <v>325</v>
      </c>
      <c r="AX256" t="s" s="0">
        <v>326</v>
      </c>
      <c r="AY256" t="s" s="0">
        <v>5935</v>
      </c>
      <c r="AZ256" t="s" s="0">
        <v>110</v>
      </c>
      <c r="BA256" t="s" s="0">
        <v>210</v>
      </c>
      <c r="BB256" t="s" s="0">
        <v>169</v>
      </c>
      <c r="BC256" t="s" s="0">
        <v>81</v>
      </c>
      <c r="BD256" t="s" s="0">
        <v>81</v>
      </c>
      <c r="BE256" t="s" s="0">
        <v>81</v>
      </c>
      <c r="BF256" t="s" s="0">
        <v>81</v>
      </c>
      <c r="BG256" t="s" s="0">
        <v>81</v>
      </c>
      <c r="BH256" t="s" s="0">
        <v>81</v>
      </c>
      <c r="BI256" t="s" s="0">
        <v>5936</v>
      </c>
      <c r="BJ256" t="s" s="0">
        <v>5937</v>
      </c>
      <c r="BK256" t="s" s="507">
        <f>HYPERLINK("http://dx.doi.org/10.1038/s41746-025-01519-z","http://dx.doi.org/10.1038/s41746-025-01519-z")</f>
        <v>5938</v>
      </c>
      <c r="BL256" t="s" s="0">
        <v>81</v>
      </c>
      <c r="BM256" t="s" s="0">
        <v>81</v>
      </c>
      <c r="BN256" t="s" s="0">
        <v>320</v>
      </c>
      <c r="BO256" t="s" s="0">
        <v>116</v>
      </c>
      <c r="BP256" t="s" s="0">
        <v>116</v>
      </c>
      <c r="BQ256" t="s" s="0">
        <v>5939</v>
      </c>
      <c r="BR256" t="s" s="0">
        <v>5940</v>
      </c>
      <c r="BS256" t="s" s="0">
        <v>5941</v>
      </c>
      <c r="BT256" t="s" s="508">
        <f>HYPERLINK("https://www.webofscience.com/wos/woscc/full-record/WOS:001459314000001","View Record in Web of Science")</f>
        <v>120</v>
      </c>
      <c r="BU256" t="s" s="0">
        <v>121</v>
      </c>
      <c r="BV256" t="s" s="0">
        <v>602</v>
      </c>
      <c r="BW256" t="s" s="0">
        <v>603</v>
      </c>
      <c r="BX256" t="s" s="0">
        <v>122</v>
      </c>
    </row>
    <row r="257">
      <c r="A257" t="s" s="0">
        <v>77</v>
      </c>
      <c r="B257" t="s" s="0">
        <v>77</v>
      </c>
      <c r="C257" t="s" s="0">
        <v>77</v>
      </c>
      <c r="D257" t="s" s="0">
        <v>77</v>
      </c>
      <c r="E257" t="s" s="0">
        <v>5942</v>
      </c>
      <c r="F257" t="s" s="0">
        <v>5943</v>
      </c>
      <c r="G257" t="s" s="0">
        <v>5944</v>
      </c>
      <c r="H257" t="s" s="0">
        <v>81</v>
      </c>
      <c r="I257" t="s" s="0">
        <v>82</v>
      </c>
      <c r="J257" t="s" s="0">
        <v>5945</v>
      </c>
      <c r="K257" t="s" s="0">
        <v>5946</v>
      </c>
      <c r="L257" t="s" s="0">
        <v>81</v>
      </c>
      <c r="M257" t="s" s="0">
        <v>81</v>
      </c>
      <c r="N257" t="s" s="0">
        <v>81</v>
      </c>
      <c r="O257" t="s" s="0">
        <v>5947</v>
      </c>
      <c r="P257" t="s" s="0">
        <v>5948</v>
      </c>
      <c r="Q257" t="s" s="0">
        <v>90</v>
      </c>
      <c r="R257" t="s" s="0">
        <v>81</v>
      </c>
      <c r="S257" t="s" s="0">
        <v>81</v>
      </c>
      <c r="T257" t="s" s="0">
        <v>81</v>
      </c>
      <c r="U257" t="s" s="0">
        <v>81</v>
      </c>
      <c r="V257" t="s" s="0">
        <v>5949</v>
      </c>
      <c r="W257" t="s" s="0">
        <v>3256</v>
      </c>
      <c r="X257" t="s" s="0">
        <v>81</v>
      </c>
      <c r="Y257" t="s" s="0">
        <v>81</v>
      </c>
      <c r="Z257" t="s" s="0">
        <v>93</v>
      </c>
      <c r="AA257" t="s" s="0">
        <v>94</v>
      </c>
      <c r="AB257" t="s" s="0">
        <v>81</v>
      </c>
      <c r="AC257" t="s" s="0">
        <v>81</v>
      </c>
      <c r="AD257" t="s" s="0">
        <v>81</v>
      </c>
      <c r="AE257" t="s" s="0">
        <v>81</v>
      </c>
      <c r="AF257" t="s" s="0">
        <v>81</v>
      </c>
      <c r="AG257" t="s" s="0">
        <v>5950</v>
      </c>
      <c r="AH257" t="s" s="0">
        <v>3761</v>
      </c>
      <c r="AI257" t="s" s="0">
        <v>5951</v>
      </c>
      <c r="AJ257" t="s" s="0">
        <v>81</v>
      </c>
      <c r="AK257" t="s" s="0">
        <v>81</v>
      </c>
      <c r="AL257" t="s" s="0">
        <v>352</v>
      </c>
      <c r="AM257" t="s" s="0">
        <v>77</v>
      </c>
      <c r="AN257" t="s" s="0">
        <v>77</v>
      </c>
      <c r="AO257" t="s" s="0">
        <v>77</v>
      </c>
      <c r="AP257" t="s" s="0">
        <v>77</v>
      </c>
      <c r="AQ257" t="s" s="0">
        <v>353</v>
      </c>
      <c r="AR257" t="s" s="0">
        <v>354</v>
      </c>
      <c r="AS257" t="s" s="0">
        <v>355</v>
      </c>
      <c r="AT257" t="s" s="0">
        <v>81</v>
      </c>
      <c r="AU257" t="s" s="0">
        <v>3259</v>
      </c>
      <c r="AV257" t="s" s="0">
        <v>81</v>
      </c>
      <c r="AW257" t="s" s="0">
        <v>3260</v>
      </c>
      <c r="AX257" t="s" s="0">
        <v>3261</v>
      </c>
      <c r="AY257" t="s" s="0">
        <v>5952</v>
      </c>
      <c r="AZ257" t="s" s="0">
        <v>144</v>
      </c>
      <c r="BA257" t="s" s="0">
        <v>115</v>
      </c>
      <c r="BB257" t="s" s="0">
        <v>81</v>
      </c>
      <c r="BC257" t="s" s="0">
        <v>81</v>
      </c>
      <c r="BD257" t="s" s="0">
        <v>81</v>
      </c>
      <c r="BE257" t="s" s="0">
        <v>81</v>
      </c>
      <c r="BF257" t="s" s="0">
        <v>81</v>
      </c>
      <c r="BG257" t="s" s="0">
        <v>81</v>
      </c>
      <c r="BH257" t="s" s="0">
        <v>81</v>
      </c>
      <c r="BI257" t="s" s="0">
        <v>5953</v>
      </c>
      <c r="BJ257" t="s" s="0">
        <v>5954</v>
      </c>
      <c r="BK257" t="s" s="509">
        <f>HYPERLINK("http://dx.doi.org/10.3389/fmed.2026.1819087","http://dx.doi.org/10.3389/fmed.2026.1819087")</f>
        <v>5955</v>
      </c>
      <c r="BL257" t="s" s="0">
        <v>81</v>
      </c>
      <c r="BM257" t="s" s="0">
        <v>209</v>
      </c>
      <c r="BN257" t="s" s="0">
        <v>320</v>
      </c>
      <c r="BO257" t="s" s="0">
        <v>149</v>
      </c>
      <c r="BP257" t="s" s="0">
        <v>150</v>
      </c>
      <c r="BQ257" t="s" s="0">
        <v>5956</v>
      </c>
      <c r="BR257" t="s" s="0">
        <v>5957</v>
      </c>
      <c r="BS257" t="s" s="0">
        <v>5958</v>
      </c>
      <c r="BT257" t="s" s="510">
        <f>HYPERLINK("https://www.webofscience.com/wos/woscc/full-record/WOS:001756791700001","View Record in Web of Science")</f>
        <v>120</v>
      </c>
      <c r="BU257" t="s" s="0">
        <v>121</v>
      </c>
      <c r="BV257" t="s" s="0">
        <v>81</v>
      </c>
      <c r="BW257" t="s" s="0">
        <v>81</v>
      </c>
      <c r="BX257" t="s" s="0">
        <v>122</v>
      </c>
    </row>
    <row r="258">
      <c r="A258" t="s" s="0">
        <v>77</v>
      </c>
      <c r="B258" t="s" s="0">
        <v>77</v>
      </c>
      <c r="C258" t="s" s="0">
        <v>77</v>
      </c>
      <c r="D258" t="s" s="0">
        <v>77</v>
      </c>
      <c r="E258" t="s" s="0">
        <v>5959</v>
      </c>
      <c r="F258" t="s" s="0">
        <v>5960</v>
      </c>
      <c r="G258" t="s" s="0">
        <v>5961</v>
      </c>
      <c r="H258" t="s" s="0">
        <v>81</v>
      </c>
      <c r="I258" t="s" s="0">
        <v>568</v>
      </c>
      <c r="J258" t="s" s="0">
        <v>2241</v>
      </c>
      <c r="K258" t="s" s="0">
        <v>2242</v>
      </c>
      <c r="L258" t="s" s="0">
        <v>81</v>
      </c>
      <c r="M258" t="s" s="0">
        <v>81</v>
      </c>
      <c r="N258" t="s" s="0">
        <v>81</v>
      </c>
      <c r="O258" t="s" s="0">
        <v>5962</v>
      </c>
      <c r="P258" t="s" s="0">
        <v>5963</v>
      </c>
      <c r="Q258" t="s" s="0">
        <v>90</v>
      </c>
      <c r="R258" t="s" s="0">
        <v>81</v>
      </c>
      <c r="S258" t="s" s="0">
        <v>81</v>
      </c>
      <c r="T258" t="s" s="0">
        <v>81</v>
      </c>
      <c r="U258" t="s" s="0">
        <v>81</v>
      </c>
      <c r="V258" t="s" s="0">
        <v>5964</v>
      </c>
      <c r="W258" t="s" s="0">
        <v>2246</v>
      </c>
      <c r="X258" t="s" s="0">
        <v>81</v>
      </c>
      <c r="Y258" t="s" s="0">
        <v>81</v>
      </c>
      <c r="Z258" t="s" s="0">
        <v>93</v>
      </c>
      <c r="AA258" t="s" s="0">
        <v>94</v>
      </c>
      <c r="AB258" t="s" s="0">
        <v>81</v>
      </c>
      <c r="AC258" t="s" s="0">
        <v>81</v>
      </c>
      <c r="AD258" t="s" s="0">
        <v>81</v>
      </c>
      <c r="AE258" t="s" s="0">
        <v>81</v>
      </c>
      <c r="AF258" t="s" s="0">
        <v>81</v>
      </c>
      <c r="AG258" t="s" s="0">
        <v>5965</v>
      </c>
      <c r="AH258" t="s" s="0">
        <v>5966</v>
      </c>
      <c r="AI258" t="s" s="0">
        <v>81</v>
      </c>
      <c r="AJ258" t="s" s="0">
        <v>81</v>
      </c>
      <c r="AK258" t="s" s="0">
        <v>81</v>
      </c>
      <c r="AL258" t="s" s="0">
        <v>1543</v>
      </c>
      <c r="AM258" t="s" s="0">
        <v>77</v>
      </c>
      <c r="AN258" t="s" s="0">
        <v>77</v>
      </c>
      <c r="AO258" t="s" s="0">
        <v>99</v>
      </c>
      <c r="AP258" t="s" s="0">
        <v>99</v>
      </c>
      <c r="AQ258" t="s" s="0">
        <v>353</v>
      </c>
      <c r="AR258" t="s" s="0">
        <v>354</v>
      </c>
      <c r="AS258" t="s" s="0">
        <v>355</v>
      </c>
      <c r="AT258" t="s" s="0">
        <v>81</v>
      </c>
      <c r="AU258" t="s" s="0">
        <v>2248</v>
      </c>
      <c r="AV258" t="s" s="0">
        <v>81</v>
      </c>
      <c r="AW258" t="s" s="0">
        <v>2249</v>
      </c>
      <c r="AX258" t="s" s="0">
        <v>2250</v>
      </c>
      <c r="AY258" t="s" s="0">
        <v>5348</v>
      </c>
      <c r="AZ258" t="s" s="0">
        <v>144</v>
      </c>
      <c r="BA258" t="s" s="0">
        <v>509</v>
      </c>
      <c r="BB258" t="s" s="0">
        <v>81</v>
      </c>
      <c r="BC258" t="s" s="0">
        <v>81</v>
      </c>
      <c r="BD258" t="s" s="0">
        <v>81</v>
      </c>
      <c r="BE258" t="s" s="0">
        <v>81</v>
      </c>
      <c r="BF258" t="s" s="0">
        <v>81</v>
      </c>
      <c r="BG258" t="s" s="0">
        <v>81</v>
      </c>
      <c r="BH258" t="s" s="0">
        <v>81</v>
      </c>
      <c r="BI258" t="s" s="0">
        <v>5967</v>
      </c>
      <c r="BJ258" t="s" s="0">
        <v>5968</v>
      </c>
      <c r="BK258" t="s" s="511">
        <f>HYPERLINK("http://dx.doi.org/10.3389/fpubh.2026.1833611","http://dx.doi.org/10.3389/fpubh.2026.1833611")</f>
        <v>5969</v>
      </c>
      <c r="BL258" t="s" s="0">
        <v>81</v>
      </c>
      <c r="BM258" t="s" s="0">
        <v>295</v>
      </c>
      <c r="BN258" t="s" s="0">
        <v>320</v>
      </c>
      <c r="BO258" t="s" s="0">
        <v>2254</v>
      </c>
      <c r="BP258" t="s" s="0">
        <v>2254</v>
      </c>
      <c r="BQ258" t="s" s="0">
        <v>5970</v>
      </c>
      <c r="BR258" t="s" s="0">
        <v>5971</v>
      </c>
      <c r="BS258" t="s" s="0">
        <v>5972</v>
      </c>
      <c r="BT258" t="s" s="512">
        <f>HYPERLINK("https://www.webofscience.com/wos/woscc/full-record/WOS:001791642600001","View Record in Web of Science")</f>
        <v>120</v>
      </c>
      <c r="BU258" t="s" s="0">
        <v>121</v>
      </c>
      <c r="BV258" t="s" s="0">
        <v>81</v>
      </c>
      <c r="BW258" t="s" s="0">
        <v>81</v>
      </c>
      <c r="BX258" t="s" s="0">
        <v>122</v>
      </c>
    </row>
    <row r="259">
      <c r="A259" t="s" s="0">
        <v>77</v>
      </c>
      <c r="B259" t="s" s="0">
        <v>77</v>
      </c>
      <c r="C259" t="s" s="0">
        <v>77</v>
      </c>
      <c r="D259" t="s" s="0">
        <v>77</v>
      </c>
      <c r="E259" t="s" s="0">
        <v>5973</v>
      </c>
      <c r="F259" t="s" s="0">
        <v>5974</v>
      </c>
      <c r="G259" t="s" s="0">
        <v>5975</v>
      </c>
      <c r="H259" t="s" s="0">
        <v>81</v>
      </c>
      <c r="I259" t="s" s="0">
        <v>82</v>
      </c>
      <c r="J259" t="s" s="0">
        <v>5976</v>
      </c>
      <c r="K259" t="s" s="0">
        <v>5977</v>
      </c>
      <c r="L259" t="s" s="0">
        <v>5978</v>
      </c>
      <c r="M259" t="s" s="0">
        <v>5978</v>
      </c>
      <c r="N259" t="s" s="0">
        <v>1622</v>
      </c>
      <c r="O259" t="s" s="0">
        <v>5979</v>
      </c>
      <c r="P259" t="s" s="0">
        <v>5840</v>
      </c>
      <c r="Q259" t="s" s="0">
        <v>90</v>
      </c>
      <c r="R259" t="s" s="0">
        <v>81</v>
      </c>
      <c r="S259" t="s" s="0">
        <v>81</v>
      </c>
      <c r="T259" t="s" s="0">
        <v>81</v>
      </c>
      <c r="U259" t="s" s="0">
        <v>81</v>
      </c>
      <c r="V259" t="s" s="0">
        <v>5980</v>
      </c>
      <c r="W259" t="s" s="0">
        <v>4874</v>
      </c>
      <c r="X259" t="s" s="0">
        <v>81</v>
      </c>
      <c r="Y259" t="s" s="0">
        <v>81</v>
      </c>
      <c r="Z259" t="s" s="0">
        <v>93</v>
      </c>
      <c r="AA259" t="s" s="0">
        <v>196</v>
      </c>
      <c r="AB259" t="s" s="0">
        <v>81</v>
      </c>
      <c r="AC259" t="s" s="0">
        <v>81</v>
      </c>
      <c r="AD259" t="s" s="0">
        <v>81</v>
      </c>
      <c r="AE259" t="s" s="0">
        <v>81</v>
      </c>
      <c r="AF259" t="s" s="0">
        <v>81</v>
      </c>
      <c r="AG259" t="s" s="0">
        <v>5981</v>
      </c>
      <c r="AH259" t="s" s="0">
        <v>81</v>
      </c>
      <c r="AI259" t="s" s="0">
        <v>81</v>
      </c>
      <c r="AJ259" t="s" s="0">
        <v>81</v>
      </c>
      <c r="AK259" t="s" s="0">
        <v>81</v>
      </c>
      <c r="AL259" t="s" s="0">
        <v>526</v>
      </c>
      <c r="AM259" t="s" s="0">
        <v>77</v>
      </c>
      <c r="AN259" t="s" s="0">
        <v>77</v>
      </c>
      <c r="AO259" t="s" s="0">
        <v>77</v>
      </c>
      <c r="AP259" t="s" s="0">
        <v>77</v>
      </c>
      <c r="AQ259" t="s" s="0">
        <v>499</v>
      </c>
      <c r="AR259" t="s" s="0">
        <v>500</v>
      </c>
      <c r="AS259" t="s" s="0">
        <v>501</v>
      </c>
      <c r="AT259" t="s" s="0">
        <v>4878</v>
      </c>
      <c r="AU259" t="s" s="0">
        <v>4879</v>
      </c>
      <c r="AV259" t="s" s="0">
        <v>81</v>
      </c>
      <c r="AW259" t="s" s="0">
        <v>4880</v>
      </c>
      <c r="AX259" t="s" s="0">
        <v>4881</v>
      </c>
      <c r="AY259" t="s" s="0">
        <v>81</v>
      </c>
      <c r="AZ259" t="s" s="0">
        <v>144</v>
      </c>
      <c r="BA259" t="s" s="0">
        <v>81</v>
      </c>
      <c r="BB259" t="s" s="0">
        <v>81</v>
      </c>
      <c r="BC259" t="s" s="0">
        <v>81</v>
      </c>
      <c r="BD259" t="s" s="0">
        <v>81</v>
      </c>
      <c r="BE259" t="s" s="0">
        <v>81</v>
      </c>
      <c r="BF259" t="s" s="0">
        <v>81</v>
      </c>
      <c r="BG259" t="s" s="0">
        <v>81</v>
      </c>
      <c r="BH259" t="s" s="0">
        <v>81</v>
      </c>
      <c r="BI259" t="s" s="0">
        <v>81</v>
      </c>
      <c r="BJ259" t="s" s="0">
        <v>5982</v>
      </c>
      <c r="BK259" t="s" s="513">
        <f>HYPERLINK("http://dx.doi.org/10.1007/s00586-026-10280-0","http://dx.doi.org/10.1007/s00586-026-10280-0")</f>
        <v>5983</v>
      </c>
      <c r="BL259" t="s" s="0">
        <v>81</v>
      </c>
      <c r="BM259" t="s" s="0">
        <v>3047</v>
      </c>
      <c r="BN259" t="s" s="0">
        <v>100</v>
      </c>
      <c r="BO259" t="s" s="0">
        <v>4884</v>
      </c>
      <c r="BP259" t="s" s="0">
        <v>4885</v>
      </c>
      <c r="BQ259" t="s" s="0">
        <v>5984</v>
      </c>
      <c r="BR259" t="s" s="0">
        <v>5985</v>
      </c>
      <c r="BS259" t="s" s="0">
        <v>5986</v>
      </c>
      <c r="BT259" t="s" s="514">
        <f>HYPERLINK("https://www.webofscience.com/wos/woscc/full-record/WOS:001850836400001","View Record in Web of Science")</f>
        <v>120</v>
      </c>
      <c r="BU259" t="s" s="0">
        <v>306</v>
      </c>
      <c r="BV259" t="s" s="0">
        <v>81</v>
      </c>
      <c r="BW259" t="s" s="0">
        <v>81</v>
      </c>
      <c r="BX259" t="s" s="0">
        <v>122</v>
      </c>
    </row>
    <row r="260">
      <c r="A260" t="s" s="0">
        <v>77</v>
      </c>
      <c r="B260" t="s" s="0">
        <v>77</v>
      </c>
      <c r="C260" t="s" s="0">
        <v>77</v>
      </c>
      <c r="D260" t="s" s="0">
        <v>77</v>
      </c>
      <c r="E260" t="s" s="0">
        <v>5987</v>
      </c>
      <c r="F260" t="s" s="0">
        <v>5988</v>
      </c>
      <c r="G260" t="s" s="0">
        <v>5989</v>
      </c>
      <c r="H260" t="s" s="0">
        <v>81</v>
      </c>
      <c r="I260" t="s" s="0">
        <v>82</v>
      </c>
      <c r="J260" t="s" s="0">
        <v>3841</v>
      </c>
      <c r="K260" t="s" s="0">
        <v>5990</v>
      </c>
      <c r="L260" t="s" s="0">
        <v>3842</v>
      </c>
      <c r="M260" t="s" s="0">
        <v>3137</v>
      </c>
      <c r="N260" t="s" s="0">
        <v>5991</v>
      </c>
      <c r="O260" t="s" s="0">
        <v>5992</v>
      </c>
      <c r="P260" t="s" s="0">
        <v>5993</v>
      </c>
      <c r="Q260" t="s" s="0">
        <v>90</v>
      </c>
      <c r="R260" t="s" s="0">
        <v>81</v>
      </c>
      <c r="S260" t="s" s="0">
        <v>81</v>
      </c>
      <c r="T260" t="s" s="0">
        <v>81</v>
      </c>
      <c r="U260" t="s" s="0">
        <v>81</v>
      </c>
      <c r="V260" t="s" s="0">
        <v>5994</v>
      </c>
      <c r="W260" t="s" s="0">
        <v>5995</v>
      </c>
      <c r="X260" t="s" s="0">
        <v>81</v>
      </c>
      <c r="Y260" t="s" s="0">
        <v>81</v>
      </c>
      <c r="Z260" t="s" s="0">
        <v>93</v>
      </c>
      <c r="AA260" t="s" s="0">
        <v>94</v>
      </c>
      <c r="AB260" t="s" s="0">
        <v>81</v>
      </c>
      <c r="AC260" t="s" s="0">
        <v>81</v>
      </c>
      <c r="AD260" t="s" s="0">
        <v>81</v>
      </c>
      <c r="AE260" t="s" s="0">
        <v>81</v>
      </c>
      <c r="AF260" t="s" s="0">
        <v>81</v>
      </c>
      <c r="AG260" t="s" s="0">
        <v>5996</v>
      </c>
      <c r="AH260" t="s" s="0">
        <v>5997</v>
      </c>
      <c r="AI260" t="s" s="0">
        <v>5998</v>
      </c>
      <c r="AJ260" t="s" s="0">
        <v>81</v>
      </c>
      <c r="AK260" t="s" s="0">
        <v>81</v>
      </c>
      <c r="AL260" t="s" s="0">
        <v>671</v>
      </c>
      <c r="AM260" t="s" s="0">
        <v>169</v>
      </c>
      <c r="AN260" t="s" s="0">
        <v>169</v>
      </c>
      <c r="AO260" t="s" s="0">
        <v>77</v>
      </c>
      <c r="AP260" t="s" s="0">
        <v>77</v>
      </c>
      <c r="AQ260" t="s" s="0">
        <v>288</v>
      </c>
      <c r="AR260" t="s" s="0">
        <v>289</v>
      </c>
      <c r="AS260" t="s" s="0">
        <v>290</v>
      </c>
      <c r="AT260" t="s" s="0">
        <v>5999</v>
      </c>
      <c r="AU260" t="s" s="0">
        <v>6000</v>
      </c>
      <c r="AV260" t="s" s="0">
        <v>81</v>
      </c>
      <c r="AW260" t="s" s="0">
        <v>6001</v>
      </c>
      <c r="AX260" t="s" s="0">
        <v>6002</v>
      </c>
      <c r="AY260" t="s" s="0">
        <v>532</v>
      </c>
      <c r="AZ260" t="s" s="0">
        <v>144</v>
      </c>
      <c r="BA260" t="s" s="0">
        <v>946</v>
      </c>
      <c r="BB260" t="s" s="0">
        <v>100</v>
      </c>
      <c r="BC260" t="s" s="0">
        <v>81</v>
      </c>
      <c r="BD260" t="s" s="0">
        <v>81</v>
      </c>
      <c r="BE260" t="s" s="0">
        <v>81</v>
      </c>
      <c r="BF260" t="s" s="0">
        <v>81</v>
      </c>
      <c r="BG260" t="s" s="0">
        <v>81</v>
      </c>
      <c r="BH260" t="s" s="0">
        <v>81</v>
      </c>
      <c r="BI260" t="s" s="0">
        <v>6003</v>
      </c>
      <c r="BJ260" t="s" s="0">
        <v>6004</v>
      </c>
      <c r="BK260" t="s" s="515">
        <f>HYPERLINK("http://dx.doi.org/10.1016/j.jgo.2026.102980","http://dx.doi.org/10.1016/j.jgo.2026.102980")</f>
        <v>6005</v>
      </c>
      <c r="BL260" t="s" s="0">
        <v>81</v>
      </c>
      <c r="BM260" t="s" s="0">
        <v>209</v>
      </c>
      <c r="BN260" t="s" s="0">
        <v>386</v>
      </c>
      <c r="BO260" t="s" s="0">
        <v>6006</v>
      </c>
      <c r="BP260" t="s" s="0">
        <v>6006</v>
      </c>
      <c r="BQ260" t="s" s="0">
        <v>6007</v>
      </c>
      <c r="BR260" t="s" s="0">
        <v>6008</v>
      </c>
      <c r="BS260" t="s" s="0">
        <v>6009</v>
      </c>
      <c r="BT260" t="s" s="516">
        <f>HYPERLINK("https://www.webofscience.com/wos/woscc/full-record/WOS:001757401500001","View Record in Web of Science")</f>
        <v>120</v>
      </c>
      <c r="BU260" t="s" s="0">
        <v>81</v>
      </c>
      <c r="BV260" t="s" s="0">
        <v>81</v>
      </c>
      <c r="BW260" t="s" s="0">
        <v>81</v>
      </c>
      <c r="BX260" t="s" s="0">
        <v>122</v>
      </c>
    </row>
    <row r="261">
      <c r="A261" t="s" s="0">
        <v>77</v>
      </c>
      <c r="B261" t="s" s="0">
        <v>77</v>
      </c>
      <c r="C261" t="s" s="0">
        <v>77</v>
      </c>
      <c r="D261" t="s" s="0">
        <v>77</v>
      </c>
      <c r="E261" t="s" s="0">
        <v>6010</v>
      </c>
      <c r="F261" t="s" s="0">
        <v>6011</v>
      </c>
      <c r="G261" t="s" s="0">
        <v>6012</v>
      </c>
      <c r="H261" t="s" s="0">
        <v>81</v>
      </c>
      <c r="I261" t="s" s="0">
        <v>82</v>
      </c>
      <c r="J261" t="s" s="0">
        <v>6013</v>
      </c>
      <c r="K261" t="s" s="0">
        <v>6014</v>
      </c>
      <c r="L261" t="s" s="0">
        <v>81</v>
      </c>
      <c r="M261" t="s" s="0">
        <v>81</v>
      </c>
      <c r="N261" t="s" s="0">
        <v>81</v>
      </c>
      <c r="O261" t="s" s="0">
        <v>6015</v>
      </c>
      <c r="P261" t="s" s="0">
        <v>6016</v>
      </c>
      <c r="Q261" t="s" s="0">
        <v>90</v>
      </c>
      <c r="R261" t="s" s="0">
        <v>81</v>
      </c>
      <c r="S261" t="s" s="0">
        <v>81</v>
      </c>
      <c r="T261" t="s" s="0">
        <v>81</v>
      </c>
      <c r="U261" t="s" s="0">
        <v>81</v>
      </c>
      <c r="V261" t="s" s="0">
        <v>6017</v>
      </c>
      <c r="W261" t="s" s="0">
        <v>6018</v>
      </c>
      <c r="X261" t="s" s="0">
        <v>81</v>
      </c>
      <c r="Y261" t="s" s="0">
        <v>81</v>
      </c>
      <c r="Z261" t="s" s="0">
        <v>93</v>
      </c>
      <c r="AA261" t="s" s="0">
        <v>94</v>
      </c>
      <c r="AB261" t="s" s="0">
        <v>81</v>
      </c>
      <c r="AC261" t="s" s="0">
        <v>81</v>
      </c>
      <c r="AD261" t="s" s="0">
        <v>81</v>
      </c>
      <c r="AE261" t="s" s="0">
        <v>81</v>
      </c>
      <c r="AF261" t="s" s="0">
        <v>81</v>
      </c>
      <c r="AG261" t="s" s="0">
        <v>6019</v>
      </c>
      <c r="AH261" t="s" s="0">
        <v>81</v>
      </c>
      <c r="AI261" t="s" s="0">
        <v>6020</v>
      </c>
      <c r="AJ261" t="s" s="0">
        <v>6021</v>
      </c>
      <c r="AK261" t="s" s="0">
        <v>81</v>
      </c>
      <c r="AL261" t="s" s="0">
        <v>136</v>
      </c>
      <c r="AM261" t="s" s="0">
        <v>554</v>
      </c>
      <c r="AN261" t="s" s="0">
        <v>554</v>
      </c>
      <c r="AO261" t="s" s="0">
        <v>100</v>
      </c>
      <c r="AP261" t="s" s="0">
        <v>100</v>
      </c>
      <c r="AQ261" t="s" s="0">
        <v>6022</v>
      </c>
      <c r="AR261" t="s" s="0">
        <v>6023</v>
      </c>
      <c r="AS261" t="s" s="0">
        <v>6024</v>
      </c>
      <c r="AT261" t="s" s="0">
        <v>6025</v>
      </c>
      <c r="AU261" t="s" s="0">
        <v>81</v>
      </c>
      <c r="AV261" t="s" s="0">
        <v>81</v>
      </c>
      <c r="AW261" t="s" s="0">
        <v>6026</v>
      </c>
      <c r="AX261" t="s" s="0">
        <v>6027</v>
      </c>
      <c r="AY261" t="s" s="0">
        <v>143</v>
      </c>
      <c r="AZ261" t="s" s="0">
        <v>144</v>
      </c>
      <c r="BA261" t="s" s="0">
        <v>581</v>
      </c>
      <c r="BB261" t="s" s="0">
        <v>99</v>
      </c>
      <c r="BC261" t="s" s="0">
        <v>81</v>
      </c>
      <c r="BD261" t="s" s="0">
        <v>81</v>
      </c>
      <c r="BE261" t="s" s="0">
        <v>81</v>
      </c>
      <c r="BF261" t="s" s="0">
        <v>81</v>
      </c>
      <c r="BG261" t="s" s="0">
        <v>81</v>
      </c>
      <c r="BH261" t="s" s="0">
        <v>81</v>
      </c>
      <c r="BI261" t="s" s="0">
        <v>6028</v>
      </c>
      <c r="BJ261" t="s" s="0">
        <v>6029</v>
      </c>
      <c r="BK261" t="s" s="517">
        <f>HYPERLINK("http://dx.doi.org/10.1016/j.accpm.2026.101769","http://dx.doi.org/10.1016/j.accpm.2026.101769")</f>
        <v>6030</v>
      </c>
      <c r="BL261" t="s" s="0">
        <v>81</v>
      </c>
      <c r="BM261" t="s" s="0">
        <v>81</v>
      </c>
      <c r="BN261" t="s" s="0">
        <v>328</v>
      </c>
      <c r="BO261" t="s" s="0">
        <v>6031</v>
      </c>
      <c r="BP261" t="s" s="0">
        <v>6032</v>
      </c>
      <c r="BQ261" t="s" s="0">
        <v>6033</v>
      </c>
      <c r="BR261" t="s" s="0">
        <v>6034</v>
      </c>
      <c r="BS261" t="s" s="0">
        <v>6035</v>
      </c>
      <c r="BT261" t="s" s="518">
        <f>HYPERLINK("https://www.webofscience.com/wos/woscc/full-record/WOS:001707320600001","View Record in Web of Science")</f>
        <v>120</v>
      </c>
      <c r="BU261" t="s" s="0">
        <v>81</v>
      </c>
      <c r="BV261" t="s" s="0">
        <v>81</v>
      </c>
      <c r="BW261" t="s" s="0">
        <v>81</v>
      </c>
      <c r="BX261" t="s" s="0">
        <v>122</v>
      </c>
    </row>
    <row r="262">
      <c r="A262" t="s" s="0">
        <v>77</v>
      </c>
      <c r="B262" t="s" s="0">
        <v>77</v>
      </c>
      <c r="C262" t="s" s="0">
        <v>77</v>
      </c>
      <c r="D262" t="s" s="0">
        <v>77</v>
      </c>
      <c r="E262" t="s" s="0">
        <v>6036</v>
      </c>
      <c r="F262" t="s" s="0">
        <v>6037</v>
      </c>
      <c r="G262" t="s" s="0">
        <v>6038</v>
      </c>
      <c r="H262" t="s" s="0">
        <v>81</v>
      </c>
      <c r="I262" t="s" s="0">
        <v>82</v>
      </c>
      <c r="J262" t="s" s="0">
        <v>6039</v>
      </c>
      <c r="K262" t="s" s="0">
        <v>6040</v>
      </c>
      <c r="L262" t="s" s="0">
        <v>6041</v>
      </c>
      <c r="M262" t="s" s="0">
        <v>6042</v>
      </c>
      <c r="N262" t="s" s="0">
        <v>6043</v>
      </c>
      <c r="O262" t="s" s="0">
        <v>6044</v>
      </c>
      <c r="P262" t="s" s="0">
        <v>6045</v>
      </c>
      <c r="Q262" t="s" s="0">
        <v>90</v>
      </c>
      <c r="R262" t="s" s="0">
        <v>81</v>
      </c>
      <c r="S262" t="s" s="0">
        <v>81</v>
      </c>
      <c r="T262" t="s" s="0">
        <v>81</v>
      </c>
      <c r="U262" t="s" s="0">
        <v>81</v>
      </c>
      <c r="V262" t="s" s="0">
        <v>6046</v>
      </c>
      <c r="W262" t="s" s="0">
        <v>380</v>
      </c>
      <c r="X262" t="s" s="0">
        <v>81</v>
      </c>
      <c r="Y262" t="s" s="0">
        <v>81</v>
      </c>
      <c r="Z262" t="s" s="0">
        <v>93</v>
      </c>
      <c r="AA262" t="s" s="0">
        <v>94</v>
      </c>
      <c r="AB262" t="s" s="0">
        <v>81</v>
      </c>
      <c r="AC262" t="s" s="0">
        <v>81</v>
      </c>
      <c r="AD262" t="s" s="0">
        <v>81</v>
      </c>
      <c r="AE262" t="s" s="0">
        <v>81</v>
      </c>
      <c r="AF262" t="s" s="0">
        <v>81</v>
      </c>
      <c r="AG262" t="s" s="0">
        <v>6047</v>
      </c>
      <c r="AH262" t="s" s="0">
        <v>6048</v>
      </c>
      <c r="AI262" t="s" s="0">
        <v>81</v>
      </c>
      <c r="AJ262" t="s" s="0">
        <v>81</v>
      </c>
      <c r="AK262" t="s" s="0">
        <v>81</v>
      </c>
      <c r="AL262" t="s" s="0">
        <v>239</v>
      </c>
      <c r="AM262" t="s" s="0">
        <v>77</v>
      </c>
      <c r="AN262" t="s" s="0">
        <v>77</v>
      </c>
      <c r="AO262" t="s" s="0">
        <v>77</v>
      </c>
      <c r="AP262" t="s" s="0">
        <v>77</v>
      </c>
      <c r="AQ262" t="s" s="0">
        <v>103</v>
      </c>
      <c r="AR262" t="s" s="0">
        <v>104</v>
      </c>
      <c r="AS262" t="s" s="0">
        <v>105</v>
      </c>
      <c r="AT262" t="s" s="0">
        <v>81</v>
      </c>
      <c r="AU262" t="s" s="0">
        <v>387</v>
      </c>
      <c r="AV262" t="s" s="0">
        <v>81</v>
      </c>
      <c r="AW262" t="s" s="0">
        <v>388</v>
      </c>
      <c r="AX262" t="s" s="0">
        <v>389</v>
      </c>
      <c r="AY262" t="s" s="0">
        <v>144</v>
      </c>
      <c r="AZ262" t="s" s="0">
        <v>144</v>
      </c>
      <c r="BA262" t="s" s="0">
        <v>509</v>
      </c>
      <c r="BB262" t="s" s="0">
        <v>81</v>
      </c>
      <c r="BC262" t="s" s="0">
        <v>81</v>
      </c>
      <c r="BD262" t="s" s="0">
        <v>81</v>
      </c>
      <c r="BE262" t="s" s="0">
        <v>81</v>
      </c>
      <c r="BF262" t="s" s="0">
        <v>81</v>
      </c>
      <c r="BG262" t="s" s="0">
        <v>81</v>
      </c>
      <c r="BH262" t="s" s="0">
        <v>81</v>
      </c>
      <c r="BI262" t="s" s="0">
        <v>6049</v>
      </c>
      <c r="BJ262" t="s" s="0">
        <v>6050</v>
      </c>
      <c r="BK262" t="s" s="519">
        <f>HYPERLINK("http://dx.doi.org/10.2196/98207","http://dx.doi.org/10.2196/98207")</f>
        <v>6051</v>
      </c>
      <c r="BL262" t="s" s="0">
        <v>81</v>
      </c>
      <c r="BM262" t="s" s="0">
        <v>81</v>
      </c>
      <c r="BN262" t="s" s="0">
        <v>360</v>
      </c>
      <c r="BO262" t="s" s="0">
        <v>244</v>
      </c>
      <c r="BP262" t="s" s="0">
        <v>244</v>
      </c>
      <c r="BQ262" t="s" s="0">
        <v>6052</v>
      </c>
      <c r="BR262" t="s" s="0">
        <v>6053</v>
      </c>
      <c r="BS262" t="s" s="0">
        <v>6054</v>
      </c>
      <c r="BT262" t="s" s="520">
        <f>HYPERLINK("https://www.webofscience.com/wos/woscc/full-record/WOS:001841699400002","View Record in Web of Science")</f>
        <v>120</v>
      </c>
      <c r="BU262" t="s" s="0">
        <v>121</v>
      </c>
      <c r="BV262" t="s" s="0">
        <v>81</v>
      </c>
      <c r="BW262" t="s" s="0">
        <v>81</v>
      </c>
      <c r="BX262" t="s" s="0">
        <v>122</v>
      </c>
    </row>
    <row r="263">
      <c r="A263" t="s" s="0">
        <v>77</v>
      </c>
      <c r="B263" t="s" s="0">
        <v>77</v>
      </c>
      <c r="C263" t="s" s="0">
        <v>169</v>
      </c>
      <c r="D263" t="s" s="0">
        <v>77</v>
      </c>
      <c r="E263" t="s" s="0">
        <v>6055</v>
      </c>
      <c r="F263" t="s" s="0">
        <v>6056</v>
      </c>
      <c r="G263" t="s" s="0">
        <v>6057</v>
      </c>
      <c r="H263" t="s" s="0">
        <v>81</v>
      </c>
      <c r="I263" t="s" s="0">
        <v>218</v>
      </c>
      <c r="J263" t="s" s="0">
        <v>6058</v>
      </c>
      <c r="K263" t="s" s="0">
        <v>6059</v>
      </c>
      <c r="L263" t="s" s="0">
        <v>6060</v>
      </c>
      <c r="M263" t="s" s="0">
        <v>6060</v>
      </c>
      <c r="N263" t="s" s="0">
        <v>6061</v>
      </c>
      <c r="O263" t="s" s="0">
        <v>6062</v>
      </c>
      <c r="P263" t="s" s="0">
        <v>6063</v>
      </c>
      <c r="Q263" t="s" s="0">
        <v>90</v>
      </c>
      <c r="R263" t="s" s="0">
        <v>81</v>
      </c>
      <c r="S263" t="s" s="0">
        <v>81</v>
      </c>
      <c r="T263" t="s" s="0">
        <v>81</v>
      </c>
      <c r="U263" t="s" s="0">
        <v>81</v>
      </c>
      <c r="V263" t="s" s="0">
        <v>6064</v>
      </c>
      <c r="W263" t="s" s="0">
        <v>2071</v>
      </c>
      <c r="X263" t="s" s="0">
        <v>81</v>
      </c>
      <c r="Y263" t="s" s="0">
        <v>81</v>
      </c>
      <c r="Z263" t="s" s="0">
        <v>93</v>
      </c>
      <c r="AA263" t="s" s="0">
        <v>94</v>
      </c>
      <c r="AB263" t="s" s="0">
        <v>81</v>
      </c>
      <c r="AC263" t="s" s="0">
        <v>81</v>
      </c>
      <c r="AD263" t="s" s="0">
        <v>81</v>
      </c>
      <c r="AE263" t="s" s="0">
        <v>81</v>
      </c>
      <c r="AF263" t="s" s="0">
        <v>81</v>
      </c>
      <c r="AG263" t="s" s="0">
        <v>6065</v>
      </c>
      <c r="AH263" t="s" s="0">
        <v>81</v>
      </c>
      <c r="AI263" t="s" s="0">
        <v>81</v>
      </c>
      <c r="AJ263" t="s" s="0">
        <v>6066</v>
      </c>
      <c r="AK263" t="s" s="0">
        <v>81</v>
      </c>
      <c r="AL263" t="s" s="0">
        <v>671</v>
      </c>
      <c r="AM263" t="s" s="0">
        <v>554</v>
      </c>
      <c r="AN263" t="s" s="0">
        <v>554</v>
      </c>
      <c r="AO263" t="s" s="0">
        <v>77</v>
      </c>
      <c r="AP263" t="s" s="0">
        <v>77</v>
      </c>
      <c r="AQ263" t="s" s="0">
        <v>103</v>
      </c>
      <c r="AR263" t="s" s="0">
        <v>104</v>
      </c>
      <c r="AS263" t="s" s="0">
        <v>105</v>
      </c>
      <c r="AT263" t="s" s="0">
        <v>81</v>
      </c>
      <c r="AU263" t="s" s="0">
        <v>2075</v>
      </c>
      <c r="AV263" t="s" s="0">
        <v>81</v>
      </c>
      <c r="AW263" t="s" s="0">
        <v>2076</v>
      </c>
      <c r="AX263" t="s" s="0">
        <v>2077</v>
      </c>
      <c r="AY263" t="s" s="0">
        <v>110</v>
      </c>
      <c r="AZ263" t="s" s="0">
        <v>110</v>
      </c>
      <c r="BA263" t="s" s="0">
        <v>328</v>
      </c>
      <c r="BB263" t="s" s="0">
        <v>81</v>
      </c>
      <c r="BC263" t="s" s="0">
        <v>81</v>
      </c>
      <c r="BD263" t="s" s="0">
        <v>81</v>
      </c>
      <c r="BE263" t="s" s="0">
        <v>81</v>
      </c>
      <c r="BF263" t="s" s="0">
        <v>81</v>
      </c>
      <c r="BG263" t="s" s="0">
        <v>81</v>
      </c>
      <c r="BH263" t="s" s="0">
        <v>81</v>
      </c>
      <c r="BI263" t="s" s="0">
        <v>6067</v>
      </c>
      <c r="BJ263" t="s" s="0">
        <v>6068</v>
      </c>
      <c r="BK263" t="s" s="521">
        <f>HYPERLINK("http://dx.doi.org/10.2196/77580","http://dx.doi.org/10.2196/77580")</f>
        <v>6069</v>
      </c>
      <c r="BL263" t="s" s="0">
        <v>81</v>
      </c>
      <c r="BM263" t="s" s="0">
        <v>81</v>
      </c>
      <c r="BN263" t="s" s="0">
        <v>102</v>
      </c>
      <c r="BO263" t="s" s="0">
        <v>116</v>
      </c>
      <c r="BP263" t="s" s="0">
        <v>116</v>
      </c>
      <c r="BQ263" t="s" s="0">
        <v>6070</v>
      </c>
      <c r="BR263" t="s" s="0">
        <v>6071</v>
      </c>
      <c r="BS263" t="s" s="0">
        <v>6072</v>
      </c>
      <c r="BT263" t="s" s="522">
        <f>HYPERLINK("https://www.webofscience.com/wos/woscc/full-record/WOS:001639344900039","View Record in Web of Science")</f>
        <v>120</v>
      </c>
      <c r="BU263" t="s" s="0">
        <v>121</v>
      </c>
      <c r="BV263" t="s" s="0">
        <v>81</v>
      </c>
      <c r="BW263" t="s" s="0">
        <v>81</v>
      </c>
      <c r="BX263" t="s" s="0">
        <v>122</v>
      </c>
    </row>
    <row r="264">
      <c r="A264" t="s" s="0">
        <v>77</v>
      </c>
      <c r="B264" t="s" s="0">
        <v>77</v>
      </c>
      <c r="C264" t="s" s="0">
        <v>77</v>
      </c>
      <c r="D264" t="s" s="0">
        <v>77</v>
      </c>
      <c r="E264" t="s" s="0">
        <v>6073</v>
      </c>
      <c r="F264" t="s" s="0">
        <v>6074</v>
      </c>
      <c r="G264" t="s" s="0">
        <v>6075</v>
      </c>
      <c r="H264" t="s" s="0">
        <v>81</v>
      </c>
      <c r="I264" t="s" s="0">
        <v>568</v>
      </c>
      <c r="J264" t="s" s="0">
        <v>6076</v>
      </c>
      <c r="K264" t="s" s="0">
        <v>6077</v>
      </c>
      <c r="L264" t="s" s="0">
        <v>81</v>
      </c>
      <c r="M264" t="s" s="0">
        <v>81</v>
      </c>
      <c r="N264" t="s" s="0">
        <v>81</v>
      </c>
      <c r="O264" t="s" s="0">
        <v>6078</v>
      </c>
      <c r="P264" t="s" s="0">
        <v>6079</v>
      </c>
      <c r="Q264" t="s" s="0">
        <v>90</v>
      </c>
      <c r="R264" t="s" s="0">
        <v>81</v>
      </c>
      <c r="S264" t="s" s="0">
        <v>81</v>
      </c>
      <c r="T264" t="s" s="0">
        <v>81</v>
      </c>
      <c r="U264" t="s" s="0">
        <v>81</v>
      </c>
      <c r="V264" t="s" s="0">
        <v>6080</v>
      </c>
      <c r="W264" t="s" s="0">
        <v>4571</v>
      </c>
      <c r="X264" t="s" s="0">
        <v>81</v>
      </c>
      <c r="Y264" t="s" s="0">
        <v>81</v>
      </c>
      <c r="Z264" t="s" s="0">
        <v>93</v>
      </c>
      <c r="AA264" t="s" s="0">
        <v>94</v>
      </c>
      <c r="AB264" t="s" s="0">
        <v>81</v>
      </c>
      <c r="AC264" t="s" s="0">
        <v>81</v>
      </c>
      <c r="AD264" t="s" s="0">
        <v>81</v>
      </c>
      <c r="AE264" t="s" s="0">
        <v>81</v>
      </c>
      <c r="AF264" t="s" s="0">
        <v>81</v>
      </c>
      <c r="AG264" t="s" s="0">
        <v>6081</v>
      </c>
      <c r="AH264" t="s" s="0">
        <v>81</v>
      </c>
      <c r="AI264" t="s" s="0">
        <v>6082</v>
      </c>
      <c r="AJ264" t="s" s="0">
        <v>6083</v>
      </c>
      <c r="AK264" t="s" s="0">
        <v>81</v>
      </c>
      <c r="AL264" t="s" s="0">
        <v>671</v>
      </c>
      <c r="AM264" t="s" s="0">
        <v>554</v>
      </c>
      <c r="AN264" t="s" s="0">
        <v>554</v>
      </c>
      <c r="AO264" t="s" s="0">
        <v>554</v>
      </c>
      <c r="AP264" t="s" s="0">
        <v>554</v>
      </c>
      <c r="AQ264" t="s" s="0">
        <v>137</v>
      </c>
      <c r="AR264" t="s" s="0">
        <v>138</v>
      </c>
      <c r="AS264" t="s" s="0">
        <v>139</v>
      </c>
      <c r="AT264" t="s" s="0">
        <v>81</v>
      </c>
      <c r="AU264" t="s" s="0">
        <v>4575</v>
      </c>
      <c r="AV264" t="s" s="0">
        <v>81</v>
      </c>
      <c r="AW264" t="s" s="0">
        <v>4576</v>
      </c>
      <c r="AX264" t="s" s="0">
        <v>4577</v>
      </c>
      <c r="AY264" t="s" s="0">
        <v>6084</v>
      </c>
      <c r="AZ264" t="s" s="0">
        <v>144</v>
      </c>
      <c r="BA264" t="s" s="0">
        <v>509</v>
      </c>
      <c r="BB264" t="s" s="0">
        <v>452</v>
      </c>
      <c r="BC264" t="s" s="0">
        <v>81</v>
      </c>
      <c r="BD264" t="s" s="0">
        <v>81</v>
      </c>
      <c r="BE264" t="s" s="0">
        <v>81</v>
      </c>
      <c r="BF264" t="s" s="0">
        <v>81</v>
      </c>
      <c r="BG264" t="s" s="0">
        <v>81</v>
      </c>
      <c r="BH264" t="s" s="0">
        <v>81</v>
      </c>
      <c r="BI264" t="s" s="0">
        <v>6085</v>
      </c>
      <c r="BJ264" t="s" s="0">
        <v>6086</v>
      </c>
      <c r="BK264" t="s" s="523">
        <f>HYPERLINK("http://dx.doi.org/10.3390/healthcare14060739","http://dx.doi.org/10.3390/healthcare14060739")</f>
        <v>6087</v>
      </c>
      <c r="BL264" t="s" s="0">
        <v>81</v>
      </c>
      <c r="BM264" t="s" s="0">
        <v>81</v>
      </c>
      <c r="BN264" t="s" s="0">
        <v>265</v>
      </c>
      <c r="BO264" t="s" s="0">
        <v>4582</v>
      </c>
      <c r="BP264" t="s" s="0">
        <v>2864</v>
      </c>
      <c r="BQ264" t="s" s="0">
        <v>6088</v>
      </c>
      <c r="BR264" t="s" s="0">
        <v>6089</v>
      </c>
      <c r="BS264" t="s" s="0">
        <v>6090</v>
      </c>
      <c r="BT264" t="s" s="524">
        <f>HYPERLINK("https://www.webofscience.com/wos/woscc/full-record/WOS:001725520900001","View Record in Web of Science")</f>
        <v>120</v>
      </c>
      <c r="BU264" t="s" s="0">
        <v>121</v>
      </c>
      <c r="BV264" t="s" s="0">
        <v>81</v>
      </c>
      <c r="BW264" t="s" s="0">
        <v>81</v>
      </c>
      <c r="BX264" t="s" s="0">
        <v>122</v>
      </c>
    </row>
    <row r="265">
      <c r="A265" t="s" s="0">
        <v>77</v>
      </c>
      <c r="B265" t="s" s="0">
        <v>77</v>
      </c>
      <c r="C265" t="s" s="0">
        <v>169</v>
      </c>
      <c r="D265" t="s" s="0">
        <v>77</v>
      </c>
      <c r="E265" t="s" s="0">
        <v>6091</v>
      </c>
      <c r="F265" t="s" s="0">
        <v>6092</v>
      </c>
      <c r="G265" t="s" s="0">
        <v>6093</v>
      </c>
      <c r="H265" t="s" s="0">
        <v>81</v>
      </c>
      <c r="I265" t="s" s="0">
        <v>82</v>
      </c>
      <c r="J265" t="s" s="0">
        <v>6094</v>
      </c>
      <c r="K265" t="s" s="0">
        <v>6095</v>
      </c>
      <c r="L265" t="s" s="0">
        <v>81</v>
      </c>
      <c r="M265" t="s" s="0">
        <v>81</v>
      </c>
      <c r="N265" t="s" s="0">
        <v>81</v>
      </c>
      <c r="O265" t="s" s="0">
        <v>6096</v>
      </c>
      <c r="P265" t="s" s="0">
        <v>6097</v>
      </c>
      <c r="Q265" t="s" s="0">
        <v>90</v>
      </c>
      <c r="R265" t="s" s="0">
        <v>81</v>
      </c>
      <c r="S265" t="s" s="0">
        <v>81</v>
      </c>
      <c r="T265" t="s" s="0">
        <v>81</v>
      </c>
      <c r="U265" t="s" s="0">
        <v>81</v>
      </c>
      <c r="V265" t="s" s="0">
        <v>6098</v>
      </c>
      <c r="W265" t="s" s="0">
        <v>6099</v>
      </c>
      <c r="X265" t="s" s="0">
        <v>81</v>
      </c>
      <c r="Y265" t="s" s="0">
        <v>81</v>
      </c>
      <c r="Z265" t="s" s="0">
        <v>93</v>
      </c>
      <c r="AA265" t="s" s="0">
        <v>94</v>
      </c>
      <c r="AB265" t="s" s="0">
        <v>81</v>
      </c>
      <c r="AC265" t="s" s="0">
        <v>81</v>
      </c>
      <c r="AD265" t="s" s="0">
        <v>81</v>
      </c>
      <c r="AE265" t="s" s="0">
        <v>81</v>
      </c>
      <c r="AF265" t="s" s="0">
        <v>81</v>
      </c>
      <c r="AG265" t="s" s="0">
        <v>6100</v>
      </c>
      <c r="AH265" t="s" s="0">
        <v>6101</v>
      </c>
      <c r="AI265" t="s" s="0">
        <v>6102</v>
      </c>
      <c r="AJ265" t="s" s="0">
        <v>6103</v>
      </c>
      <c r="AK265" t="s" s="0">
        <v>81</v>
      </c>
      <c r="AL265" t="s" s="0">
        <v>319</v>
      </c>
      <c r="AM265" t="s" s="0">
        <v>386</v>
      </c>
      <c r="AN265" t="s" s="0">
        <v>386</v>
      </c>
      <c r="AO265" t="s" s="0">
        <v>554</v>
      </c>
      <c r="AP265" t="s" s="0">
        <v>386</v>
      </c>
      <c r="AQ265" t="s" s="0">
        <v>1544</v>
      </c>
      <c r="AR265" t="s" s="0">
        <v>1545</v>
      </c>
      <c r="AS265" t="s" s="0">
        <v>1546</v>
      </c>
      <c r="AT265" t="s" s="0">
        <v>6104</v>
      </c>
      <c r="AU265" t="s" s="0">
        <v>6105</v>
      </c>
      <c r="AV265" t="s" s="0">
        <v>81</v>
      </c>
      <c r="AW265" t="s" s="0">
        <v>6099</v>
      </c>
      <c r="AX265" t="s" s="0">
        <v>6106</v>
      </c>
      <c r="AY265" t="s" s="0">
        <v>2055</v>
      </c>
      <c r="AZ265" t="s" s="0">
        <v>144</v>
      </c>
      <c r="BA265" t="s" s="0">
        <v>6107</v>
      </c>
      <c r="BB265" t="s" s="0">
        <v>169</v>
      </c>
      <c r="BC265" t="s" s="0">
        <v>81</v>
      </c>
      <c r="BD265" t="s" s="0">
        <v>81</v>
      </c>
      <c r="BE265" t="s" s="0">
        <v>81</v>
      </c>
      <c r="BF265" t="s" s="0">
        <v>81</v>
      </c>
      <c r="BG265" t="s" s="0">
        <v>658</v>
      </c>
      <c r="BH265" t="s" s="0">
        <v>1275</v>
      </c>
      <c r="BI265" t="s" s="0">
        <v>81</v>
      </c>
      <c r="BJ265" t="s" s="0">
        <v>6108</v>
      </c>
      <c r="BK265" t="s" s="525">
        <f>HYPERLINK("http://dx.doi.org/10.1111/anae.16755","http://dx.doi.org/10.1111/anae.16755")</f>
        <v>6109</v>
      </c>
      <c r="BL265" t="s" s="0">
        <v>81</v>
      </c>
      <c r="BM265" t="s" s="0">
        <v>666</v>
      </c>
      <c r="BN265" t="s" s="0">
        <v>102</v>
      </c>
      <c r="BO265" t="s" s="0">
        <v>5308</v>
      </c>
      <c r="BP265" t="s" s="0">
        <v>5308</v>
      </c>
      <c r="BQ265" t="s" s="0">
        <v>6110</v>
      </c>
      <c r="BR265" t="s" s="0">
        <v>6111</v>
      </c>
      <c r="BS265" t="s" s="0">
        <v>6112</v>
      </c>
      <c r="BT265" t="s" s="526">
        <f>HYPERLINK("https://www.webofscience.com/wos/woscc/full-record/WOS:001574603700001","View Record in Web of Science")</f>
        <v>120</v>
      </c>
      <c r="BU265" t="s" s="0">
        <v>81</v>
      </c>
      <c r="BV265" t="s" s="0">
        <v>81</v>
      </c>
      <c r="BW265" t="s" s="0">
        <v>81</v>
      </c>
      <c r="BX265" t="s" s="0">
        <v>122</v>
      </c>
    </row>
    <row r="266">
      <c r="A266" t="s" s="0">
        <v>77</v>
      </c>
      <c r="B266" t="s" s="0">
        <v>77</v>
      </c>
      <c r="C266" t="s" s="0">
        <v>77</v>
      </c>
      <c r="D266" t="s" s="0">
        <v>77</v>
      </c>
      <c r="E266" t="s" s="0">
        <v>6113</v>
      </c>
      <c r="F266" t="s" s="0">
        <v>6114</v>
      </c>
      <c r="G266" t="s" s="0">
        <v>6115</v>
      </c>
      <c r="H266" t="s" s="0">
        <v>81</v>
      </c>
      <c r="I266" t="s" s="0">
        <v>218</v>
      </c>
      <c r="J266" t="s" s="0">
        <v>6116</v>
      </c>
      <c r="K266" t="s" s="0">
        <v>6117</v>
      </c>
      <c r="L266" t="s" s="0">
        <v>6118</v>
      </c>
      <c r="M266" t="s" s="0">
        <v>6119</v>
      </c>
      <c r="N266" t="s" s="0">
        <v>6120</v>
      </c>
      <c r="O266" t="s" s="0">
        <v>6121</v>
      </c>
      <c r="P266" t="s" s="0">
        <v>6122</v>
      </c>
      <c r="Q266" t="s" s="0">
        <v>90</v>
      </c>
      <c r="R266" t="s" s="0">
        <v>81</v>
      </c>
      <c r="S266" t="s" s="0">
        <v>81</v>
      </c>
      <c r="T266" t="s" s="0">
        <v>81</v>
      </c>
      <c r="U266" t="s" s="0">
        <v>81</v>
      </c>
      <c r="V266" t="s" s="0">
        <v>6123</v>
      </c>
      <c r="W266" t="s" s="0">
        <v>817</v>
      </c>
      <c r="X266" t="s" s="0">
        <v>81</v>
      </c>
      <c r="Y266" t="s" s="0">
        <v>81</v>
      </c>
      <c r="Z266" t="s" s="0">
        <v>93</v>
      </c>
      <c r="AA266" t="s" s="0">
        <v>94</v>
      </c>
      <c r="AB266" t="s" s="0">
        <v>81</v>
      </c>
      <c r="AC266" t="s" s="0">
        <v>81</v>
      </c>
      <c r="AD266" t="s" s="0">
        <v>81</v>
      </c>
      <c r="AE266" t="s" s="0">
        <v>81</v>
      </c>
      <c r="AF266" t="s" s="0">
        <v>81</v>
      </c>
      <c r="AG266" t="s" s="0">
        <v>81</v>
      </c>
      <c r="AH266" t="s" s="0">
        <v>6101</v>
      </c>
      <c r="AI266" t="s" s="0">
        <v>6124</v>
      </c>
      <c r="AJ266" t="s" s="0">
        <v>81</v>
      </c>
      <c r="AK266" t="s" s="0">
        <v>81</v>
      </c>
      <c r="AL266" t="s" s="0">
        <v>690</v>
      </c>
      <c r="AM266" t="s" s="0">
        <v>169</v>
      </c>
      <c r="AN266" t="s" s="0">
        <v>169</v>
      </c>
      <c r="AO266" t="s" s="0">
        <v>169</v>
      </c>
      <c r="AP266" t="s" s="0">
        <v>169</v>
      </c>
      <c r="AQ266" t="s" s="0">
        <v>821</v>
      </c>
      <c r="AR266" t="s" s="0">
        <v>822</v>
      </c>
      <c r="AS266" t="s" s="0">
        <v>823</v>
      </c>
      <c r="AT266" t="s" s="0">
        <v>81</v>
      </c>
      <c r="AU266" t="s" s="0">
        <v>824</v>
      </c>
      <c r="AV266" t="s" s="0">
        <v>81</v>
      </c>
      <c r="AW266" t="s" s="0">
        <v>825</v>
      </c>
      <c r="AX266" t="s" s="0">
        <v>826</v>
      </c>
      <c r="AY266" t="s" s="0">
        <v>532</v>
      </c>
      <c r="AZ266" t="s" s="0">
        <v>144</v>
      </c>
      <c r="BA266" t="s" s="0">
        <v>100</v>
      </c>
      <c r="BB266" t="s" s="0">
        <v>452</v>
      </c>
      <c r="BC266" t="s" s="0">
        <v>81</v>
      </c>
      <c r="BD266" t="s" s="0">
        <v>81</v>
      </c>
      <c r="BE266" t="s" s="0">
        <v>81</v>
      </c>
      <c r="BF266" t="s" s="0">
        <v>81</v>
      </c>
      <c r="BG266" t="s" s="0">
        <v>81</v>
      </c>
      <c r="BH266" t="s" s="0">
        <v>81</v>
      </c>
      <c r="BI266" t="s" s="0">
        <v>6125</v>
      </c>
      <c r="BJ266" t="s" s="0">
        <v>6126</v>
      </c>
      <c r="BK266" t="s" s="527">
        <f>HYPERLINK("http://dx.doi.org/10.1371/journal.pdig.0001474","http://dx.doi.org/10.1371/journal.pdig.0001474")</f>
        <v>6127</v>
      </c>
      <c r="BL266" t="s" s="0">
        <v>81</v>
      </c>
      <c r="BM266" t="s" s="0">
        <v>81</v>
      </c>
      <c r="BN266" t="s" s="0">
        <v>1118</v>
      </c>
      <c r="BO266" t="s" s="0">
        <v>116</v>
      </c>
      <c r="BP266" t="s" s="0">
        <v>116</v>
      </c>
      <c r="BQ266" t="s" s="0">
        <v>6128</v>
      </c>
      <c r="BR266" t="s" s="0">
        <v>6129</v>
      </c>
      <c r="BS266" t="s" s="0">
        <v>6130</v>
      </c>
      <c r="BT266" t="s" s="528">
        <f>HYPERLINK("https://www.webofscience.com/wos/woscc/full-record/WOS:001791210000001","View Record in Web of Science")</f>
        <v>120</v>
      </c>
      <c r="BU266" t="s" s="0">
        <v>121</v>
      </c>
      <c r="BV266" t="s" s="0">
        <v>81</v>
      </c>
      <c r="BW266" t="s" s="0">
        <v>81</v>
      </c>
      <c r="BX266" t="s" s="0">
        <v>122</v>
      </c>
    </row>
    <row r="267">
      <c r="A267" t="s" s="0">
        <v>77</v>
      </c>
      <c r="B267" t="s" s="0">
        <v>77</v>
      </c>
      <c r="C267" t="s" s="0">
        <v>77</v>
      </c>
      <c r="D267" t="s" s="0">
        <v>77</v>
      </c>
      <c r="E267" t="s" s="0">
        <v>6131</v>
      </c>
      <c r="F267" t="s" s="0">
        <v>6132</v>
      </c>
      <c r="G267" t="s" s="0">
        <v>6133</v>
      </c>
      <c r="H267" t="s" s="0">
        <v>81</v>
      </c>
      <c r="I267" t="s" s="0">
        <v>82</v>
      </c>
      <c r="J267" t="s" s="0">
        <v>6134</v>
      </c>
      <c r="K267" t="s" s="0">
        <v>6135</v>
      </c>
      <c r="L267" t="s" s="0">
        <v>6136</v>
      </c>
      <c r="M267" t="s" s="0">
        <v>6137</v>
      </c>
      <c r="N267" t="s" s="0">
        <v>6138</v>
      </c>
      <c r="O267" t="s" s="0">
        <v>6139</v>
      </c>
      <c r="P267" t="s" s="0">
        <v>6140</v>
      </c>
      <c r="Q267" t="s" s="0">
        <v>90</v>
      </c>
      <c r="R267" t="s" s="0">
        <v>81</v>
      </c>
      <c r="S267" t="s" s="0">
        <v>81</v>
      </c>
      <c r="T267" t="s" s="0">
        <v>81</v>
      </c>
      <c r="U267" t="s" s="0">
        <v>81</v>
      </c>
      <c r="V267" t="s" s="0">
        <v>6141</v>
      </c>
      <c r="W267" t="s" s="0">
        <v>92</v>
      </c>
      <c r="X267" t="s" s="0">
        <v>81</v>
      </c>
      <c r="Y267" t="s" s="0">
        <v>81</v>
      </c>
      <c r="Z267" t="s" s="0">
        <v>93</v>
      </c>
      <c r="AA267" t="s" s="0">
        <v>94</v>
      </c>
      <c r="AB267" t="s" s="0">
        <v>81</v>
      </c>
      <c r="AC267" t="s" s="0">
        <v>81</v>
      </c>
      <c r="AD267" t="s" s="0">
        <v>81</v>
      </c>
      <c r="AE267" t="s" s="0">
        <v>81</v>
      </c>
      <c r="AF267" t="s" s="0">
        <v>81</v>
      </c>
      <c r="AG267" t="s" s="0">
        <v>6142</v>
      </c>
      <c r="AH267" t="s" s="0">
        <v>81</v>
      </c>
      <c r="AI267" t="s" s="0">
        <v>6143</v>
      </c>
      <c r="AJ267" t="s" s="0">
        <v>6144</v>
      </c>
      <c r="AK267" t="s" s="0">
        <v>81</v>
      </c>
      <c r="AL267" t="s" s="0">
        <v>1543</v>
      </c>
      <c r="AM267" t="s" s="0">
        <v>452</v>
      </c>
      <c r="AN267" t="s" s="0">
        <v>452</v>
      </c>
      <c r="AO267" t="s" s="0">
        <v>101</v>
      </c>
      <c r="AP267" t="s" s="0">
        <v>100</v>
      </c>
      <c r="AQ267" t="s" s="0">
        <v>103</v>
      </c>
      <c r="AR267" t="s" s="0">
        <v>104</v>
      </c>
      <c r="AS267" t="s" s="0">
        <v>105</v>
      </c>
      <c r="AT267" t="s" s="0">
        <v>1405</v>
      </c>
      <c r="AU267" t="s" s="0">
        <v>106</v>
      </c>
      <c r="AV267" t="s" s="0">
        <v>81</v>
      </c>
      <c r="AW267" t="s" s="0">
        <v>107</v>
      </c>
      <c r="AX267" t="s" s="0">
        <v>108</v>
      </c>
      <c r="AY267" t="s" s="0">
        <v>6145</v>
      </c>
      <c r="AZ267" t="s" s="0">
        <v>110</v>
      </c>
      <c r="BA267" t="s" s="0">
        <v>111</v>
      </c>
      <c r="BB267" t="s" s="0">
        <v>81</v>
      </c>
      <c r="BC267" t="s" s="0">
        <v>81</v>
      </c>
      <c r="BD267" t="s" s="0">
        <v>81</v>
      </c>
      <c r="BE267" t="s" s="0">
        <v>81</v>
      </c>
      <c r="BF267" t="s" s="0">
        <v>81</v>
      </c>
      <c r="BG267" t="s" s="0">
        <v>81</v>
      </c>
      <c r="BH267" t="s" s="0">
        <v>81</v>
      </c>
      <c r="BI267" t="s" s="0">
        <v>6146</v>
      </c>
      <c r="BJ267" t="s" s="0">
        <v>6147</v>
      </c>
      <c r="BK267" t="s" s="529">
        <f>HYPERLINK("http://dx.doi.org/10.2196/79379","http://dx.doi.org/10.2196/79379")</f>
        <v>6148</v>
      </c>
      <c r="BL267" t="s" s="0">
        <v>81</v>
      </c>
      <c r="BM267" t="s" s="0">
        <v>81</v>
      </c>
      <c r="BN267" t="s" s="0">
        <v>320</v>
      </c>
      <c r="BO267" t="s" s="0">
        <v>116</v>
      </c>
      <c r="BP267" t="s" s="0">
        <v>116</v>
      </c>
      <c r="BQ267" t="s" s="0">
        <v>6149</v>
      </c>
      <c r="BR267" t="s" s="0">
        <v>6150</v>
      </c>
      <c r="BS267" t="s" s="0">
        <v>6151</v>
      </c>
      <c r="BT267" t="s" s="530">
        <f>HYPERLINK("https://www.webofscience.com/wos/woscc/full-record/WOS:001615795200002","View Record in Web of Science")</f>
        <v>120</v>
      </c>
      <c r="BU267" t="s" s="0">
        <v>121</v>
      </c>
      <c r="BV267" t="s" s="0">
        <v>81</v>
      </c>
      <c r="BW267" t="s" s="0">
        <v>81</v>
      </c>
      <c r="BX267" t="s" s="0">
        <v>122</v>
      </c>
    </row>
    <row r="268">
      <c r="A268" t="s" s="0">
        <v>77</v>
      </c>
      <c r="B268" t="s" s="0">
        <v>77</v>
      </c>
      <c r="C268" t="s" s="0">
        <v>169</v>
      </c>
      <c r="D268" t="s" s="0">
        <v>77</v>
      </c>
      <c r="E268" t="s" s="0">
        <v>6152</v>
      </c>
      <c r="F268" t="s" s="0">
        <v>6153</v>
      </c>
      <c r="G268" t="s" s="0">
        <v>6154</v>
      </c>
      <c r="H268" t="s" s="0">
        <v>81</v>
      </c>
      <c r="I268" t="s" s="0">
        <v>82</v>
      </c>
      <c r="J268" t="s" s="0">
        <v>6155</v>
      </c>
      <c r="K268" t="s" s="0">
        <v>6156</v>
      </c>
      <c r="L268" t="s" s="0">
        <v>6157</v>
      </c>
      <c r="M268" t="s" s="0">
        <v>6157</v>
      </c>
      <c r="N268" t="s" s="0">
        <v>6158</v>
      </c>
      <c r="O268" t="s" s="0">
        <v>6159</v>
      </c>
      <c r="P268" t="s" s="0">
        <v>6160</v>
      </c>
      <c r="Q268" t="s" s="0">
        <v>90</v>
      </c>
      <c r="R268" t="s" s="0">
        <v>81</v>
      </c>
      <c r="S268" t="s" s="0">
        <v>81</v>
      </c>
      <c r="T268" t="s" s="0">
        <v>81</v>
      </c>
      <c r="U268" t="s" s="0">
        <v>81</v>
      </c>
      <c r="V268" t="s" s="0">
        <v>6161</v>
      </c>
      <c r="W268" t="s" s="0">
        <v>4848</v>
      </c>
      <c r="X268" t="s" s="0">
        <v>81</v>
      </c>
      <c r="Y268" t="s" s="0">
        <v>81</v>
      </c>
      <c r="Z268" t="s" s="0">
        <v>93</v>
      </c>
      <c r="AA268" t="s" s="0">
        <v>94</v>
      </c>
      <c r="AB268" t="s" s="0">
        <v>81</v>
      </c>
      <c r="AC268" t="s" s="0">
        <v>81</v>
      </c>
      <c r="AD268" t="s" s="0">
        <v>81</v>
      </c>
      <c r="AE268" t="s" s="0">
        <v>81</v>
      </c>
      <c r="AF268" t="s" s="0">
        <v>81</v>
      </c>
      <c r="AG268" t="s" s="0">
        <v>81</v>
      </c>
      <c r="AH268" t="s" s="0">
        <v>6162</v>
      </c>
      <c r="AI268" t="s" s="0">
        <v>6163</v>
      </c>
      <c r="AJ268" t="s" s="0">
        <v>6164</v>
      </c>
      <c r="AK268" t="s" s="0">
        <v>81</v>
      </c>
      <c r="AL268" t="s" s="0">
        <v>301</v>
      </c>
      <c r="AM268" t="s" s="0">
        <v>452</v>
      </c>
      <c r="AN268" t="s" s="0">
        <v>210</v>
      </c>
      <c r="AO268" t="s" s="0">
        <v>386</v>
      </c>
      <c r="AP268" t="s" s="0">
        <v>386</v>
      </c>
      <c r="AQ268" t="s" s="0">
        <v>288</v>
      </c>
      <c r="AR268" t="s" s="0">
        <v>289</v>
      </c>
      <c r="AS268" t="s" s="0">
        <v>290</v>
      </c>
      <c r="AT268" t="s" s="0">
        <v>81</v>
      </c>
      <c r="AU268" t="s" s="0">
        <v>4851</v>
      </c>
      <c r="AV268" t="s" s="0">
        <v>81</v>
      </c>
      <c r="AW268" t="s" s="0">
        <v>4852</v>
      </c>
      <c r="AX268" t="s" s="0">
        <v>4853</v>
      </c>
      <c r="AY268" t="s" s="0">
        <v>2055</v>
      </c>
      <c r="AZ268" t="s" s="0">
        <v>144</v>
      </c>
      <c r="BA268" t="s" s="0">
        <v>210</v>
      </c>
      <c r="BB268" t="s" s="0">
        <v>169</v>
      </c>
      <c r="BC268" t="s" s="0">
        <v>81</v>
      </c>
      <c r="BD268" t="s" s="0">
        <v>81</v>
      </c>
      <c r="BE268" t="s" s="0">
        <v>81</v>
      </c>
      <c r="BF268" t="s" s="0">
        <v>81</v>
      </c>
      <c r="BG268" t="s" s="0">
        <v>81</v>
      </c>
      <c r="BH268" t="s" s="0">
        <v>81</v>
      </c>
      <c r="BI268" t="s" s="0">
        <v>6165</v>
      </c>
      <c r="BJ268" t="s" s="0">
        <v>6166</v>
      </c>
      <c r="BK268" t="s" s="531">
        <f>HYPERLINK("http://dx.doi.org/10.1016/j.landig.2025.100949","http://dx.doi.org/10.1016/j.landig.2025.100949")</f>
        <v>6167</v>
      </c>
      <c r="BL268" t="s" s="0">
        <v>81</v>
      </c>
      <c r="BM268" t="s" s="0">
        <v>508</v>
      </c>
      <c r="BN268" t="s" s="0">
        <v>102</v>
      </c>
      <c r="BO268" t="s" s="0">
        <v>4858</v>
      </c>
      <c r="BP268" t="s" s="0">
        <v>4859</v>
      </c>
      <c r="BQ268" t="s" s="0">
        <v>6168</v>
      </c>
      <c r="BR268" t="s" s="0">
        <v>6169</v>
      </c>
      <c r="BS268" t="s" s="0">
        <v>6170</v>
      </c>
      <c r="BT268" t="s" s="532">
        <f>HYPERLINK("https://www.webofscience.com/wos/woscc/full-record/WOS:001691380400001","View Record in Web of Science")</f>
        <v>120</v>
      </c>
      <c r="BU268" t="s" s="0">
        <v>1216</v>
      </c>
      <c r="BV268" t="s" s="0">
        <v>81</v>
      </c>
      <c r="BW268" t="s" s="0">
        <v>81</v>
      </c>
      <c r="BX268" t="s" s="0">
        <v>122</v>
      </c>
    </row>
    <row r="269">
      <c r="A269" t="s" s="0">
        <v>77</v>
      </c>
      <c r="B269" t="s" s="0">
        <v>77</v>
      </c>
      <c r="C269" t="s" s="0">
        <v>169</v>
      </c>
      <c r="D269" t="s" s="0">
        <v>77</v>
      </c>
      <c r="E269" t="s" s="0">
        <v>6171</v>
      </c>
      <c r="F269" t="s" s="0">
        <v>6172</v>
      </c>
      <c r="G269" t="s" s="0">
        <v>6173</v>
      </c>
      <c r="H269" t="s" s="0">
        <v>81</v>
      </c>
      <c r="I269" t="s" s="0">
        <v>218</v>
      </c>
      <c r="J269" t="s" s="0">
        <v>6174</v>
      </c>
      <c r="K269" t="s" s="0">
        <v>6175</v>
      </c>
      <c r="L269" t="s" s="0">
        <v>6176</v>
      </c>
      <c r="M269" t="s" s="0">
        <v>6177</v>
      </c>
      <c r="N269" t="s" s="0">
        <v>6178</v>
      </c>
      <c r="O269" t="s" s="0">
        <v>6179</v>
      </c>
      <c r="P269" t="s" s="0">
        <v>6180</v>
      </c>
      <c r="Q269" t="s" s="0">
        <v>90</v>
      </c>
      <c r="R269" t="s" s="0">
        <v>81</v>
      </c>
      <c r="S269" t="s" s="0">
        <v>81</v>
      </c>
      <c r="T269" t="s" s="0">
        <v>81</v>
      </c>
      <c r="U269" t="s" s="0">
        <v>81</v>
      </c>
      <c r="V269" t="s" s="0">
        <v>6181</v>
      </c>
      <c r="W269" t="s" s="0">
        <v>3408</v>
      </c>
      <c r="X269" t="s" s="0">
        <v>81</v>
      </c>
      <c r="Y269" t="s" s="0">
        <v>81</v>
      </c>
      <c r="Z269" t="s" s="0">
        <v>93</v>
      </c>
      <c r="AA269" t="s" s="0">
        <v>94</v>
      </c>
      <c r="AB269" t="s" s="0">
        <v>81</v>
      </c>
      <c r="AC269" t="s" s="0">
        <v>81</v>
      </c>
      <c r="AD269" t="s" s="0">
        <v>81</v>
      </c>
      <c r="AE269" t="s" s="0">
        <v>81</v>
      </c>
      <c r="AF269" t="s" s="0">
        <v>81</v>
      </c>
      <c r="AG269" t="s" s="0">
        <v>81</v>
      </c>
      <c r="AH269" t="s" s="0">
        <v>81</v>
      </c>
      <c r="AI269" t="s" s="0">
        <v>6182</v>
      </c>
      <c r="AJ269" t="s" s="0">
        <v>6183</v>
      </c>
      <c r="AK269" t="s" s="0">
        <v>81</v>
      </c>
      <c r="AL269" t="s" s="0">
        <v>2026</v>
      </c>
      <c r="AM269" t="s" s="0">
        <v>360</v>
      </c>
      <c r="AN269" t="s" s="0">
        <v>115</v>
      </c>
      <c r="AO269" t="s" s="0">
        <v>554</v>
      </c>
      <c r="AP269" t="s" s="0">
        <v>99</v>
      </c>
      <c r="AQ269" t="s" s="0">
        <v>288</v>
      </c>
      <c r="AR269" t="s" s="0">
        <v>289</v>
      </c>
      <c r="AS269" t="s" s="0">
        <v>290</v>
      </c>
      <c r="AT269" t="s" s="0">
        <v>81</v>
      </c>
      <c r="AU269" t="s" s="0">
        <v>3412</v>
      </c>
      <c r="AV269" t="s" s="0">
        <v>81</v>
      </c>
      <c r="AW269" t="s" s="0">
        <v>3413</v>
      </c>
      <c r="AX269" t="s" s="0">
        <v>3414</v>
      </c>
      <c r="AY269" t="s" s="0">
        <v>2627</v>
      </c>
      <c r="AZ269" t="s" s="0">
        <v>110</v>
      </c>
      <c r="BA269" t="s" s="0">
        <v>101</v>
      </c>
      <c r="BB269" t="s" s="0">
        <v>169</v>
      </c>
      <c r="BC269" t="s" s="0">
        <v>81</v>
      </c>
      <c r="BD269" t="s" s="0">
        <v>81</v>
      </c>
      <c r="BE269" t="s" s="0">
        <v>81</v>
      </c>
      <c r="BF269" t="s" s="0">
        <v>81</v>
      </c>
      <c r="BG269" t="s" s="0">
        <v>81</v>
      </c>
      <c r="BH269" t="s" s="0">
        <v>81</v>
      </c>
      <c r="BI269" t="s" s="0">
        <v>6184</v>
      </c>
      <c r="BJ269" t="s" s="0">
        <v>6185</v>
      </c>
      <c r="BK269" t="s" s="533">
        <f>HYPERLINK("http://dx.doi.org/10.1016/j.mcpdig.2025.100198","http://dx.doi.org/10.1016/j.mcpdig.2025.100198")</f>
        <v>6186</v>
      </c>
      <c r="BL269" t="s" s="0">
        <v>81</v>
      </c>
      <c r="BM269" t="s" s="0">
        <v>2627</v>
      </c>
      <c r="BN269" t="s" s="0">
        <v>320</v>
      </c>
      <c r="BO269" t="s" s="0">
        <v>116</v>
      </c>
      <c r="BP269" t="s" s="0">
        <v>116</v>
      </c>
      <c r="BQ269" t="s" s="0">
        <v>6187</v>
      </c>
      <c r="BR269" t="s" s="0">
        <v>6188</v>
      </c>
      <c r="BS269" t="s" s="0">
        <v>6189</v>
      </c>
      <c r="BT269" t="s" s="534">
        <f>HYPERLINK("https://www.webofscience.com/wos/woscc/full-record/WOS:001547248700012","View Record in Web of Science")</f>
        <v>120</v>
      </c>
      <c r="BU269" t="s" s="0">
        <v>121</v>
      </c>
      <c r="BV269" t="s" s="0">
        <v>81</v>
      </c>
      <c r="BW269" t="s" s="0">
        <v>81</v>
      </c>
      <c r="BX269" t="s" s="0">
        <v>122</v>
      </c>
    </row>
    <row r="270">
      <c r="A270" t="s" s="0">
        <v>77</v>
      </c>
      <c r="B270" t="s" s="0">
        <v>77</v>
      </c>
      <c r="C270" t="s" s="0">
        <v>169</v>
      </c>
      <c r="D270" t="s" s="0">
        <v>77</v>
      </c>
      <c r="E270" t="s" s="0">
        <v>6190</v>
      </c>
      <c r="F270" t="s" s="0">
        <v>6191</v>
      </c>
      <c r="G270" t="s" s="0">
        <v>6192</v>
      </c>
      <c r="H270" t="s" s="0">
        <v>81</v>
      </c>
      <c r="I270" t="s" s="0">
        <v>568</v>
      </c>
      <c r="J270" t="s" s="0">
        <v>6193</v>
      </c>
      <c r="K270" t="s" s="0">
        <v>6194</v>
      </c>
      <c r="L270" t="s" s="0">
        <v>6195</v>
      </c>
      <c r="M270" t="s" s="0">
        <v>6196</v>
      </c>
      <c r="N270" t="s" s="0">
        <v>6197</v>
      </c>
      <c r="O270" t="s" s="0">
        <v>6198</v>
      </c>
      <c r="P270" t="s" s="0">
        <v>6199</v>
      </c>
      <c r="Q270" t="s" s="0">
        <v>90</v>
      </c>
      <c r="R270" t="s" s="0">
        <v>81</v>
      </c>
      <c r="S270" t="s" s="0">
        <v>81</v>
      </c>
      <c r="T270" t="s" s="0">
        <v>81</v>
      </c>
      <c r="U270" t="s" s="0">
        <v>81</v>
      </c>
      <c r="V270" t="s" s="0">
        <v>6200</v>
      </c>
      <c r="W270" t="s" s="0">
        <v>2246</v>
      </c>
      <c r="X270" t="s" s="0">
        <v>81</v>
      </c>
      <c r="Y270" t="s" s="0">
        <v>81</v>
      </c>
      <c r="Z270" t="s" s="0">
        <v>93</v>
      </c>
      <c r="AA270" t="s" s="0">
        <v>94</v>
      </c>
      <c r="AB270" t="s" s="0">
        <v>81</v>
      </c>
      <c r="AC270" t="s" s="0">
        <v>81</v>
      </c>
      <c r="AD270" t="s" s="0">
        <v>81</v>
      </c>
      <c r="AE270" t="s" s="0">
        <v>81</v>
      </c>
      <c r="AF270" t="s" s="0">
        <v>81</v>
      </c>
      <c r="AG270" t="s" s="0">
        <v>6201</v>
      </c>
      <c r="AH270" t="s" s="0">
        <v>3258</v>
      </c>
      <c r="AI270" t="s" s="0">
        <v>81</v>
      </c>
      <c r="AJ270" t="s" s="0">
        <v>81</v>
      </c>
      <c r="AK270" t="s" s="0">
        <v>81</v>
      </c>
      <c r="AL270" t="s" s="0">
        <v>975</v>
      </c>
      <c r="AM270" t="s" s="0">
        <v>554</v>
      </c>
      <c r="AN270" t="s" s="0">
        <v>101</v>
      </c>
      <c r="AO270" t="s" s="0">
        <v>77</v>
      </c>
      <c r="AP270" t="s" s="0">
        <v>77</v>
      </c>
      <c r="AQ270" t="s" s="0">
        <v>353</v>
      </c>
      <c r="AR270" t="s" s="0">
        <v>354</v>
      </c>
      <c r="AS270" t="s" s="0">
        <v>355</v>
      </c>
      <c r="AT270" t="s" s="0">
        <v>81</v>
      </c>
      <c r="AU270" t="s" s="0">
        <v>2248</v>
      </c>
      <c r="AV270" t="s" s="0">
        <v>81</v>
      </c>
      <c r="AW270" t="s" s="0">
        <v>2249</v>
      </c>
      <c r="AX270" t="s" s="0">
        <v>2250</v>
      </c>
      <c r="AY270" t="s" s="0">
        <v>5243</v>
      </c>
      <c r="AZ270" t="s" s="0">
        <v>144</v>
      </c>
      <c r="BA270" t="s" s="0">
        <v>509</v>
      </c>
      <c r="BB270" t="s" s="0">
        <v>81</v>
      </c>
      <c r="BC270" t="s" s="0">
        <v>81</v>
      </c>
      <c r="BD270" t="s" s="0">
        <v>81</v>
      </c>
      <c r="BE270" t="s" s="0">
        <v>81</v>
      </c>
      <c r="BF270" t="s" s="0">
        <v>81</v>
      </c>
      <c r="BG270" t="s" s="0">
        <v>81</v>
      </c>
      <c r="BH270" t="s" s="0">
        <v>81</v>
      </c>
      <c r="BI270" t="s" s="0">
        <v>6202</v>
      </c>
      <c r="BJ270" t="s" s="0">
        <v>6203</v>
      </c>
      <c r="BK270" t="s" s="535">
        <f>HYPERLINK("http://dx.doi.org/10.3389/fpubh.2026.1843045","http://dx.doi.org/10.3389/fpubh.2026.1843045")</f>
        <v>6204</v>
      </c>
      <c r="BL270" t="s" s="0">
        <v>81</v>
      </c>
      <c r="BM270" t="s" s="0">
        <v>295</v>
      </c>
      <c r="BN270" t="s" s="0">
        <v>145</v>
      </c>
      <c r="BO270" t="s" s="0">
        <v>2254</v>
      </c>
      <c r="BP270" t="s" s="0">
        <v>2254</v>
      </c>
      <c r="BQ270" t="s" s="0">
        <v>6205</v>
      </c>
      <c r="BR270" t="s" s="0">
        <v>6206</v>
      </c>
      <c r="BS270" t="s" s="0">
        <v>6207</v>
      </c>
      <c r="BT270" t="s" s="536">
        <f>HYPERLINK("https://www.webofscience.com/wos/woscc/full-record/WOS:001769411600001","View Record in Web of Science")</f>
        <v>120</v>
      </c>
      <c r="BU270" t="s" s="0">
        <v>121</v>
      </c>
      <c r="BV270" t="s" s="0">
        <v>81</v>
      </c>
      <c r="BW270" t="s" s="0">
        <v>81</v>
      </c>
      <c r="BX270" t="s" s="0">
        <v>122</v>
      </c>
    </row>
    <row r="271">
      <c r="A271" t="s" s="0">
        <v>77</v>
      </c>
      <c r="B271" t="s" s="0">
        <v>77</v>
      </c>
      <c r="C271" t="s" s="0">
        <v>77</v>
      </c>
      <c r="D271" t="s" s="0">
        <v>77</v>
      </c>
      <c r="E271" t="s" s="0">
        <v>6208</v>
      </c>
      <c r="F271" t="s" s="0">
        <v>6209</v>
      </c>
      <c r="G271" t="s" s="0">
        <v>6210</v>
      </c>
      <c r="H271" t="s" s="0">
        <v>81</v>
      </c>
      <c r="I271" t="s" s="0">
        <v>82</v>
      </c>
      <c r="J271" t="s" s="0">
        <v>6211</v>
      </c>
      <c r="K271" t="s" s="0">
        <v>6212</v>
      </c>
      <c r="L271" t="s" s="0">
        <v>81</v>
      </c>
      <c r="M271" t="s" s="0">
        <v>81</v>
      </c>
      <c r="N271" t="s" s="0">
        <v>81</v>
      </c>
      <c r="O271" t="s" s="0">
        <v>6213</v>
      </c>
      <c r="P271" t="s" s="0">
        <v>6214</v>
      </c>
      <c r="Q271" t="s" s="0">
        <v>90</v>
      </c>
      <c r="R271" t="s" s="0">
        <v>81</v>
      </c>
      <c r="S271" t="s" s="0">
        <v>81</v>
      </c>
      <c r="T271" t="s" s="0">
        <v>81</v>
      </c>
      <c r="U271" t="s" s="0">
        <v>81</v>
      </c>
      <c r="V271" t="s" s="0">
        <v>6215</v>
      </c>
      <c r="W271" t="s" s="0">
        <v>6216</v>
      </c>
      <c r="X271" t="s" s="0">
        <v>81</v>
      </c>
      <c r="Y271" t="s" s="0">
        <v>81</v>
      </c>
      <c r="Z271" t="s" s="0">
        <v>93</v>
      </c>
      <c r="AA271" t="s" s="0">
        <v>94</v>
      </c>
      <c r="AB271" t="s" s="0">
        <v>81</v>
      </c>
      <c r="AC271" t="s" s="0">
        <v>81</v>
      </c>
      <c r="AD271" t="s" s="0">
        <v>81</v>
      </c>
      <c r="AE271" t="s" s="0">
        <v>81</v>
      </c>
      <c r="AF271" t="s" s="0">
        <v>81</v>
      </c>
      <c r="AG271" t="s" s="0">
        <v>6217</v>
      </c>
      <c r="AH271" t="s" s="0">
        <v>81</v>
      </c>
      <c r="AI271" t="s" s="0">
        <v>6218</v>
      </c>
      <c r="AJ271" t="s" s="0">
        <v>6219</v>
      </c>
      <c r="AK271" t="s" s="0">
        <v>81</v>
      </c>
      <c r="AL271" t="s" s="0">
        <v>111</v>
      </c>
      <c r="AM271" t="s" s="0">
        <v>77</v>
      </c>
      <c r="AN271" t="s" s="0">
        <v>77</v>
      </c>
      <c r="AO271" t="s" s="0">
        <v>386</v>
      </c>
      <c r="AP271" t="s" s="0">
        <v>360</v>
      </c>
      <c r="AQ271" t="s" s="0">
        <v>499</v>
      </c>
      <c r="AR271" t="s" s="0">
        <v>500</v>
      </c>
      <c r="AS271" t="s" s="0">
        <v>501</v>
      </c>
      <c r="AT271" t="s" s="0">
        <v>6220</v>
      </c>
      <c r="AU271" t="s" s="0">
        <v>6221</v>
      </c>
      <c r="AV271" t="s" s="0">
        <v>81</v>
      </c>
      <c r="AW271" t="s" s="0">
        <v>6222</v>
      </c>
      <c r="AX271" t="s" s="0">
        <v>6223</v>
      </c>
      <c r="AY271" t="s" s="0">
        <v>6224</v>
      </c>
      <c r="AZ271" t="s" s="0">
        <v>110</v>
      </c>
      <c r="BA271" t="s" s="0">
        <v>944</v>
      </c>
      <c r="BB271" t="s" s="0">
        <v>169</v>
      </c>
      <c r="BC271" t="s" s="0">
        <v>81</v>
      </c>
      <c r="BD271" t="s" s="0">
        <v>81</v>
      </c>
      <c r="BE271" t="s" s="0">
        <v>81</v>
      </c>
      <c r="BF271" t="s" s="0">
        <v>81</v>
      </c>
      <c r="BG271" t="s" s="0">
        <v>81</v>
      </c>
      <c r="BH271" t="s" s="0">
        <v>81</v>
      </c>
      <c r="BI271" t="s" s="0">
        <v>6225</v>
      </c>
      <c r="BJ271" t="s" s="0">
        <v>6226</v>
      </c>
      <c r="BK271" t="s" s="537">
        <f>HYPERLINK("http://dx.doi.org/10.1007/s00345-025-05990-x","http://dx.doi.org/10.1007/s00345-025-05990-x")</f>
        <v>6227</v>
      </c>
      <c r="BL271" t="s" s="0">
        <v>81</v>
      </c>
      <c r="BM271" t="s" s="0">
        <v>81</v>
      </c>
      <c r="BN271" t="s" s="0">
        <v>328</v>
      </c>
      <c r="BO271" t="s" s="0">
        <v>6228</v>
      </c>
      <c r="BP271" t="s" s="0">
        <v>6228</v>
      </c>
      <c r="BQ271" t="s" s="0">
        <v>6229</v>
      </c>
      <c r="BR271" t="s" s="0">
        <v>6230</v>
      </c>
      <c r="BS271" t="s" s="0">
        <v>6231</v>
      </c>
      <c r="BT271" t="s" s="538">
        <f>HYPERLINK("https://www.webofscience.com/wos/woscc/full-record/WOS:001591920500001","View Record in Web of Science")</f>
        <v>120</v>
      </c>
      <c r="BU271" t="s" s="0">
        <v>805</v>
      </c>
      <c r="BV271" t="s" s="0">
        <v>81</v>
      </c>
      <c r="BW271" t="s" s="0">
        <v>81</v>
      </c>
      <c r="BX271" t="s" s="0">
        <v>122</v>
      </c>
    </row>
    <row r="272">
      <c r="A272" t="s" s="0">
        <v>77</v>
      </c>
      <c r="B272" t="s" s="0">
        <v>77</v>
      </c>
      <c r="C272" t="s" s="0">
        <v>77</v>
      </c>
      <c r="D272" t="s" s="0">
        <v>77</v>
      </c>
      <c r="E272" t="s" s="0">
        <v>6232</v>
      </c>
      <c r="F272" t="s" s="0">
        <v>6233</v>
      </c>
      <c r="G272" t="s" s="0">
        <v>6234</v>
      </c>
      <c r="H272" t="s" s="0">
        <v>81</v>
      </c>
      <c r="I272" t="s" s="0">
        <v>218</v>
      </c>
      <c r="J272" t="s" s="0">
        <v>6235</v>
      </c>
      <c r="K272" t="s" s="0">
        <v>6236</v>
      </c>
      <c r="L272" t="s" s="0">
        <v>6237</v>
      </c>
      <c r="M272" t="s" s="0">
        <v>6238</v>
      </c>
      <c r="N272" t="s" s="0">
        <v>6239</v>
      </c>
      <c r="O272" t="s" s="0">
        <v>6240</v>
      </c>
      <c r="P272" t="s" s="0">
        <v>6241</v>
      </c>
      <c r="Q272" t="s" s="0">
        <v>90</v>
      </c>
      <c r="R272" t="s" s="0">
        <v>81</v>
      </c>
      <c r="S272" t="s" s="0">
        <v>81</v>
      </c>
      <c r="T272" t="s" s="0">
        <v>81</v>
      </c>
      <c r="U272" t="s" s="0">
        <v>81</v>
      </c>
      <c r="V272" t="s" s="0">
        <v>6242</v>
      </c>
      <c r="W272" t="s" s="0">
        <v>6243</v>
      </c>
      <c r="X272" t="s" s="0">
        <v>81</v>
      </c>
      <c r="Y272" t="s" s="0">
        <v>81</v>
      </c>
      <c r="Z272" t="s" s="0">
        <v>93</v>
      </c>
      <c r="AA272" t="s" s="0">
        <v>94</v>
      </c>
      <c r="AB272" t="s" s="0">
        <v>81</v>
      </c>
      <c r="AC272" t="s" s="0">
        <v>81</v>
      </c>
      <c r="AD272" t="s" s="0">
        <v>81</v>
      </c>
      <c r="AE272" t="s" s="0">
        <v>81</v>
      </c>
      <c r="AF272" t="s" s="0">
        <v>81</v>
      </c>
      <c r="AG272" t="s" s="0">
        <v>6244</v>
      </c>
      <c r="AH272" t="s" s="0">
        <v>81</v>
      </c>
      <c r="AI272" t="s" s="0">
        <v>6245</v>
      </c>
      <c r="AJ272" t="s" s="0">
        <v>81</v>
      </c>
      <c r="AK272" t="s" s="0">
        <v>81</v>
      </c>
      <c r="AL272" t="s" s="0">
        <v>287</v>
      </c>
      <c r="AM272" t="s" s="0">
        <v>77</v>
      </c>
      <c r="AN272" t="s" s="0">
        <v>77</v>
      </c>
      <c r="AO272" t="s" s="0">
        <v>99</v>
      </c>
      <c r="AP272" t="s" s="0">
        <v>100</v>
      </c>
      <c r="AQ272" t="s" s="0">
        <v>103</v>
      </c>
      <c r="AR272" t="s" s="0">
        <v>104</v>
      </c>
      <c r="AS272" t="s" s="0">
        <v>105</v>
      </c>
      <c r="AT272" t="s" s="0">
        <v>6246</v>
      </c>
      <c r="AU272" t="s" s="0">
        <v>81</v>
      </c>
      <c r="AV272" t="s" s="0">
        <v>81</v>
      </c>
      <c r="AW272" t="s" s="0">
        <v>6243</v>
      </c>
      <c r="AX272" t="s" s="0">
        <v>6247</v>
      </c>
      <c r="AY272" t="s" s="0">
        <v>144</v>
      </c>
      <c r="AZ272" t="s" s="0">
        <v>144</v>
      </c>
      <c r="BA272" t="s" s="0">
        <v>320</v>
      </c>
      <c r="BB272" t="s" s="0">
        <v>81</v>
      </c>
      <c r="BC272" t="s" s="0">
        <v>81</v>
      </c>
      <c r="BD272" t="s" s="0">
        <v>81</v>
      </c>
      <c r="BE272" t="s" s="0">
        <v>81</v>
      </c>
      <c r="BF272" t="s" s="0">
        <v>81</v>
      </c>
      <c r="BG272" t="s" s="0">
        <v>81</v>
      </c>
      <c r="BH272" t="s" s="0">
        <v>81</v>
      </c>
      <c r="BI272" t="s" s="0">
        <v>6248</v>
      </c>
      <c r="BJ272" t="s" s="0">
        <v>6249</v>
      </c>
      <c r="BK272" t="s" s="539">
        <f>HYPERLINK("http://dx.doi.org/10.2196/76454","http://dx.doi.org/10.2196/76454")</f>
        <v>6250</v>
      </c>
      <c r="BL272" t="s" s="0">
        <v>81</v>
      </c>
      <c r="BM272" t="s" s="0">
        <v>81</v>
      </c>
      <c r="BN272" t="s" s="0">
        <v>301</v>
      </c>
      <c r="BO272" t="s" s="0">
        <v>6251</v>
      </c>
      <c r="BP272" t="s" s="0">
        <v>6251</v>
      </c>
      <c r="BQ272" t="s" s="0">
        <v>6252</v>
      </c>
      <c r="BR272" t="s" s="0">
        <v>6253</v>
      </c>
      <c r="BS272" t="s" s="0">
        <v>6254</v>
      </c>
      <c r="BT272" t="s" s="540">
        <f>HYPERLINK("https://www.webofscience.com/wos/woscc/full-record/WOS:001668320400001","View Record in Web of Science")</f>
        <v>120</v>
      </c>
      <c r="BU272" t="s" s="0">
        <v>121</v>
      </c>
      <c r="BV272" t="s" s="0">
        <v>81</v>
      </c>
      <c r="BW272" t="s" s="0">
        <v>81</v>
      </c>
      <c r="BX272" t="s" s="0">
        <v>122</v>
      </c>
    </row>
    <row r="273">
      <c r="A273" t="s" s="0">
        <v>77</v>
      </c>
      <c r="B273" t="s" s="0">
        <v>77</v>
      </c>
      <c r="C273" t="s" s="0">
        <v>77</v>
      </c>
      <c r="D273" t="s" s="0">
        <v>77</v>
      </c>
      <c r="E273" t="s" s="0">
        <v>6255</v>
      </c>
      <c r="F273" t="s" s="0">
        <v>6256</v>
      </c>
      <c r="G273" t="s" s="0">
        <v>6257</v>
      </c>
      <c r="H273" t="s" s="0">
        <v>81</v>
      </c>
      <c r="I273" t="s" s="0">
        <v>82</v>
      </c>
      <c r="J273" t="s" s="0">
        <v>6258</v>
      </c>
      <c r="K273" t="s" s="0">
        <v>6259</v>
      </c>
      <c r="L273" t="s" s="0">
        <v>81</v>
      </c>
      <c r="M273" t="s" s="0">
        <v>81</v>
      </c>
      <c r="N273" t="s" s="0">
        <v>81</v>
      </c>
      <c r="O273" t="s" s="0">
        <v>6260</v>
      </c>
      <c r="P273" t="s" s="0">
        <v>6261</v>
      </c>
      <c r="Q273" t="s" s="0">
        <v>90</v>
      </c>
      <c r="R273" t="s" s="0">
        <v>81</v>
      </c>
      <c r="S273" t="s" s="0">
        <v>81</v>
      </c>
      <c r="T273" t="s" s="0">
        <v>81</v>
      </c>
      <c r="U273" t="s" s="0">
        <v>81</v>
      </c>
      <c r="V273" t="s" s="0">
        <v>6262</v>
      </c>
      <c r="W273" t="s" s="0">
        <v>2135</v>
      </c>
      <c r="X273" t="s" s="0">
        <v>81</v>
      </c>
      <c r="Y273" t="s" s="0">
        <v>81</v>
      </c>
      <c r="Z273" t="s" s="0">
        <v>93</v>
      </c>
      <c r="AA273" t="s" s="0">
        <v>94</v>
      </c>
      <c r="AB273" t="s" s="0">
        <v>81</v>
      </c>
      <c r="AC273" t="s" s="0">
        <v>81</v>
      </c>
      <c r="AD273" t="s" s="0">
        <v>81</v>
      </c>
      <c r="AE273" t="s" s="0">
        <v>81</v>
      </c>
      <c r="AF273" t="s" s="0">
        <v>81</v>
      </c>
      <c r="AG273" t="s" s="0">
        <v>6263</v>
      </c>
      <c r="AH273" t="s" s="0">
        <v>81</v>
      </c>
      <c r="AI273" t="s" s="0">
        <v>6264</v>
      </c>
      <c r="AJ273" t="s" s="0">
        <v>6265</v>
      </c>
      <c r="AK273" t="s" s="0">
        <v>81</v>
      </c>
      <c r="AL273" t="s" s="0">
        <v>583</v>
      </c>
      <c r="AM273" t="s" s="0">
        <v>554</v>
      </c>
      <c r="AN273" t="s" s="0">
        <v>554</v>
      </c>
      <c r="AO273" t="s" s="0">
        <v>169</v>
      </c>
      <c r="AP273" t="s" s="0">
        <v>101</v>
      </c>
      <c r="AQ273" t="s" s="0">
        <v>103</v>
      </c>
      <c r="AR273" t="s" s="0">
        <v>104</v>
      </c>
      <c r="AS273" t="s" s="0">
        <v>105</v>
      </c>
      <c r="AT273" t="s" s="0">
        <v>2139</v>
      </c>
      <c r="AU273" t="s" s="0">
        <v>81</v>
      </c>
      <c r="AV273" t="s" s="0">
        <v>81</v>
      </c>
      <c r="AW273" t="s" s="0">
        <v>2140</v>
      </c>
      <c r="AX273" t="s" s="0">
        <v>2141</v>
      </c>
      <c r="AY273" t="s" s="0">
        <v>110</v>
      </c>
      <c r="AZ273" t="s" s="0">
        <v>110</v>
      </c>
      <c r="BA273" t="s" s="0">
        <v>320</v>
      </c>
      <c r="BB273" t="s" s="0">
        <v>81</v>
      </c>
      <c r="BC273" t="s" s="0">
        <v>81</v>
      </c>
      <c r="BD273" t="s" s="0">
        <v>81</v>
      </c>
      <c r="BE273" t="s" s="0">
        <v>81</v>
      </c>
      <c r="BF273" t="s" s="0">
        <v>81</v>
      </c>
      <c r="BG273" t="s" s="0">
        <v>81</v>
      </c>
      <c r="BH273" t="s" s="0">
        <v>81</v>
      </c>
      <c r="BI273" t="s" s="0">
        <v>6266</v>
      </c>
      <c r="BJ273" t="s" s="0">
        <v>6267</v>
      </c>
      <c r="BK273" t="s" s="541">
        <f>HYPERLINK("http://dx.doi.org/10.2196/81807","http://dx.doi.org/10.2196/81807")</f>
        <v>6268</v>
      </c>
      <c r="BL273" t="s" s="0">
        <v>81</v>
      </c>
      <c r="BM273" t="s" s="0">
        <v>81</v>
      </c>
      <c r="BN273" t="s" s="0">
        <v>102</v>
      </c>
      <c r="BO273" t="s" s="0">
        <v>2145</v>
      </c>
      <c r="BP273" t="s" s="0">
        <v>2146</v>
      </c>
      <c r="BQ273" t="s" s="0">
        <v>6269</v>
      </c>
      <c r="BR273" t="s" s="0">
        <v>6270</v>
      </c>
      <c r="BS273" t="s" s="0">
        <v>6271</v>
      </c>
      <c r="BT273" t="s" s="542">
        <f>HYPERLINK("https://www.webofscience.com/wos/woscc/full-record/WOS:001628073100001","View Record in Web of Science")</f>
        <v>120</v>
      </c>
      <c r="BU273" t="s" s="0">
        <v>121</v>
      </c>
      <c r="BV273" t="s" s="0">
        <v>81</v>
      </c>
      <c r="BW273" t="s" s="0">
        <v>81</v>
      </c>
      <c r="BX273" t="s" s="0">
        <v>122</v>
      </c>
    </row>
    <row r="274">
      <c r="A274" t="s" s="0">
        <v>77</v>
      </c>
      <c r="B274" t="s" s="0">
        <v>77</v>
      </c>
      <c r="C274" t="s" s="0">
        <v>169</v>
      </c>
      <c r="D274" t="s" s="0">
        <v>77</v>
      </c>
      <c r="E274" t="s" s="0">
        <v>6272</v>
      </c>
      <c r="F274" t="s" s="0">
        <v>6273</v>
      </c>
      <c r="G274" t="s" s="0">
        <v>6274</v>
      </c>
      <c r="H274" t="s" s="0">
        <v>81</v>
      </c>
      <c r="I274" t="s" s="0">
        <v>82</v>
      </c>
      <c r="J274" t="s" s="0">
        <v>6275</v>
      </c>
      <c r="K274" t="s" s="0">
        <v>6276</v>
      </c>
      <c r="L274" t="s" s="0">
        <v>81</v>
      </c>
      <c r="M274" t="s" s="0">
        <v>81</v>
      </c>
      <c r="N274" t="s" s="0">
        <v>81</v>
      </c>
      <c r="O274" t="s" s="0">
        <v>6277</v>
      </c>
      <c r="P274" t="s" s="0">
        <v>6278</v>
      </c>
      <c r="Q274" t="s" s="0">
        <v>90</v>
      </c>
      <c r="R274" t="s" s="0">
        <v>81</v>
      </c>
      <c r="S274" t="s" s="0">
        <v>81</v>
      </c>
      <c r="T274" t="s" s="0">
        <v>81</v>
      </c>
      <c r="U274" t="s" s="0">
        <v>81</v>
      </c>
      <c r="V274" t="s" s="0">
        <v>6279</v>
      </c>
      <c r="W274" t="s" s="0">
        <v>3339</v>
      </c>
      <c r="X274" t="s" s="0">
        <v>81</v>
      </c>
      <c r="Y274" t="s" s="0">
        <v>81</v>
      </c>
      <c r="Z274" t="s" s="0">
        <v>93</v>
      </c>
      <c r="AA274" t="s" s="0">
        <v>94</v>
      </c>
      <c r="AB274" t="s" s="0">
        <v>81</v>
      </c>
      <c r="AC274" t="s" s="0">
        <v>81</v>
      </c>
      <c r="AD274" t="s" s="0">
        <v>81</v>
      </c>
      <c r="AE274" t="s" s="0">
        <v>81</v>
      </c>
      <c r="AF274" t="s" s="0">
        <v>81</v>
      </c>
      <c r="AG274" t="s" s="0">
        <v>6280</v>
      </c>
      <c r="AH274" t="s" s="0">
        <v>81</v>
      </c>
      <c r="AI274" t="s" s="0">
        <v>6281</v>
      </c>
      <c r="AJ274" t="s" s="0">
        <v>6282</v>
      </c>
      <c r="AK274" t="s" s="0">
        <v>81</v>
      </c>
      <c r="AL274" t="s" s="0">
        <v>239</v>
      </c>
      <c r="AM274" t="s" s="0">
        <v>210</v>
      </c>
      <c r="AN274" t="s" s="0">
        <v>102</v>
      </c>
      <c r="AO274" t="s" s="0">
        <v>554</v>
      </c>
      <c r="AP274" t="s" s="0">
        <v>101</v>
      </c>
      <c r="AQ274" t="s" s="0">
        <v>321</v>
      </c>
      <c r="AR274" t="s" s="0">
        <v>322</v>
      </c>
      <c r="AS274" t="s" s="0">
        <v>323</v>
      </c>
      <c r="AT274" t="s" s="0">
        <v>3341</v>
      </c>
      <c r="AU274" t="s" s="0">
        <v>81</v>
      </c>
      <c r="AV274" t="s" s="0">
        <v>81</v>
      </c>
      <c r="AW274" t="s" s="0">
        <v>3342</v>
      </c>
      <c r="AX274" t="s" s="0">
        <v>3343</v>
      </c>
      <c r="AY274" t="s" s="0">
        <v>6283</v>
      </c>
      <c r="AZ274" t="s" s="0">
        <v>110</v>
      </c>
      <c r="BA274" t="s" s="0">
        <v>265</v>
      </c>
      <c r="BB274" t="s" s="0">
        <v>169</v>
      </c>
      <c r="BC274" t="s" s="0">
        <v>81</v>
      </c>
      <c r="BD274" t="s" s="0">
        <v>81</v>
      </c>
      <c r="BE274" t="s" s="0">
        <v>81</v>
      </c>
      <c r="BF274" t="s" s="0">
        <v>81</v>
      </c>
      <c r="BG274" t="s" s="0">
        <v>81</v>
      </c>
      <c r="BH274" t="s" s="0">
        <v>81</v>
      </c>
      <c r="BI274" t="s" s="0">
        <v>6284</v>
      </c>
      <c r="BJ274" t="s" s="0">
        <v>6285</v>
      </c>
      <c r="BK274" t="s" s="543">
        <f>HYPERLINK("http://dx.doi.org/10.1038/s41598-025-31010-4","http://dx.doi.org/10.1038/s41598-025-31010-4")</f>
        <v>6286</v>
      </c>
      <c r="BL274" t="s" s="0">
        <v>81</v>
      </c>
      <c r="BM274" t="s" s="0">
        <v>81</v>
      </c>
      <c r="BN274" t="s" s="0">
        <v>265</v>
      </c>
      <c r="BO274" t="s" s="0">
        <v>638</v>
      </c>
      <c r="BP274" t="s" s="0">
        <v>639</v>
      </c>
      <c r="BQ274" t="s" s="0">
        <v>6287</v>
      </c>
      <c r="BR274" t="s" s="0">
        <v>6288</v>
      </c>
      <c r="BS274" t="s" s="0">
        <v>6289</v>
      </c>
      <c r="BT274" t="s" s="544">
        <f>HYPERLINK("https://www.webofscience.com/wos/woscc/full-record/WOS:001660355800003","View Record in Web of Science")</f>
        <v>120</v>
      </c>
      <c r="BU274" t="s" s="0">
        <v>121</v>
      </c>
      <c r="BV274" t="s" s="0">
        <v>81</v>
      </c>
      <c r="BW274" t="s" s="0">
        <v>81</v>
      </c>
      <c r="BX274" t="s" s="0">
        <v>122</v>
      </c>
    </row>
    <row r="275">
      <c r="A275" t="s" s="0">
        <v>77</v>
      </c>
      <c r="B275" t="s" s="0">
        <v>77</v>
      </c>
      <c r="C275" t="s" s="0">
        <v>77</v>
      </c>
      <c r="D275" t="s" s="0">
        <v>77</v>
      </c>
      <c r="E275" t="s" s="0">
        <v>6290</v>
      </c>
      <c r="F275" t="s" s="0">
        <v>6291</v>
      </c>
      <c r="G275" t="s" s="0">
        <v>6292</v>
      </c>
      <c r="H275" t="s" s="0">
        <v>81</v>
      </c>
      <c r="I275" t="s" s="0">
        <v>218</v>
      </c>
      <c r="J275" t="s" s="0">
        <v>6293</v>
      </c>
      <c r="K275" t="s" s="0">
        <v>6294</v>
      </c>
      <c r="L275" t="s" s="0">
        <v>81</v>
      </c>
      <c r="M275" t="s" s="0">
        <v>81</v>
      </c>
      <c r="N275" t="s" s="0">
        <v>81</v>
      </c>
      <c r="O275" t="s" s="0">
        <v>6295</v>
      </c>
      <c r="P275" t="s" s="0">
        <v>6296</v>
      </c>
      <c r="Q275" t="s" s="0">
        <v>90</v>
      </c>
      <c r="R275" t="s" s="0">
        <v>81</v>
      </c>
      <c r="S275" t="s" s="0">
        <v>81</v>
      </c>
      <c r="T275" t="s" s="0">
        <v>81</v>
      </c>
      <c r="U275" t="s" s="0">
        <v>81</v>
      </c>
      <c r="V275" t="s" s="0">
        <v>6297</v>
      </c>
      <c r="W275" t="s" s="0">
        <v>1299</v>
      </c>
      <c r="X275" t="s" s="0">
        <v>81</v>
      </c>
      <c r="Y275" t="s" s="0">
        <v>81</v>
      </c>
      <c r="Z275" t="s" s="0">
        <v>93</v>
      </c>
      <c r="AA275" t="s" s="0">
        <v>94</v>
      </c>
      <c r="AB275" t="s" s="0">
        <v>81</v>
      </c>
      <c r="AC275" t="s" s="0">
        <v>81</v>
      </c>
      <c r="AD275" t="s" s="0">
        <v>81</v>
      </c>
      <c r="AE275" t="s" s="0">
        <v>81</v>
      </c>
      <c r="AF275" t="s" s="0">
        <v>81</v>
      </c>
      <c r="AG275" t="s" s="0">
        <v>6298</v>
      </c>
      <c r="AH275" t="s" s="0">
        <v>81</v>
      </c>
      <c r="AI275" t="s" s="0">
        <v>6299</v>
      </c>
      <c r="AJ275" t="s" s="0">
        <v>6300</v>
      </c>
      <c r="AK275" t="s" s="0">
        <v>81</v>
      </c>
      <c r="AL275" t="s" s="0">
        <v>1543</v>
      </c>
      <c r="AM275" t="s" s="0">
        <v>77</v>
      </c>
      <c r="AN275" t="s" s="0">
        <v>77</v>
      </c>
      <c r="AO275" t="s" s="0">
        <v>77</v>
      </c>
      <c r="AP275" t="s" s="0">
        <v>77</v>
      </c>
      <c r="AQ275" t="s" s="0">
        <v>103</v>
      </c>
      <c r="AR275" t="s" s="0">
        <v>104</v>
      </c>
      <c r="AS275" t="s" s="0">
        <v>105</v>
      </c>
      <c r="AT275" t="s" s="0">
        <v>81</v>
      </c>
      <c r="AU275" t="s" s="0">
        <v>1301</v>
      </c>
      <c r="AV275" t="s" s="0">
        <v>81</v>
      </c>
      <c r="AW275" t="s" s="0">
        <v>1299</v>
      </c>
      <c r="AX275" t="s" s="0">
        <v>1299</v>
      </c>
      <c r="AY275" t="s" s="0">
        <v>144</v>
      </c>
      <c r="AZ275" t="s" s="0">
        <v>144</v>
      </c>
      <c r="BA275" t="s" s="0">
        <v>100</v>
      </c>
      <c r="BB275" t="s" s="0">
        <v>81</v>
      </c>
      <c r="BC275" t="s" s="0">
        <v>81</v>
      </c>
      <c r="BD275" t="s" s="0">
        <v>81</v>
      </c>
      <c r="BE275" t="s" s="0">
        <v>81</v>
      </c>
      <c r="BF275" t="s" s="0">
        <v>81</v>
      </c>
      <c r="BG275" t="s" s="0">
        <v>81</v>
      </c>
      <c r="BH275" t="s" s="0">
        <v>81</v>
      </c>
      <c r="BI275" t="s" s="0">
        <v>6301</v>
      </c>
      <c r="BJ275" t="s" s="0">
        <v>6302</v>
      </c>
      <c r="BK275" t="s" s="545">
        <f>HYPERLINK("http://dx.doi.org/10.2196/86974","http://dx.doi.org/10.2196/86974")</f>
        <v>6303</v>
      </c>
      <c r="BL275" t="s" s="0">
        <v>81</v>
      </c>
      <c r="BM275" t="s" s="0">
        <v>81</v>
      </c>
      <c r="BN275" t="s" s="0">
        <v>1118</v>
      </c>
      <c r="BO275" t="s" s="0">
        <v>116</v>
      </c>
      <c r="BP275" t="s" s="0">
        <v>116</v>
      </c>
      <c r="BQ275" t="s" s="0">
        <v>6304</v>
      </c>
      <c r="BR275" t="s" s="0">
        <v>6305</v>
      </c>
      <c r="BS275" t="s" s="0">
        <v>6306</v>
      </c>
      <c r="BT275" t="s" s="546">
        <f>HYPERLINK("https://www.webofscience.com/wos/woscc/full-record/WOS:001814399500001","View Record in Web of Science")</f>
        <v>120</v>
      </c>
      <c r="BU275" t="s" s="0">
        <v>121</v>
      </c>
      <c r="BV275" t="s" s="0">
        <v>81</v>
      </c>
      <c r="BW275" t="s" s="0">
        <v>81</v>
      </c>
      <c r="BX275" t="s" s="0">
        <v>122</v>
      </c>
    </row>
    <row r="276">
      <c r="A276" t="s" s="0">
        <v>77</v>
      </c>
      <c r="B276" t="s" s="0">
        <v>77</v>
      </c>
      <c r="C276" t="s" s="0">
        <v>77</v>
      </c>
      <c r="D276" t="s" s="0">
        <v>77</v>
      </c>
      <c r="E276" t="s" s="0">
        <v>6307</v>
      </c>
      <c r="F276" t="s" s="0">
        <v>6308</v>
      </c>
      <c r="G276" t="s" s="0">
        <v>6309</v>
      </c>
      <c r="H276" t="s" s="0">
        <v>81</v>
      </c>
      <c r="I276" t="s" s="0">
        <v>82</v>
      </c>
      <c r="J276" t="s" s="0">
        <v>6310</v>
      </c>
      <c r="K276" t="s" s="0">
        <v>6311</v>
      </c>
      <c r="L276" t="s" s="0">
        <v>6312</v>
      </c>
      <c r="M276" t="s" s="0">
        <v>6312</v>
      </c>
      <c r="N276" t="s" s="0">
        <v>6313</v>
      </c>
      <c r="O276" t="s" s="0">
        <v>6314</v>
      </c>
      <c r="P276" t="s" s="0">
        <v>6315</v>
      </c>
      <c r="Q276" t="s" s="0">
        <v>90</v>
      </c>
      <c r="R276" t="s" s="0">
        <v>81</v>
      </c>
      <c r="S276" t="s" s="0">
        <v>81</v>
      </c>
      <c r="T276" t="s" s="0">
        <v>81</v>
      </c>
      <c r="U276" t="s" s="0">
        <v>81</v>
      </c>
      <c r="V276" t="s" s="0">
        <v>6316</v>
      </c>
      <c r="W276" t="s" s="0">
        <v>6317</v>
      </c>
      <c r="X276" t="s" s="0">
        <v>81</v>
      </c>
      <c r="Y276" t="s" s="0">
        <v>81</v>
      </c>
      <c r="Z276" t="s" s="0">
        <v>93</v>
      </c>
      <c r="AA276" t="s" s="0">
        <v>94</v>
      </c>
      <c r="AB276" t="s" s="0">
        <v>81</v>
      </c>
      <c r="AC276" t="s" s="0">
        <v>81</v>
      </c>
      <c r="AD276" t="s" s="0">
        <v>81</v>
      </c>
      <c r="AE276" t="s" s="0">
        <v>81</v>
      </c>
      <c r="AF276" t="s" s="0">
        <v>81</v>
      </c>
      <c r="AG276" t="s" s="0">
        <v>6318</v>
      </c>
      <c r="AH276" t="s" s="0">
        <v>3761</v>
      </c>
      <c r="AI276" t="s" s="0">
        <v>81</v>
      </c>
      <c r="AJ276" t="s" s="0">
        <v>81</v>
      </c>
      <c r="AK276" t="s" s="0">
        <v>81</v>
      </c>
      <c r="AL276" t="s" s="0">
        <v>136</v>
      </c>
      <c r="AM276" t="s" s="0">
        <v>99</v>
      </c>
      <c r="AN276" t="s" s="0">
        <v>100</v>
      </c>
      <c r="AO276" t="s" s="0">
        <v>101</v>
      </c>
      <c r="AP276" t="s" s="0">
        <v>320</v>
      </c>
      <c r="AQ276" t="s" s="0">
        <v>499</v>
      </c>
      <c r="AR276" t="s" s="0">
        <v>500</v>
      </c>
      <c r="AS276" t="s" s="0">
        <v>501</v>
      </c>
      <c r="AT276" t="s" s="0">
        <v>6319</v>
      </c>
      <c r="AU276" t="s" s="0">
        <v>6320</v>
      </c>
      <c r="AV276" t="s" s="0">
        <v>81</v>
      </c>
      <c r="AW276" t="s" s="0">
        <v>6321</v>
      </c>
      <c r="AX276" t="s" s="0">
        <v>6322</v>
      </c>
      <c r="AY276" t="s" s="0">
        <v>508</v>
      </c>
      <c r="AZ276" t="s" s="0">
        <v>144</v>
      </c>
      <c r="BA276" t="s" s="0">
        <v>583</v>
      </c>
      <c r="BB276" t="s" s="0">
        <v>554</v>
      </c>
      <c r="BC276" t="s" s="0">
        <v>81</v>
      </c>
      <c r="BD276" t="s" s="0">
        <v>81</v>
      </c>
      <c r="BE276" t="s" s="0">
        <v>81</v>
      </c>
      <c r="BF276" t="s" s="0">
        <v>81</v>
      </c>
      <c r="BG276" t="s" s="0">
        <v>6323</v>
      </c>
      <c r="BH276" t="s" s="0">
        <v>6324</v>
      </c>
      <c r="BI276" t="s" s="0">
        <v>81</v>
      </c>
      <c r="BJ276" t="s" s="0">
        <v>6325</v>
      </c>
      <c r="BK276" t="s" s="547">
        <f>HYPERLINK("http://dx.doi.org/10.1245/s10434-025-18492-2","http://dx.doi.org/10.1245/s10434-025-18492-2")</f>
        <v>6326</v>
      </c>
      <c r="BL276" t="s" s="0">
        <v>81</v>
      </c>
      <c r="BM276" t="s" s="0">
        <v>238</v>
      </c>
      <c r="BN276" t="s" s="0">
        <v>360</v>
      </c>
      <c r="BO276" t="s" s="0">
        <v>6327</v>
      </c>
      <c r="BP276" t="s" s="0">
        <v>6327</v>
      </c>
      <c r="BQ276" t="s" s="0">
        <v>6328</v>
      </c>
      <c r="BR276" t="s" s="0">
        <v>6329</v>
      </c>
      <c r="BS276" t="s" s="0">
        <v>6330</v>
      </c>
      <c r="BT276" t="s" s="548">
        <f>HYPERLINK("https://www.webofscience.com/wos/woscc/full-record/WOS:001595116500001","View Record in Web of Science")</f>
        <v>120</v>
      </c>
      <c r="BU276" t="s" s="0">
        <v>81</v>
      </c>
      <c r="BV276" t="s" s="0">
        <v>81</v>
      </c>
      <c r="BW276" t="s" s="0">
        <v>81</v>
      </c>
      <c r="BX276" t="s" s="0">
        <v>122</v>
      </c>
    </row>
    <row r="277">
      <c r="A277" t="s" s="0">
        <v>77</v>
      </c>
      <c r="B277" t="s" s="0">
        <v>77</v>
      </c>
      <c r="C277" t="s" s="0">
        <v>77</v>
      </c>
      <c r="D277" t="s" s="0">
        <v>77</v>
      </c>
      <c r="E277" t="s" s="0">
        <v>6331</v>
      </c>
      <c r="F277" t="s" s="0">
        <v>6332</v>
      </c>
      <c r="G277" t="s" s="0">
        <v>6333</v>
      </c>
      <c r="H277" t="s" s="0">
        <v>81</v>
      </c>
      <c r="I277" t="s" s="0">
        <v>82</v>
      </c>
      <c r="J277" t="s" s="0">
        <v>6334</v>
      </c>
      <c r="K277" t="s" s="0">
        <v>6335</v>
      </c>
      <c r="L277" t="s" s="0">
        <v>81</v>
      </c>
      <c r="M277" t="s" s="0">
        <v>81</v>
      </c>
      <c r="N277" t="s" s="0">
        <v>81</v>
      </c>
      <c r="O277" t="s" s="0">
        <v>6336</v>
      </c>
      <c r="P277" t="s" s="0">
        <v>6337</v>
      </c>
      <c r="Q277" t="s" s="0">
        <v>90</v>
      </c>
      <c r="R277" t="s" s="0">
        <v>81</v>
      </c>
      <c r="S277" t="s" s="0">
        <v>81</v>
      </c>
      <c r="T277" t="s" s="0">
        <v>81</v>
      </c>
      <c r="U277" t="s" s="0">
        <v>81</v>
      </c>
      <c r="V277" t="s" s="0">
        <v>6338</v>
      </c>
      <c r="W277" t="s" s="0">
        <v>6339</v>
      </c>
      <c r="X277" t="s" s="0">
        <v>81</v>
      </c>
      <c r="Y277" t="s" s="0">
        <v>81</v>
      </c>
      <c r="Z277" t="s" s="0">
        <v>93</v>
      </c>
      <c r="AA277" t="s" s="0">
        <v>196</v>
      </c>
      <c r="AB277" t="s" s="0">
        <v>81</v>
      </c>
      <c r="AC277" t="s" s="0">
        <v>81</v>
      </c>
      <c r="AD277" t="s" s="0">
        <v>81</v>
      </c>
      <c r="AE277" t="s" s="0">
        <v>81</v>
      </c>
      <c r="AF277" t="s" s="0">
        <v>81</v>
      </c>
      <c r="AG277" t="s" s="0">
        <v>6340</v>
      </c>
      <c r="AH277" t="s" s="0">
        <v>81</v>
      </c>
      <c r="AI277" t="s" s="0">
        <v>81</v>
      </c>
      <c r="AJ277" t="s" s="0">
        <v>81</v>
      </c>
      <c r="AK277" t="s" s="0">
        <v>81</v>
      </c>
      <c r="AL277" t="s" s="0">
        <v>438</v>
      </c>
      <c r="AM277" t="s" s="0">
        <v>169</v>
      </c>
      <c r="AN277" t="s" s="0">
        <v>169</v>
      </c>
      <c r="AO277" t="s" s="0">
        <v>77</v>
      </c>
      <c r="AP277" t="s" s="0">
        <v>77</v>
      </c>
      <c r="AQ277" t="s" s="0">
        <v>499</v>
      </c>
      <c r="AR277" t="s" s="0">
        <v>969</v>
      </c>
      <c r="AS277" t="s" s="0">
        <v>970</v>
      </c>
      <c r="AT277" t="s" s="0">
        <v>6341</v>
      </c>
      <c r="AU277" t="s" s="0">
        <v>6342</v>
      </c>
      <c r="AV277" t="s" s="0">
        <v>81</v>
      </c>
      <c r="AW277" t="s" s="0">
        <v>6343</v>
      </c>
      <c r="AX277" t="s" s="0">
        <v>6344</v>
      </c>
      <c r="AY277" t="s" s="0">
        <v>81</v>
      </c>
      <c r="AZ277" t="s" s="0">
        <v>144</v>
      </c>
      <c r="BA277" t="s" s="0">
        <v>81</v>
      </c>
      <c r="BB277" t="s" s="0">
        <v>81</v>
      </c>
      <c r="BC277" t="s" s="0">
        <v>81</v>
      </c>
      <c r="BD277" t="s" s="0">
        <v>81</v>
      </c>
      <c r="BE277" t="s" s="0">
        <v>81</v>
      </c>
      <c r="BF277" t="s" s="0">
        <v>81</v>
      </c>
      <c r="BG277" t="s" s="0">
        <v>81</v>
      </c>
      <c r="BH277" t="s" s="0">
        <v>81</v>
      </c>
      <c r="BI277" t="s" s="0">
        <v>81</v>
      </c>
      <c r="BJ277" t="s" s="0">
        <v>6345</v>
      </c>
      <c r="BK277" t="s" s="549">
        <f>HYPERLINK("http://dx.doi.org/10.1007/s11255-026-05118-z","http://dx.doi.org/10.1007/s11255-026-05118-z")</f>
        <v>6346</v>
      </c>
      <c r="BL277" t="s" s="0">
        <v>81</v>
      </c>
      <c r="BM277" t="s" s="0">
        <v>177</v>
      </c>
      <c r="BN277" t="s" s="0">
        <v>386</v>
      </c>
      <c r="BO277" t="s" s="0">
        <v>6228</v>
      </c>
      <c r="BP277" t="s" s="0">
        <v>6228</v>
      </c>
      <c r="BQ277" t="s" s="0">
        <v>6347</v>
      </c>
      <c r="BR277" t="s" s="0">
        <v>6348</v>
      </c>
      <c r="BS277" t="s" s="0">
        <v>6349</v>
      </c>
      <c r="BT277" t="s" s="550">
        <f>HYPERLINK("https://www.webofscience.com/wos/woscc/full-record/WOS:001724319900001","View Record in Web of Science")</f>
        <v>120</v>
      </c>
      <c r="BU277" t="s" s="0">
        <v>81</v>
      </c>
      <c r="BV277" t="s" s="0">
        <v>81</v>
      </c>
      <c r="BW277" t="s" s="0">
        <v>81</v>
      </c>
      <c r="BX277" t="s" s="0">
        <v>122</v>
      </c>
    </row>
    <row r="278">
      <c r="A278" t="s" s="0">
        <v>554</v>
      </c>
      <c r="B278" t="s" s="0">
        <v>77</v>
      </c>
      <c r="C278" t="s" s="0">
        <v>99</v>
      </c>
      <c r="D278" t="s" s="0">
        <v>77</v>
      </c>
      <c r="E278" t="s" s="0">
        <v>6350</v>
      </c>
      <c r="F278" t="s" s="0">
        <v>6351</v>
      </c>
      <c r="G278" t="s" s="0">
        <v>6352</v>
      </c>
      <c r="H278" t="s" s="0">
        <v>81</v>
      </c>
      <c r="I278" t="s" s="0">
        <v>82</v>
      </c>
      <c r="J278" t="s" s="0">
        <v>6353</v>
      </c>
      <c r="K278" t="s" s="0">
        <v>4723</v>
      </c>
      <c r="L278" t="s" s="0">
        <v>6354</v>
      </c>
      <c r="M278" t="s" s="0">
        <v>6354</v>
      </c>
      <c r="N278" t="s" s="0">
        <v>6355</v>
      </c>
      <c r="O278" t="s" s="0">
        <v>6356</v>
      </c>
      <c r="P278" t="s" s="0">
        <v>5400</v>
      </c>
      <c r="Q278" t="s" s="0">
        <v>90</v>
      </c>
      <c r="R278" t="s" s="0">
        <v>81</v>
      </c>
      <c r="S278" t="s" s="0">
        <v>81</v>
      </c>
      <c r="T278" t="s" s="0">
        <v>81</v>
      </c>
      <c r="U278" t="s" s="0">
        <v>81</v>
      </c>
      <c r="V278" t="s" s="0">
        <v>6357</v>
      </c>
      <c r="W278" t="s" s="0">
        <v>6358</v>
      </c>
      <c r="X278" t="s" s="0">
        <v>81</v>
      </c>
      <c r="Y278" t="s" s="0">
        <v>81</v>
      </c>
      <c r="Z278" t="s" s="0">
        <v>93</v>
      </c>
      <c r="AA278" t="s" s="0">
        <v>94</v>
      </c>
      <c r="AB278" t="s" s="0">
        <v>81</v>
      </c>
      <c r="AC278" t="s" s="0">
        <v>81</v>
      </c>
      <c r="AD278" t="s" s="0">
        <v>81</v>
      </c>
      <c r="AE278" t="s" s="0">
        <v>81</v>
      </c>
      <c r="AF278" t="s" s="0">
        <v>81</v>
      </c>
      <c r="AG278" t="s" s="0">
        <v>6359</v>
      </c>
      <c r="AH278" t="s" s="0">
        <v>81</v>
      </c>
      <c r="AI278" t="s" s="0">
        <v>5403</v>
      </c>
      <c r="AJ278" t="s" s="0">
        <v>6360</v>
      </c>
      <c r="AK278" t="s" s="0">
        <v>81</v>
      </c>
      <c r="AL278" t="s" s="0">
        <v>115</v>
      </c>
      <c r="AM278" t="s" s="0">
        <v>1543</v>
      </c>
      <c r="AN278" t="s" s="0">
        <v>351</v>
      </c>
      <c r="AO278" t="s" s="0">
        <v>169</v>
      </c>
      <c r="AP278" t="s" s="0">
        <v>328</v>
      </c>
      <c r="AQ278" t="s" s="0">
        <v>288</v>
      </c>
      <c r="AR278" t="s" s="0">
        <v>289</v>
      </c>
      <c r="AS278" t="s" s="0">
        <v>290</v>
      </c>
      <c r="AT278" t="s" s="0">
        <v>6361</v>
      </c>
      <c r="AU278" t="s" s="0">
        <v>6362</v>
      </c>
      <c r="AV278" t="s" s="0">
        <v>81</v>
      </c>
      <c r="AW278" t="s" s="0">
        <v>6363</v>
      </c>
      <c r="AX278" t="s" s="0">
        <v>6364</v>
      </c>
      <c r="AY278" t="s" s="0">
        <v>597</v>
      </c>
      <c r="AZ278" t="s" s="0">
        <v>592</v>
      </c>
      <c r="BA278" t="s" s="0">
        <v>136</v>
      </c>
      <c r="BB278" t="s" s="0">
        <v>99</v>
      </c>
      <c r="BC278" t="s" s="0">
        <v>81</v>
      </c>
      <c r="BD278" t="s" s="0">
        <v>81</v>
      </c>
      <c r="BE278" t="s" s="0">
        <v>81</v>
      </c>
      <c r="BF278" t="s" s="0">
        <v>81</v>
      </c>
      <c r="BG278" t="s" s="0">
        <v>6365</v>
      </c>
      <c r="BH278" t="s" s="0">
        <v>2981</v>
      </c>
      <c r="BI278" t="s" s="0">
        <v>81</v>
      </c>
      <c r="BJ278" t="s" s="0">
        <v>6366</v>
      </c>
      <c r="BK278" t="s" s="551">
        <f>HYPERLINK("http://dx.doi.org/10.1016/j.fas.2024.01.008","http://dx.doi.org/10.1016/j.fas.2024.01.008")</f>
        <v>6367</v>
      </c>
      <c r="BL278" t="s" s="0">
        <v>81</v>
      </c>
      <c r="BM278" t="s" s="0">
        <v>4735</v>
      </c>
      <c r="BN278" t="s" s="0">
        <v>386</v>
      </c>
      <c r="BO278" t="s" s="0">
        <v>2524</v>
      </c>
      <c r="BP278" t="s" s="0">
        <v>2524</v>
      </c>
      <c r="BQ278" t="s" s="0">
        <v>6368</v>
      </c>
      <c r="BR278" t="s" s="0">
        <v>6369</v>
      </c>
      <c r="BS278" t="s" s="0">
        <v>6370</v>
      </c>
      <c r="BT278" t="s" s="552">
        <f>HYPERLINK("https://www.webofscience.com/wos/woscc/full-record/WOS:001295050300001","View Record in Web of Science")</f>
        <v>120</v>
      </c>
      <c r="BU278" t="s" s="0">
        <v>81</v>
      </c>
      <c r="BV278" t="s" s="0">
        <v>81</v>
      </c>
      <c r="BW278" t="s" s="0">
        <v>81</v>
      </c>
      <c r="BX278" t="s" s="0">
        <v>122</v>
      </c>
    </row>
    <row r="279">
      <c r="A279" t="s" s="0">
        <v>77</v>
      </c>
      <c r="B279" t="s" s="0">
        <v>77</v>
      </c>
      <c r="C279" t="s" s="0">
        <v>169</v>
      </c>
      <c r="D279" t="s" s="0">
        <v>77</v>
      </c>
      <c r="E279" t="s" s="0">
        <v>6371</v>
      </c>
      <c r="F279" t="s" s="0">
        <v>6372</v>
      </c>
      <c r="G279" t="s" s="0">
        <v>6373</v>
      </c>
      <c r="H279" t="s" s="0">
        <v>81</v>
      </c>
      <c r="I279" t="s" s="0">
        <v>218</v>
      </c>
      <c r="J279" t="s" s="0">
        <v>6374</v>
      </c>
      <c r="K279" t="s" s="0">
        <v>6375</v>
      </c>
      <c r="L279" t="s" s="0">
        <v>81</v>
      </c>
      <c r="M279" t="s" s="0">
        <v>81</v>
      </c>
      <c r="N279" t="s" s="0">
        <v>81</v>
      </c>
      <c r="O279" t="s" s="0">
        <v>6376</v>
      </c>
      <c r="P279" t="s" s="0">
        <v>6377</v>
      </c>
      <c r="Q279" t="s" s="0">
        <v>90</v>
      </c>
      <c r="R279" t="s" s="0">
        <v>81</v>
      </c>
      <c r="S279" t="s" s="0">
        <v>81</v>
      </c>
      <c r="T279" t="s" s="0">
        <v>81</v>
      </c>
      <c r="U279" t="s" s="0">
        <v>81</v>
      </c>
      <c r="V279" t="s" s="0">
        <v>6378</v>
      </c>
      <c r="W279" t="s" s="0">
        <v>1818</v>
      </c>
      <c r="X279" t="s" s="0">
        <v>81</v>
      </c>
      <c r="Y279" t="s" s="0">
        <v>81</v>
      </c>
      <c r="Z279" t="s" s="0">
        <v>93</v>
      </c>
      <c r="AA279" t="s" s="0">
        <v>94</v>
      </c>
      <c r="AB279" t="s" s="0">
        <v>81</v>
      </c>
      <c r="AC279" t="s" s="0">
        <v>81</v>
      </c>
      <c r="AD279" t="s" s="0">
        <v>81</v>
      </c>
      <c r="AE279" t="s" s="0">
        <v>81</v>
      </c>
      <c r="AF279" t="s" s="0">
        <v>81</v>
      </c>
      <c r="AG279" t="s" s="0">
        <v>81</v>
      </c>
      <c r="AH279" t="s" s="0">
        <v>81</v>
      </c>
      <c r="AI279" t="s" s="0">
        <v>6379</v>
      </c>
      <c r="AJ279" t="s" s="0">
        <v>6380</v>
      </c>
      <c r="AK279" t="s" s="0">
        <v>81</v>
      </c>
      <c r="AL279" t="s" s="0">
        <v>1543</v>
      </c>
      <c r="AM279" t="s" s="0">
        <v>101</v>
      </c>
      <c r="AN279" t="s" s="0">
        <v>101</v>
      </c>
      <c r="AO279" t="s" s="0">
        <v>101</v>
      </c>
      <c r="AP279" t="s" s="0">
        <v>99</v>
      </c>
      <c r="AQ279" t="s" s="0">
        <v>1178</v>
      </c>
      <c r="AR279" t="s" s="0">
        <v>1179</v>
      </c>
      <c r="AS279" t="s" s="0">
        <v>1180</v>
      </c>
      <c r="AT279" t="s" s="0">
        <v>1820</v>
      </c>
      <c r="AU279" t="s" s="0">
        <v>81</v>
      </c>
      <c r="AV279" t="s" s="0">
        <v>81</v>
      </c>
      <c r="AW279" t="s" s="0">
        <v>1821</v>
      </c>
      <c r="AX279" t="s" s="0">
        <v>1822</v>
      </c>
      <c r="AY279" t="s" s="0">
        <v>238</v>
      </c>
      <c r="AZ279" t="s" s="0">
        <v>110</v>
      </c>
      <c r="BA279" t="s" s="0">
        <v>328</v>
      </c>
      <c r="BB279" t="s" s="0">
        <v>81</v>
      </c>
      <c r="BC279" t="s" s="0">
        <v>81</v>
      </c>
      <c r="BD279" t="s" s="0">
        <v>81</v>
      </c>
      <c r="BE279" t="s" s="0">
        <v>81</v>
      </c>
      <c r="BF279" t="s" s="0">
        <v>81</v>
      </c>
      <c r="BG279" t="s" s="0">
        <v>81</v>
      </c>
      <c r="BH279" t="s" s="0">
        <v>81</v>
      </c>
      <c r="BI279" t="s" s="0">
        <v>6381</v>
      </c>
      <c r="BJ279" t="s" s="0">
        <v>6382</v>
      </c>
      <c r="BK279" t="s" s="553">
        <f>HYPERLINK("http://dx.doi.org/10.1200/CCI-25-00220","http://dx.doi.org/10.1200/CCI-25-00220")</f>
        <v>6383</v>
      </c>
      <c r="BL279" t="s" s="0">
        <v>81</v>
      </c>
      <c r="BM279" t="s" s="0">
        <v>81</v>
      </c>
      <c r="BN279" t="s" s="0">
        <v>320</v>
      </c>
      <c r="BO279" t="s" s="0">
        <v>1433</v>
      </c>
      <c r="BP279" t="s" s="0">
        <v>1433</v>
      </c>
      <c r="BQ279" t="s" s="0">
        <v>6384</v>
      </c>
      <c r="BR279" t="s" s="0">
        <v>6385</v>
      </c>
      <c r="BS279" t="s" s="0">
        <v>6386</v>
      </c>
      <c r="BT279" t="s" s="554">
        <f>HYPERLINK("https://www.webofscience.com/wos/woscc/full-record/WOS:001607652000001","View Record in Web of Science")</f>
        <v>120</v>
      </c>
      <c r="BU279" t="s" s="0">
        <v>81</v>
      </c>
      <c r="BV279" t="s" s="0">
        <v>81</v>
      </c>
      <c r="BW279" t="s" s="0">
        <v>81</v>
      </c>
      <c r="BX279" t="s" s="0">
        <v>122</v>
      </c>
    </row>
    <row r="280">
      <c r="A280" t="s" s="0">
        <v>77</v>
      </c>
      <c r="B280" t="s" s="0">
        <v>77</v>
      </c>
      <c r="C280" t="s" s="0">
        <v>77</v>
      </c>
      <c r="D280" t="s" s="0">
        <v>77</v>
      </c>
      <c r="E280" t="s" s="0">
        <v>6387</v>
      </c>
      <c r="F280" t="s" s="0">
        <v>6388</v>
      </c>
      <c r="G280" t="s" s="0">
        <v>6389</v>
      </c>
      <c r="H280" t="s" s="0">
        <v>81</v>
      </c>
      <c r="I280" t="s" s="0">
        <v>218</v>
      </c>
      <c r="J280" t="s" s="0">
        <v>6390</v>
      </c>
      <c r="K280" t="s" s="0">
        <v>6391</v>
      </c>
      <c r="L280" t="s" s="0">
        <v>6392</v>
      </c>
      <c r="M280" t="s" s="0">
        <v>6393</v>
      </c>
      <c r="N280" t="s" s="0">
        <v>6394</v>
      </c>
      <c r="O280" t="s" s="0">
        <v>6395</v>
      </c>
      <c r="P280" t="s" s="0">
        <v>6396</v>
      </c>
      <c r="Q280" t="s" s="0">
        <v>90</v>
      </c>
      <c r="R280" t="s" s="0">
        <v>81</v>
      </c>
      <c r="S280" t="s" s="0">
        <v>81</v>
      </c>
      <c r="T280" t="s" s="0">
        <v>81</v>
      </c>
      <c r="U280" t="s" s="0">
        <v>81</v>
      </c>
      <c r="V280" t="s" s="0">
        <v>6397</v>
      </c>
      <c r="W280" t="s" s="0">
        <v>6398</v>
      </c>
      <c r="X280" t="s" s="0">
        <v>81</v>
      </c>
      <c r="Y280" t="s" s="0">
        <v>81</v>
      </c>
      <c r="Z280" t="s" s="0">
        <v>93</v>
      </c>
      <c r="AA280" t="s" s="0">
        <v>94</v>
      </c>
      <c r="AB280" t="s" s="0">
        <v>81</v>
      </c>
      <c r="AC280" t="s" s="0">
        <v>81</v>
      </c>
      <c r="AD280" t="s" s="0">
        <v>81</v>
      </c>
      <c r="AE280" t="s" s="0">
        <v>81</v>
      </c>
      <c r="AF280" t="s" s="0">
        <v>81</v>
      </c>
      <c r="AG280" t="s" s="0">
        <v>6399</v>
      </c>
      <c r="AH280" t="s" s="0">
        <v>81</v>
      </c>
      <c r="AI280" t="s" s="0">
        <v>81</v>
      </c>
      <c r="AJ280" t="s" s="0">
        <v>81</v>
      </c>
      <c r="AK280" t="s" s="0">
        <v>81</v>
      </c>
      <c r="AL280" t="s" s="0">
        <v>583</v>
      </c>
      <c r="AM280" t="s" s="0">
        <v>77</v>
      </c>
      <c r="AN280" t="s" s="0">
        <v>77</v>
      </c>
      <c r="AO280" t="s" s="0">
        <v>169</v>
      </c>
      <c r="AP280" t="s" s="0">
        <v>169</v>
      </c>
      <c r="AQ280" t="s" s="0">
        <v>353</v>
      </c>
      <c r="AR280" t="s" s="0">
        <v>354</v>
      </c>
      <c r="AS280" t="s" s="0">
        <v>355</v>
      </c>
      <c r="AT280" t="s" s="0">
        <v>81</v>
      </c>
      <c r="AU280" t="s" s="0">
        <v>6400</v>
      </c>
      <c r="AV280" t="s" s="0">
        <v>81</v>
      </c>
      <c r="AW280" t="s" s="0">
        <v>6401</v>
      </c>
      <c r="AX280" t="s" s="0">
        <v>6402</v>
      </c>
      <c r="AY280" t="s" s="0">
        <v>6403</v>
      </c>
      <c r="AZ280" t="s" s="0">
        <v>144</v>
      </c>
      <c r="BA280" t="s" s="0">
        <v>210</v>
      </c>
      <c r="BB280" t="s" s="0">
        <v>81</v>
      </c>
      <c r="BC280" t="s" s="0">
        <v>81</v>
      </c>
      <c r="BD280" t="s" s="0">
        <v>81</v>
      </c>
      <c r="BE280" t="s" s="0">
        <v>81</v>
      </c>
      <c r="BF280" t="s" s="0">
        <v>81</v>
      </c>
      <c r="BG280" t="s" s="0">
        <v>81</v>
      </c>
      <c r="BH280" t="s" s="0">
        <v>81</v>
      </c>
      <c r="BI280" t="s" s="0">
        <v>6404</v>
      </c>
      <c r="BJ280" t="s" s="0">
        <v>6405</v>
      </c>
      <c r="BK280" t="s" s="555">
        <f>HYPERLINK("http://dx.doi.org/10.3389/fspor.2026.1775462","http://dx.doi.org/10.3389/fspor.2026.1775462")</f>
        <v>6406</v>
      </c>
      <c r="BL280" t="s" s="0">
        <v>81</v>
      </c>
      <c r="BM280" t="s" s="0">
        <v>532</v>
      </c>
      <c r="BN280" t="s" s="0">
        <v>360</v>
      </c>
      <c r="BO280" t="s" s="0">
        <v>6407</v>
      </c>
      <c r="BP280" t="s" s="0">
        <v>6407</v>
      </c>
      <c r="BQ280" t="s" s="0">
        <v>6408</v>
      </c>
      <c r="BR280" t="s" s="0">
        <v>6409</v>
      </c>
      <c r="BS280" t="s" s="0">
        <v>6410</v>
      </c>
      <c r="BT280" t="s" s="556">
        <f>HYPERLINK("https://www.webofscience.com/wos/woscc/full-record/WOS:001811868400001","View Record in Web of Science")</f>
        <v>120</v>
      </c>
      <c r="BU280" t="s" s="0">
        <v>121</v>
      </c>
      <c r="BV280" t="s" s="0">
        <v>81</v>
      </c>
      <c r="BW280" t="s" s="0">
        <v>81</v>
      </c>
      <c r="BX280" t="s" s="0">
        <v>122</v>
      </c>
    </row>
    <row r="281">
      <c r="A281" t="s" s="0">
        <v>77</v>
      </c>
      <c r="B281" t="s" s="0">
        <v>77</v>
      </c>
      <c r="C281" t="s" s="0">
        <v>77</v>
      </c>
      <c r="D281" t="s" s="0">
        <v>77</v>
      </c>
      <c r="E281" t="s" s="0">
        <v>6411</v>
      </c>
      <c r="F281" t="s" s="0">
        <v>6412</v>
      </c>
      <c r="G281" t="s" s="0">
        <v>6413</v>
      </c>
      <c r="H281" t="s" s="0">
        <v>81</v>
      </c>
      <c r="I281" t="s" s="0">
        <v>82</v>
      </c>
      <c r="J281" t="s" s="0">
        <v>6414</v>
      </c>
      <c r="K281" t="s" s="0">
        <v>6415</v>
      </c>
      <c r="L281" t="s" s="0">
        <v>6416</v>
      </c>
      <c r="M281" t="s" s="0">
        <v>6417</v>
      </c>
      <c r="N281" t="s" s="0">
        <v>6418</v>
      </c>
      <c r="O281" t="s" s="0">
        <v>6419</v>
      </c>
      <c r="P281" t="s" s="0">
        <v>6420</v>
      </c>
      <c r="Q281" t="s" s="0">
        <v>90</v>
      </c>
      <c r="R281" t="s" s="0">
        <v>81</v>
      </c>
      <c r="S281" t="s" s="0">
        <v>81</v>
      </c>
      <c r="T281" t="s" s="0">
        <v>81</v>
      </c>
      <c r="U281" t="s" s="0">
        <v>81</v>
      </c>
      <c r="V281" t="s" s="0">
        <v>6421</v>
      </c>
      <c r="W281" t="s" s="0">
        <v>6422</v>
      </c>
      <c r="X281" t="s" s="0">
        <v>81</v>
      </c>
      <c r="Y281" t="s" s="0">
        <v>81</v>
      </c>
      <c r="Z281" t="s" s="0">
        <v>93</v>
      </c>
      <c r="AA281" t="s" s="0">
        <v>94</v>
      </c>
      <c r="AB281" t="s" s="0">
        <v>81</v>
      </c>
      <c r="AC281" t="s" s="0">
        <v>81</v>
      </c>
      <c r="AD281" t="s" s="0">
        <v>81</v>
      </c>
      <c r="AE281" t="s" s="0">
        <v>81</v>
      </c>
      <c r="AF281" t="s" s="0">
        <v>81</v>
      </c>
      <c r="AG281" t="s" s="0">
        <v>6423</v>
      </c>
      <c r="AH281" t="s" s="0">
        <v>81</v>
      </c>
      <c r="AI281" t="s" s="0">
        <v>6424</v>
      </c>
      <c r="AJ281" t="s" s="0">
        <v>81</v>
      </c>
      <c r="AK281" t="s" s="0">
        <v>81</v>
      </c>
      <c r="AL281" t="s" s="0">
        <v>136</v>
      </c>
      <c r="AM281" t="s" s="0">
        <v>77</v>
      </c>
      <c r="AN281" t="s" s="0">
        <v>77</v>
      </c>
      <c r="AO281" t="s" s="0">
        <v>386</v>
      </c>
      <c r="AP281" t="s" s="0">
        <v>328</v>
      </c>
      <c r="AQ281" t="s" s="0">
        <v>499</v>
      </c>
      <c r="AR281" t="s" s="0">
        <v>500</v>
      </c>
      <c r="AS281" t="s" s="0">
        <v>501</v>
      </c>
      <c r="AT281" t="s" s="0">
        <v>6425</v>
      </c>
      <c r="AU281" t="s" s="0">
        <v>6426</v>
      </c>
      <c r="AV281" t="s" s="0">
        <v>81</v>
      </c>
      <c r="AW281" t="s" s="0">
        <v>6427</v>
      </c>
      <c r="AX281" t="s" s="0">
        <v>6428</v>
      </c>
      <c r="AY281" t="s" s="0">
        <v>295</v>
      </c>
      <c r="AZ281" t="s" s="0">
        <v>144</v>
      </c>
      <c r="BA281" t="s" s="0">
        <v>6429</v>
      </c>
      <c r="BB281" t="s" s="0">
        <v>100</v>
      </c>
      <c r="BC281" t="s" s="0">
        <v>81</v>
      </c>
      <c r="BD281" t="s" s="0">
        <v>81</v>
      </c>
      <c r="BE281" t="s" s="0">
        <v>81</v>
      </c>
      <c r="BF281" t="s" s="0">
        <v>81</v>
      </c>
      <c r="BG281" t="s" s="0">
        <v>6430</v>
      </c>
      <c r="BH281" t="s" s="0">
        <v>6431</v>
      </c>
      <c r="BI281" t="s" s="0">
        <v>81</v>
      </c>
      <c r="BJ281" t="s" s="0">
        <v>6432</v>
      </c>
      <c r="BK281" t="s" s="557">
        <f>HYPERLINK("http://dx.doi.org/10.1007/s00417-025-07092-1","http://dx.doi.org/10.1007/s00417-025-07092-1")</f>
        <v>6433</v>
      </c>
      <c r="BL281" t="s" s="0">
        <v>81</v>
      </c>
      <c r="BM281" t="s" s="0">
        <v>2055</v>
      </c>
      <c r="BN281" t="s" s="0">
        <v>210</v>
      </c>
      <c r="BO281" t="s" s="0">
        <v>211</v>
      </c>
      <c r="BP281" t="s" s="0">
        <v>211</v>
      </c>
      <c r="BQ281" t="s" s="0">
        <v>6434</v>
      </c>
      <c r="BR281" t="s" s="0">
        <v>6435</v>
      </c>
      <c r="BS281" t="s" s="0">
        <v>6436</v>
      </c>
      <c r="BT281" t="s" s="558">
        <f>HYPERLINK("https://www.webofscience.com/wos/woscc/full-record/WOS:001653182200001","View Record in Web of Science")</f>
        <v>120</v>
      </c>
      <c r="BU281" t="s" s="0">
        <v>186</v>
      </c>
      <c r="BV281" t="s" s="0">
        <v>81</v>
      </c>
      <c r="BW281" t="s" s="0">
        <v>81</v>
      </c>
      <c r="BX281" t="s" s="0">
        <v>122</v>
      </c>
    </row>
    <row r="282">
      <c r="A282" t="s" s="0">
        <v>77</v>
      </c>
      <c r="B282" t="s" s="0">
        <v>77</v>
      </c>
      <c r="C282" t="s" s="0">
        <v>77</v>
      </c>
      <c r="D282" t="s" s="0">
        <v>77</v>
      </c>
      <c r="E282" t="s" s="0">
        <v>6437</v>
      </c>
      <c r="F282" t="s" s="0">
        <v>6438</v>
      </c>
      <c r="G282" t="s" s="0">
        <v>6439</v>
      </c>
      <c r="H282" t="s" s="0">
        <v>81</v>
      </c>
      <c r="I282" t="s" s="0">
        <v>82</v>
      </c>
      <c r="J282" t="s" s="0">
        <v>6440</v>
      </c>
      <c r="K282" t="s" s="0">
        <v>6441</v>
      </c>
      <c r="L282" t="s" s="0">
        <v>81</v>
      </c>
      <c r="M282" t="s" s="0">
        <v>81</v>
      </c>
      <c r="N282" t="s" s="0">
        <v>81</v>
      </c>
      <c r="O282" t="s" s="0">
        <v>6442</v>
      </c>
      <c r="P282" t="s" s="0">
        <v>6443</v>
      </c>
      <c r="Q282" t="s" s="0">
        <v>90</v>
      </c>
      <c r="R282" t="s" s="0">
        <v>81</v>
      </c>
      <c r="S282" t="s" s="0">
        <v>81</v>
      </c>
      <c r="T282" t="s" s="0">
        <v>81</v>
      </c>
      <c r="U282" t="s" s="0">
        <v>81</v>
      </c>
      <c r="V282" t="s" s="0">
        <v>6444</v>
      </c>
      <c r="W282" t="s" s="0">
        <v>6445</v>
      </c>
      <c r="X282" t="s" s="0">
        <v>81</v>
      </c>
      <c r="Y282" t="s" s="0">
        <v>81</v>
      </c>
      <c r="Z282" t="s" s="0">
        <v>93</v>
      </c>
      <c r="AA282" t="s" s="0">
        <v>196</v>
      </c>
      <c r="AB282" t="s" s="0">
        <v>81</v>
      </c>
      <c r="AC282" t="s" s="0">
        <v>81</v>
      </c>
      <c r="AD282" t="s" s="0">
        <v>81</v>
      </c>
      <c r="AE282" t="s" s="0">
        <v>81</v>
      </c>
      <c r="AF282" t="s" s="0">
        <v>81</v>
      </c>
      <c r="AG282" t="s" s="0">
        <v>6446</v>
      </c>
      <c r="AH282" t="s" s="0">
        <v>6447</v>
      </c>
      <c r="AI282" t="s" s="0">
        <v>6448</v>
      </c>
      <c r="AJ282" t="s" s="0">
        <v>6449</v>
      </c>
      <c r="AK282" t="s" s="0">
        <v>81</v>
      </c>
      <c r="AL282" t="s" s="0">
        <v>478</v>
      </c>
      <c r="AM282" t="s" s="0">
        <v>77</v>
      </c>
      <c r="AN282" t="s" s="0">
        <v>77</v>
      </c>
      <c r="AO282" t="s" s="0">
        <v>77</v>
      </c>
      <c r="AP282" t="s" s="0">
        <v>77</v>
      </c>
      <c r="AQ282" t="s" s="0">
        <v>2595</v>
      </c>
      <c r="AR282" t="s" s="0">
        <v>2596</v>
      </c>
      <c r="AS282" t="s" s="0">
        <v>2597</v>
      </c>
      <c r="AT282" t="s" s="0">
        <v>6450</v>
      </c>
      <c r="AU282" t="s" s="0">
        <v>6451</v>
      </c>
      <c r="AV282" t="s" s="0">
        <v>81</v>
      </c>
      <c r="AW282" t="s" s="0">
        <v>6452</v>
      </c>
      <c r="AX282" t="s" s="0">
        <v>6453</v>
      </c>
      <c r="AY282" t="s" s="0">
        <v>81</v>
      </c>
      <c r="AZ282" t="s" s="0">
        <v>144</v>
      </c>
      <c r="BA282" t="s" s="0">
        <v>81</v>
      </c>
      <c r="BB282" t="s" s="0">
        <v>81</v>
      </c>
      <c r="BC282" t="s" s="0">
        <v>81</v>
      </c>
      <c r="BD282" t="s" s="0">
        <v>81</v>
      </c>
      <c r="BE282" t="s" s="0">
        <v>81</v>
      </c>
      <c r="BF282" t="s" s="0">
        <v>81</v>
      </c>
      <c r="BG282" t="s" s="0">
        <v>81</v>
      </c>
      <c r="BH282" t="s" s="0">
        <v>81</v>
      </c>
      <c r="BI282" t="s" s="0">
        <v>81</v>
      </c>
      <c r="BJ282" t="s" s="0">
        <v>6454</v>
      </c>
      <c r="BK282" t="s" s="559">
        <f>HYPERLINK("http://dx.doi.org/10.1007/s00702-026-03243-8","http://dx.doi.org/10.1007/s00702-026-03243-8")</f>
        <v>6455</v>
      </c>
      <c r="BL282" t="s" s="0">
        <v>81</v>
      </c>
      <c r="BM282" t="s" s="0">
        <v>143</v>
      </c>
      <c r="BN282" t="s" s="0">
        <v>360</v>
      </c>
      <c r="BO282" t="s" s="0">
        <v>6456</v>
      </c>
      <c r="BP282" t="s" s="0">
        <v>6457</v>
      </c>
      <c r="BQ282" t="s" s="0">
        <v>6458</v>
      </c>
      <c r="BR282" t="s" s="0">
        <v>6459</v>
      </c>
      <c r="BS282" t="s" s="0">
        <v>6460</v>
      </c>
      <c r="BT282" t="s" s="560">
        <f>HYPERLINK("https://www.webofscience.com/wos/woscc/full-record/WOS:001828542900001","View Record in Web of Science")</f>
        <v>120</v>
      </c>
      <c r="BU282" t="s" s="0">
        <v>81</v>
      </c>
      <c r="BV282" t="s" s="0">
        <v>81</v>
      </c>
      <c r="BW282" t="s" s="0">
        <v>81</v>
      </c>
      <c r="BX282" t="s" s="0">
        <v>122</v>
      </c>
    </row>
    <row r="283">
      <c r="A283" t="s" s="0">
        <v>77</v>
      </c>
      <c r="B283" t="s" s="0">
        <v>77</v>
      </c>
      <c r="C283" t="s" s="0">
        <v>77</v>
      </c>
      <c r="D283" t="s" s="0">
        <v>77</v>
      </c>
      <c r="E283" t="s" s="0">
        <v>6461</v>
      </c>
      <c r="F283" t="s" s="0">
        <v>6462</v>
      </c>
      <c r="G283" t="s" s="0">
        <v>6463</v>
      </c>
      <c r="H283" t="s" s="0">
        <v>81</v>
      </c>
      <c r="I283" t="s" s="0">
        <v>82</v>
      </c>
      <c r="J283" t="s" s="0">
        <v>6464</v>
      </c>
      <c r="K283" t="s" s="0">
        <v>6465</v>
      </c>
      <c r="L283" t="s" s="0">
        <v>6466</v>
      </c>
      <c r="M283" t="s" s="0">
        <v>6467</v>
      </c>
      <c r="N283" t="s" s="0">
        <v>6468</v>
      </c>
      <c r="O283" t="s" s="0">
        <v>6469</v>
      </c>
      <c r="P283" t="s" s="0">
        <v>6470</v>
      </c>
      <c r="Q283" t="s" s="0">
        <v>90</v>
      </c>
      <c r="R283" t="s" s="0">
        <v>81</v>
      </c>
      <c r="S283" t="s" s="0">
        <v>81</v>
      </c>
      <c r="T283" t="s" s="0">
        <v>81</v>
      </c>
      <c r="U283" t="s" s="0">
        <v>81</v>
      </c>
      <c r="V283" t="s" s="0">
        <v>6471</v>
      </c>
      <c r="W283" t="s" s="0">
        <v>92</v>
      </c>
      <c r="X283" t="s" s="0">
        <v>81</v>
      </c>
      <c r="Y283" t="s" s="0">
        <v>81</v>
      </c>
      <c r="Z283" t="s" s="0">
        <v>93</v>
      </c>
      <c r="AA283" t="s" s="0">
        <v>94</v>
      </c>
      <c r="AB283" t="s" s="0">
        <v>81</v>
      </c>
      <c r="AC283" t="s" s="0">
        <v>81</v>
      </c>
      <c r="AD283" t="s" s="0">
        <v>81</v>
      </c>
      <c r="AE283" t="s" s="0">
        <v>81</v>
      </c>
      <c r="AF283" t="s" s="0">
        <v>81</v>
      </c>
      <c r="AG283" t="s" s="0">
        <v>6472</v>
      </c>
      <c r="AH283" t="s" s="0">
        <v>81</v>
      </c>
      <c r="AI283" t="s" s="0">
        <v>6473</v>
      </c>
      <c r="AJ283" t="s" s="0">
        <v>6474</v>
      </c>
      <c r="AK283" t="s" s="0">
        <v>81</v>
      </c>
      <c r="AL283" t="s" s="0">
        <v>583</v>
      </c>
      <c r="AM283" t="s" s="0">
        <v>386</v>
      </c>
      <c r="AN283" t="s" s="0">
        <v>210</v>
      </c>
      <c r="AO283" t="s" s="0">
        <v>101</v>
      </c>
      <c r="AP283" t="s" s="0">
        <v>386</v>
      </c>
      <c r="AQ283" t="s" s="0">
        <v>103</v>
      </c>
      <c r="AR283" t="s" s="0">
        <v>104</v>
      </c>
      <c r="AS283" t="s" s="0">
        <v>105</v>
      </c>
      <c r="AT283" t="s" s="0">
        <v>1405</v>
      </c>
      <c r="AU283" t="s" s="0">
        <v>106</v>
      </c>
      <c r="AV283" t="s" s="0">
        <v>81</v>
      </c>
      <c r="AW283" t="s" s="0">
        <v>107</v>
      </c>
      <c r="AX283" t="s" s="0">
        <v>108</v>
      </c>
      <c r="AY283" t="s" s="0">
        <v>4086</v>
      </c>
      <c r="AZ283" t="s" s="0">
        <v>110</v>
      </c>
      <c r="BA283" t="s" s="0">
        <v>111</v>
      </c>
      <c r="BB283" t="s" s="0">
        <v>81</v>
      </c>
      <c r="BC283" t="s" s="0">
        <v>81</v>
      </c>
      <c r="BD283" t="s" s="0">
        <v>81</v>
      </c>
      <c r="BE283" t="s" s="0">
        <v>81</v>
      </c>
      <c r="BF283" t="s" s="0">
        <v>81</v>
      </c>
      <c r="BG283" t="s" s="0">
        <v>81</v>
      </c>
      <c r="BH283" t="s" s="0">
        <v>81</v>
      </c>
      <c r="BI283" t="s" s="0">
        <v>6475</v>
      </c>
      <c r="BJ283" t="s" s="0">
        <v>6476</v>
      </c>
      <c r="BK283" t="s" s="561">
        <f>HYPERLINK("http://dx.doi.org/10.2196/69857","http://dx.doi.org/10.2196/69857")</f>
        <v>6477</v>
      </c>
      <c r="BL283" t="s" s="0">
        <v>81</v>
      </c>
      <c r="BM283" t="s" s="0">
        <v>81</v>
      </c>
      <c r="BN283" t="s" s="0">
        <v>115</v>
      </c>
      <c r="BO283" t="s" s="0">
        <v>116</v>
      </c>
      <c r="BP283" t="s" s="0">
        <v>116</v>
      </c>
      <c r="BQ283" t="s" s="0">
        <v>6478</v>
      </c>
      <c r="BR283" t="s" s="0">
        <v>6479</v>
      </c>
      <c r="BS283" t="s" s="0">
        <v>6480</v>
      </c>
      <c r="BT283" t="s" s="562">
        <f>HYPERLINK("https://www.webofscience.com/wos/woscc/full-record/WOS:001555932000007","View Record in Web of Science")</f>
        <v>120</v>
      </c>
      <c r="BU283" t="s" s="0">
        <v>4094</v>
      </c>
      <c r="BV283" t="s" s="0">
        <v>81</v>
      </c>
      <c r="BW283" t="s" s="0">
        <v>81</v>
      </c>
      <c r="BX283" t="s" s="0">
        <v>122</v>
      </c>
    </row>
    <row r="284">
      <c r="A284" t="s" s="0">
        <v>77</v>
      </c>
      <c r="B284" t="s" s="0">
        <v>77</v>
      </c>
      <c r="C284" t="s" s="0">
        <v>77</v>
      </c>
      <c r="D284" t="s" s="0">
        <v>77</v>
      </c>
      <c r="E284" t="s" s="0">
        <v>6481</v>
      </c>
      <c r="F284" t="s" s="0">
        <v>6482</v>
      </c>
      <c r="G284" t="s" s="0">
        <v>6483</v>
      </c>
      <c r="H284" t="s" s="0">
        <v>81</v>
      </c>
      <c r="I284" t="s" s="0">
        <v>82</v>
      </c>
      <c r="J284" t="s" s="0">
        <v>6484</v>
      </c>
      <c r="K284" t="s" s="0">
        <v>6485</v>
      </c>
      <c r="L284" t="s" s="0">
        <v>81</v>
      </c>
      <c r="M284" t="s" s="0">
        <v>81</v>
      </c>
      <c r="N284" t="s" s="0">
        <v>81</v>
      </c>
      <c r="O284" t="s" s="0">
        <v>6486</v>
      </c>
      <c r="P284" t="s" s="0">
        <v>81</v>
      </c>
      <c r="Q284" t="s" s="0">
        <v>90</v>
      </c>
      <c r="R284" t="s" s="0">
        <v>81</v>
      </c>
      <c r="S284" t="s" s="0">
        <v>81</v>
      </c>
      <c r="T284" t="s" s="0">
        <v>81</v>
      </c>
      <c r="U284" t="s" s="0">
        <v>81</v>
      </c>
      <c r="V284" t="s" s="0">
        <v>6487</v>
      </c>
      <c r="W284" t="s" s="0">
        <v>6488</v>
      </c>
      <c r="X284" t="s" s="0">
        <v>81</v>
      </c>
      <c r="Y284" t="s" s="0">
        <v>81</v>
      </c>
      <c r="Z284" t="s" s="0">
        <v>93</v>
      </c>
      <c r="AA284" t="s" s="0">
        <v>94</v>
      </c>
      <c r="AB284" t="s" s="0">
        <v>81</v>
      </c>
      <c r="AC284" t="s" s="0">
        <v>81</v>
      </c>
      <c r="AD284" t="s" s="0">
        <v>81</v>
      </c>
      <c r="AE284" t="s" s="0">
        <v>81</v>
      </c>
      <c r="AF284" t="s" s="0">
        <v>81</v>
      </c>
      <c r="AG284" t="s" s="0">
        <v>6489</v>
      </c>
      <c r="AH284" t="s" s="0">
        <v>81</v>
      </c>
      <c r="AI284" t="s" s="0">
        <v>6490</v>
      </c>
      <c r="AJ284" t="s" s="0">
        <v>6491</v>
      </c>
      <c r="AK284" t="s" s="0">
        <v>81</v>
      </c>
      <c r="AL284" t="s" s="0">
        <v>239</v>
      </c>
      <c r="AM284" t="s" s="0">
        <v>169</v>
      </c>
      <c r="AN284" t="s" s="0">
        <v>169</v>
      </c>
      <c r="AO284" t="s" s="0">
        <v>77</v>
      </c>
      <c r="AP284" t="s" s="0">
        <v>77</v>
      </c>
      <c r="AQ284" t="s" s="0">
        <v>2412</v>
      </c>
      <c r="AR284" t="s" s="0">
        <v>2413</v>
      </c>
      <c r="AS284" t="s" s="0">
        <v>2414</v>
      </c>
      <c r="AT284" t="s" s="0">
        <v>6492</v>
      </c>
      <c r="AU284" t="s" s="0">
        <v>6493</v>
      </c>
      <c r="AV284" t="s" s="0">
        <v>81</v>
      </c>
      <c r="AW284" t="s" s="0">
        <v>6494</v>
      </c>
      <c r="AX284" t="s" s="0">
        <v>6495</v>
      </c>
      <c r="AY284" t="s" s="0">
        <v>209</v>
      </c>
      <c r="AZ284" t="s" s="0">
        <v>144</v>
      </c>
      <c r="BA284" t="s" s="0">
        <v>671</v>
      </c>
      <c r="BB284" t="s" s="0">
        <v>554</v>
      </c>
      <c r="BC284" t="s" s="0">
        <v>81</v>
      </c>
      <c r="BD284" t="s" s="0">
        <v>81</v>
      </c>
      <c r="BE284" t="s" s="0">
        <v>81</v>
      </c>
      <c r="BF284" t="s" s="0">
        <v>81</v>
      </c>
      <c r="BG284" t="s" s="0">
        <v>81</v>
      </c>
      <c r="BH284" t="s" s="0">
        <v>81</v>
      </c>
      <c r="BI284" t="s" s="0">
        <v>6496</v>
      </c>
      <c r="BJ284" t="s" s="0">
        <v>6497</v>
      </c>
      <c r="BK284" t="s" s="563">
        <f>HYPERLINK("http://dx.doi.org/10.1177/14604582261448687","http://dx.doi.org/10.1177/14604582261448687")</f>
        <v>6498</v>
      </c>
      <c r="BL284" t="s" s="0">
        <v>81</v>
      </c>
      <c r="BM284" t="s" s="0">
        <v>81</v>
      </c>
      <c r="BN284" t="s" s="0">
        <v>946</v>
      </c>
      <c r="BO284" t="s" s="0">
        <v>116</v>
      </c>
      <c r="BP284" t="s" s="0">
        <v>116</v>
      </c>
      <c r="BQ284" t="s" s="0">
        <v>6499</v>
      </c>
      <c r="BR284" t="s" s="0">
        <v>6500</v>
      </c>
      <c r="BS284" t="s" s="0">
        <v>6501</v>
      </c>
      <c r="BT284" t="s" s="564">
        <f>HYPERLINK("https://www.webofscience.com/wos/woscc/full-record/WOS:001754160100001","View Record in Web of Science")</f>
        <v>120</v>
      </c>
      <c r="BU284" t="s" s="0">
        <v>1216</v>
      </c>
      <c r="BV284" t="s" s="0">
        <v>81</v>
      </c>
      <c r="BW284" t="s" s="0">
        <v>81</v>
      </c>
      <c r="BX284" t="s" s="0">
        <v>122</v>
      </c>
    </row>
    <row r="285">
      <c r="A285" t="s" s="0">
        <v>77</v>
      </c>
      <c r="B285" t="s" s="0">
        <v>77</v>
      </c>
      <c r="C285" t="s" s="0">
        <v>77</v>
      </c>
      <c r="D285" t="s" s="0">
        <v>77</v>
      </c>
      <c r="E285" t="s" s="0">
        <v>6502</v>
      </c>
      <c r="F285" t="s" s="0">
        <v>6503</v>
      </c>
      <c r="G285" t="s" s="0">
        <v>6504</v>
      </c>
      <c r="H285" t="s" s="0">
        <v>81</v>
      </c>
      <c r="I285" t="s" s="0">
        <v>82</v>
      </c>
      <c r="J285" t="s" s="0">
        <v>6505</v>
      </c>
      <c r="K285" t="s" s="0">
        <v>6506</v>
      </c>
      <c r="L285" t="s" s="0">
        <v>81</v>
      </c>
      <c r="M285" t="s" s="0">
        <v>81</v>
      </c>
      <c r="N285" t="s" s="0">
        <v>81</v>
      </c>
      <c r="O285" t="s" s="0">
        <v>6507</v>
      </c>
      <c r="P285" t="s" s="0">
        <v>6508</v>
      </c>
      <c r="Q285" t="s" s="0">
        <v>90</v>
      </c>
      <c r="R285" t="s" s="0">
        <v>81</v>
      </c>
      <c r="S285" t="s" s="0">
        <v>81</v>
      </c>
      <c r="T285" t="s" s="0">
        <v>81</v>
      </c>
      <c r="U285" t="s" s="0">
        <v>81</v>
      </c>
      <c r="V285" t="s" s="0">
        <v>6509</v>
      </c>
      <c r="W285" t="s" s="0">
        <v>5298</v>
      </c>
      <c r="X285" t="s" s="0">
        <v>81</v>
      </c>
      <c r="Y285" t="s" s="0">
        <v>81</v>
      </c>
      <c r="Z285" t="s" s="0">
        <v>93</v>
      </c>
      <c r="AA285" t="s" s="0">
        <v>94</v>
      </c>
      <c r="AB285" t="s" s="0">
        <v>81</v>
      </c>
      <c r="AC285" t="s" s="0">
        <v>81</v>
      </c>
      <c r="AD285" t="s" s="0">
        <v>81</v>
      </c>
      <c r="AE285" t="s" s="0">
        <v>81</v>
      </c>
      <c r="AF285" t="s" s="0">
        <v>81</v>
      </c>
      <c r="AG285" t="s" s="0">
        <v>6510</v>
      </c>
      <c r="AH285" t="s" s="0">
        <v>81</v>
      </c>
      <c r="AI285" t="s" s="0">
        <v>6511</v>
      </c>
      <c r="AJ285" t="s" s="0">
        <v>6512</v>
      </c>
      <c r="AK285" t="s" s="0">
        <v>81</v>
      </c>
      <c r="AL285" t="s" s="0">
        <v>239</v>
      </c>
      <c r="AM285" t="s" s="0">
        <v>169</v>
      </c>
      <c r="AN285" t="s" s="0">
        <v>169</v>
      </c>
      <c r="AO285" t="s" s="0">
        <v>554</v>
      </c>
      <c r="AP285" t="s" s="0">
        <v>554</v>
      </c>
      <c r="AQ285" t="s" s="0">
        <v>439</v>
      </c>
      <c r="AR285" t="s" s="0">
        <v>201</v>
      </c>
      <c r="AS285" t="s" s="0">
        <v>440</v>
      </c>
      <c r="AT285" t="s" s="0">
        <v>5301</v>
      </c>
      <c r="AU285" t="s" s="0">
        <v>81</v>
      </c>
      <c r="AV285" t="s" s="0">
        <v>81</v>
      </c>
      <c r="AW285" t="s" s="0">
        <v>5302</v>
      </c>
      <c r="AX285" t="s" s="0">
        <v>5303</v>
      </c>
      <c r="AY285" t="s" s="0">
        <v>6513</v>
      </c>
      <c r="AZ285" t="s" s="0">
        <v>144</v>
      </c>
      <c r="BA285" t="s" s="0">
        <v>319</v>
      </c>
      <c r="BB285" t="s" s="0">
        <v>169</v>
      </c>
      <c r="BC285" t="s" s="0">
        <v>81</v>
      </c>
      <c r="BD285" t="s" s="0">
        <v>81</v>
      </c>
      <c r="BE285" t="s" s="0">
        <v>81</v>
      </c>
      <c r="BF285" t="s" s="0">
        <v>81</v>
      </c>
      <c r="BG285" t="s" s="0">
        <v>81</v>
      </c>
      <c r="BH285" t="s" s="0">
        <v>81</v>
      </c>
      <c r="BI285" t="s" s="0">
        <v>580</v>
      </c>
      <c r="BJ285" t="s" s="0">
        <v>6514</v>
      </c>
      <c r="BK285" t="s" s="565">
        <f>HYPERLINK("http://dx.doi.org/10.1186/s12871-025-03605-x","http://dx.doi.org/10.1186/s12871-025-03605-x")</f>
        <v>6515</v>
      </c>
      <c r="BL285" t="s" s="0">
        <v>81</v>
      </c>
      <c r="BM285" t="s" s="0">
        <v>81</v>
      </c>
      <c r="BN285" t="s" s="0">
        <v>328</v>
      </c>
      <c r="BO285" t="s" s="0">
        <v>5308</v>
      </c>
      <c r="BP285" t="s" s="0">
        <v>5308</v>
      </c>
      <c r="BQ285" t="s" s="0">
        <v>6516</v>
      </c>
      <c r="BR285" t="s" s="0">
        <v>6517</v>
      </c>
      <c r="BS285" t="s" s="0">
        <v>6518</v>
      </c>
      <c r="BT285" t="s" s="566">
        <f>HYPERLINK("https://www.webofscience.com/wos/woscc/full-record/WOS:001681310700001","View Record in Web of Science")</f>
        <v>120</v>
      </c>
      <c r="BU285" t="s" s="0">
        <v>121</v>
      </c>
      <c r="BV285" t="s" s="0">
        <v>81</v>
      </c>
      <c r="BW285" t="s" s="0">
        <v>81</v>
      </c>
      <c r="BX285" t="s" s="0">
        <v>122</v>
      </c>
    </row>
    <row r="286">
      <c r="A286" t="s" s="0">
        <v>77</v>
      </c>
      <c r="B286" t="s" s="0">
        <v>77</v>
      </c>
      <c r="C286" t="s" s="0">
        <v>100</v>
      </c>
      <c r="D286" t="s" s="0">
        <v>169</v>
      </c>
      <c r="E286" t="s" s="0">
        <v>6519</v>
      </c>
      <c r="F286" t="s" s="0">
        <v>6520</v>
      </c>
      <c r="G286" t="s" s="0">
        <v>6521</v>
      </c>
      <c r="H286" t="s" s="0">
        <v>81</v>
      </c>
      <c r="I286" t="s" s="0">
        <v>82</v>
      </c>
      <c r="J286" t="s" s="0">
        <v>6522</v>
      </c>
      <c r="K286" t="s" s="0">
        <v>81</v>
      </c>
      <c r="L286" t="s" s="0">
        <v>81</v>
      </c>
      <c r="M286" t="s" s="0">
        <v>81</v>
      </c>
      <c r="N286" t="s" s="0">
        <v>81</v>
      </c>
      <c r="O286" t="s" s="0">
        <v>6523</v>
      </c>
      <c r="P286" t="s" s="0">
        <v>6524</v>
      </c>
      <c r="Q286" t="s" s="0">
        <v>90</v>
      </c>
      <c r="R286" t="s" s="0">
        <v>81</v>
      </c>
      <c r="S286" t="s" s="0">
        <v>81</v>
      </c>
      <c r="T286" t="s" s="0">
        <v>81</v>
      </c>
      <c r="U286" t="s" s="0">
        <v>81</v>
      </c>
      <c r="V286" t="s" s="0">
        <v>6525</v>
      </c>
      <c r="W286" t="s" s="0">
        <v>92</v>
      </c>
      <c r="X286" t="s" s="0">
        <v>81</v>
      </c>
      <c r="Y286" t="s" s="0">
        <v>81</v>
      </c>
      <c r="Z286" t="s" s="0">
        <v>93</v>
      </c>
      <c r="AA286" t="s" s="0">
        <v>94</v>
      </c>
      <c r="AB286" t="s" s="0">
        <v>81</v>
      </c>
      <c r="AC286" t="s" s="0">
        <v>81</v>
      </c>
      <c r="AD286" t="s" s="0">
        <v>81</v>
      </c>
      <c r="AE286" t="s" s="0">
        <v>81</v>
      </c>
      <c r="AF286" t="s" s="0">
        <v>81</v>
      </c>
      <c r="AG286" t="s" s="0">
        <v>6526</v>
      </c>
      <c r="AH286" t="s" s="0">
        <v>6527</v>
      </c>
      <c r="AI286" t="s" s="0">
        <v>6528</v>
      </c>
      <c r="AJ286" t="s" s="0">
        <v>6529</v>
      </c>
      <c r="AK286" t="s" s="0">
        <v>81</v>
      </c>
      <c r="AL286" t="s" s="0">
        <v>287</v>
      </c>
      <c r="AM286" t="s" s="0">
        <v>975</v>
      </c>
      <c r="AN286" t="s" s="0">
        <v>1590</v>
      </c>
      <c r="AO286" t="s" s="0">
        <v>452</v>
      </c>
      <c r="AP286" t="s" s="0">
        <v>2026</v>
      </c>
      <c r="AQ286" t="s" s="0">
        <v>103</v>
      </c>
      <c r="AR286" t="s" s="0">
        <v>104</v>
      </c>
      <c r="AS286" t="s" s="0">
        <v>105</v>
      </c>
      <c r="AT286" t="s" s="0">
        <v>106</v>
      </c>
      <c r="AU286" t="s" s="0">
        <v>81</v>
      </c>
      <c r="AV286" t="s" s="0">
        <v>81</v>
      </c>
      <c r="AW286" t="s" s="0">
        <v>107</v>
      </c>
      <c r="AX286" t="s" s="0">
        <v>108</v>
      </c>
      <c r="AY286" t="s" s="0">
        <v>6530</v>
      </c>
      <c r="AZ286" t="s" s="0">
        <v>592</v>
      </c>
      <c r="BA286" t="s" s="0">
        <v>319</v>
      </c>
      <c r="BB286" t="s" s="0">
        <v>81</v>
      </c>
      <c r="BC286" t="s" s="0">
        <v>81</v>
      </c>
      <c r="BD286" t="s" s="0">
        <v>81</v>
      </c>
      <c r="BE286" t="s" s="0">
        <v>81</v>
      </c>
      <c r="BF286" t="s" s="0">
        <v>81</v>
      </c>
      <c r="BG286" t="s" s="0">
        <v>81</v>
      </c>
      <c r="BH286" t="s" s="0">
        <v>81</v>
      </c>
      <c r="BI286" t="s" s="0">
        <v>6531</v>
      </c>
      <c r="BJ286" t="s" s="0">
        <v>6532</v>
      </c>
      <c r="BK286" t="s" s="567">
        <f>HYPERLINK("http://dx.doi.org/10.2196/60291","http://dx.doi.org/10.2196/60291")</f>
        <v>6533</v>
      </c>
      <c r="BL286" t="s" s="0">
        <v>81</v>
      </c>
      <c r="BM286" t="s" s="0">
        <v>81</v>
      </c>
      <c r="BN286" t="s" s="0">
        <v>145</v>
      </c>
      <c r="BO286" t="s" s="0">
        <v>116</v>
      </c>
      <c r="BP286" t="s" s="0">
        <v>116</v>
      </c>
      <c r="BQ286" t="s" s="0">
        <v>6534</v>
      </c>
      <c r="BR286" t="s" s="0">
        <v>6535</v>
      </c>
      <c r="BS286" t="s" s="0">
        <v>6536</v>
      </c>
      <c r="BT286" t="s" s="568">
        <f>HYPERLINK("https://www.webofscience.com/wos/woscc/full-record/WOS:001362394500001","View Record in Web of Science")</f>
        <v>120</v>
      </c>
      <c r="BU286" t="s" s="0">
        <v>121</v>
      </c>
      <c r="BV286" t="s" s="0">
        <v>81</v>
      </c>
      <c r="BW286" t="s" s="0">
        <v>81</v>
      </c>
      <c r="BX286" t="s" s="0">
        <v>122</v>
      </c>
    </row>
    <row r="287">
      <c r="A287" t="s" s="0">
        <v>77</v>
      </c>
      <c r="B287" t="s" s="0">
        <v>77</v>
      </c>
      <c r="C287" t="s" s="0">
        <v>77</v>
      </c>
      <c r="D287" t="s" s="0">
        <v>77</v>
      </c>
      <c r="E287" t="s" s="0">
        <v>6537</v>
      </c>
      <c r="F287" t="s" s="0">
        <v>6538</v>
      </c>
      <c r="G287" t="s" s="0">
        <v>6539</v>
      </c>
      <c r="H287" t="s" s="0">
        <v>81</v>
      </c>
      <c r="I287" t="s" s="0">
        <v>82</v>
      </c>
      <c r="J287" t="s" s="0">
        <v>6540</v>
      </c>
      <c r="K287" t="s" s="0">
        <v>1726</v>
      </c>
      <c r="L287" t="s" s="0">
        <v>6541</v>
      </c>
      <c r="M287" t="s" s="0">
        <v>6542</v>
      </c>
      <c r="N287" t="s" s="0">
        <v>6543</v>
      </c>
      <c r="O287" t="s" s="0">
        <v>6544</v>
      </c>
      <c r="P287" t="s" s="0">
        <v>6545</v>
      </c>
      <c r="Q287" t="s" s="0">
        <v>90</v>
      </c>
      <c r="R287" t="s" s="0">
        <v>81</v>
      </c>
      <c r="S287" t="s" s="0">
        <v>81</v>
      </c>
      <c r="T287" t="s" s="0">
        <v>81</v>
      </c>
      <c r="U287" t="s" s="0">
        <v>81</v>
      </c>
      <c r="V287" t="s" s="0">
        <v>6546</v>
      </c>
      <c r="W287" t="s" s="0">
        <v>92</v>
      </c>
      <c r="X287" t="s" s="0">
        <v>81</v>
      </c>
      <c r="Y287" t="s" s="0">
        <v>81</v>
      </c>
      <c r="Z287" t="s" s="0">
        <v>93</v>
      </c>
      <c r="AA287" t="s" s="0">
        <v>94</v>
      </c>
      <c r="AB287" t="s" s="0">
        <v>81</v>
      </c>
      <c r="AC287" t="s" s="0">
        <v>81</v>
      </c>
      <c r="AD287" t="s" s="0">
        <v>81</v>
      </c>
      <c r="AE287" t="s" s="0">
        <v>81</v>
      </c>
      <c r="AF287" t="s" s="0">
        <v>81</v>
      </c>
      <c r="AG287" t="s" s="0">
        <v>6547</v>
      </c>
      <c r="AH287" t="s" s="0">
        <v>81</v>
      </c>
      <c r="AI287" t="s" s="0">
        <v>81</v>
      </c>
      <c r="AJ287" t="s" s="0">
        <v>81</v>
      </c>
      <c r="AK287" t="s" s="0">
        <v>81</v>
      </c>
      <c r="AL287" t="s" s="0">
        <v>199</v>
      </c>
      <c r="AM287" t="s" s="0">
        <v>77</v>
      </c>
      <c r="AN287" t="s" s="0">
        <v>77</v>
      </c>
      <c r="AO287" t="s" s="0">
        <v>77</v>
      </c>
      <c r="AP287" t="s" s="0">
        <v>77</v>
      </c>
      <c r="AQ287" t="s" s="0">
        <v>103</v>
      </c>
      <c r="AR287" t="s" s="0">
        <v>104</v>
      </c>
      <c r="AS287" t="s" s="0">
        <v>105</v>
      </c>
      <c r="AT287" t="s" s="0">
        <v>1405</v>
      </c>
      <c r="AU287" t="s" s="0">
        <v>106</v>
      </c>
      <c r="AV287" t="s" s="0">
        <v>81</v>
      </c>
      <c r="AW287" t="s" s="0">
        <v>107</v>
      </c>
      <c r="AX287" t="s" s="0">
        <v>108</v>
      </c>
      <c r="AY287" t="s" s="0">
        <v>4556</v>
      </c>
      <c r="AZ287" t="s" s="0">
        <v>144</v>
      </c>
      <c r="BA287" t="s" s="0">
        <v>637</v>
      </c>
      <c r="BB287" t="s" s="0">
        <v>81</v>
      </c>
      <c r="BC287" t="s" s="0">
        <v>81</v>
      </c>
      <c r="BD287" t="s" s="0">
        <v>81</v>
      </c>
      <c r="BE287" t="s" s="0">
        <v>81</v>
      </c>
      <c r="BF287" t="s" s="0">
        <v>81</v>
      </c>
      <c r="BG287" t="s" s="0">
        <v>81</v>
      </c>
      <c r="BH287" t="s" s="0">
        <v>81</v>
      </c>
      <c r="BI287" t="s" s="0">
        <v>6548</v>
      </c>
      <c r="BJ287" t="s" s="0">
        <v>6549</v>
      </c>
      <c r="BK287" t="s" s="569">
        <f>HYPERLINK("http://dx.doi.org/10.2196/90061","http://dx.doi.org/10.2196/90061")</f>
        <v>6550</v>
      </c>
      <c r="BL287" t="s" s="0">
        <v>81</v>
      </c>
      <c r="BM287" t="s" s="0">
        <v>81</v>
      </c>
      <c r="BN287" t="s" s="0">
        <v>265</v>
      </c>
      <c r="BO287" t="s" s="0">
        <v>116</v>
      </c>
      <c r="BP287" t="s" s="0">
        <v>116</v>
      </c>
      <c r="BQ287" t="s" s="0">
        <v>6551</v>
      </c>
      <c r="BR287" t="s" s="0">
        <v>81</v>
      </c>
      <c r="BS287" t="s" s="0">
        <v>6552</v>
      </c>
      <c r="BT287" t="s" s="570">
        <f>HYPERLINK("https://www.webofscience.com/wos/woscc/full-record/WOS:001802649100002","View Record in Web of Science")</f>
        <v>120</v>
      </c>
      <c r="BU287" t="s" s="0">
        <v>1216</v>
      </c>
      <c r="BV287" t="s" s="0">
        <v>81</v>
      </c>
      <c r="BW287" t="s" s="0">
        <v>81</v>
      </c>
      <c r="BX287" t="s" s="0">
        <v>122</v>
      </c>
    </row>
    <row r="288">
      <c r="A288" t="s" s="0">
        <v>77</v>
      </c>
      <c r="B288" t="s" s="0">
        <v>77</v>
      </c>
      <c r="C288" t="s" s="0">
        <v>77</v>
      </c>
      <c r="D288" t="s" s="0">
        <v>77</v>
      </c>
      <c r="E288" t="s" s="0">
        <v>6553</v>
      </c>
      <c r="F288" t="s" s="0">
        <v>6554</v>
      </c>
      <c r="G288" t="s" s="0">
        <v>6555</v>
      </c>
      <c r="H288" t="s" s="0">
        <v>81</v>
      </c>
      <c r="I288" t="s" s="0">
        <v>218</v>
      </c>
      <c r="J288" t="s" s="0">
        <v>6556</v>
      </c>
      <c r="K288" t="s" s="0">
        <v>6557</v>
      </c>
      <c r="L288" t="s" s="0">
        <v>81</v>
      </c>
      <c r="M288" t="s" s="0">
        <v>81</v>
      </c>
      <c r="N288" t="s" s="0">
        <v>81</v>
      </c>
      <c r="O288" t="s" s="0">
        <v>6558</v>
      </c>
      <c r="P288" t="s" s="0">
        <v>6559</v>
      </c>
      <c r="Q288" t="s" s="0">
        <v>90</v>
      </c>
      <c r="R288" t="s" s="0">
        <v>81</v>
      </c>
      <c r="S288" t="s" s="0">
        <v>81</v>
      </c>
      <c r="T288" t="s" s="0">
        <v>81</v>
      </c>
      <c r="U288" t="s" s="0">
        <v>81</v>
      </c>
      <c r="V288" t="s" s="0">
        <v>6560</v>
      </c>
      <c r="W288" t="s" s="0">
        <v>1299</v>
      </c>
      <c r="X288" t="s" s="0">
        <v>81</v>
      </c>
      <c r="Y288" t="s" s="0">
        <v>81</v>
      </c>
      <c r="Z288" t="s" s="0">
        <v>93</v>
      </c>
      <c r="AA288" t="s" s="0">
        <v>94</v>
      </c>
      <c r="AB288" t="s" s="0">
        <v>81</v>
      </c>
      <c r="AC288" t="s" s="0">
        <v>81</v>
      </c>
      <c r="AD288" t="s" s="0">
        <v>81</v>
      </c>
      <c r="AE288" t="s" s="0">
        <v>81</v>
      </c>
      <c r="AF288" t="s" s="0">
        <v>81</v>
      </c>
      <c r="AG288" t="s" s="0">
        <v>6561</v>
      </c>
      <c r="AH288" t="s" s="0">
        <v>6562</v>
      </c>
      <c r="AI288" t="s" s="0">
        <v>6563</v>
      </c>
      <c r="AJ288" t="s" s="0">
        <v>6564</v>
      </c>
      <c r="AK288" t="s" s="0">
        <v>81</v>
      </c>
      <c r="AL288" t="s" s="0">
        <v>5577</v>
      </c>
      <c r="AM288" t="s" s="0">
        <v>77</v>
      </c>
      <c r="AN288" t="s" s="0">
        <v>77</v>
      </c>
      <c r="AO288" t="s" s="0">
        <v>169</v>
      </c>
      <c r="AP288" t="s" s="0">
        <v>100</v>
      </c>
      <c r="AQ288" t="s" s="0">
        <v>103</v>
      </c>
      <c r="AR288" t="s" s="0">
        <v>104</v>
      </c>
      <c r="AS288" t="s" s="0">
        <v>105</v>
      </c>
      <c r="AT288" t="s" s="0">
        <v>81</v>
      </c>
      <c r="AU288" t="s" s="0">
        <v>1301</v>
      </c>
      <c r="AV288" t="s" s="0">
        <v>81</v>
      </c>
      <c r="AW288" t="s" s="0">
        <v>1299</v>
      </c>
      <c r="AX288" t="s" s="0">
        <v>1299</v>
      </c>
      <c r="AY288" t="s" s="0">
        <v>110</v>
      </c>
      <c r="AZ288" t="s" s="0">
        <v>110</v>
      </c>
      <c r="BA288" t="s" s="0">
        <v>99</v>
      </c>
      <c r="BB288" t="s" s="0">
        <v>81</v>
      </c>
      <c r="BC288" t="s" s="0">
        <v>81</v>
      </c>
      <c r="BD288" t="s" s="0">
        <v>81</v>
      </c>
      <c r="BE288" t="s" s="0">
        <v>81</v>
      </c>
      <c r="BF288" t="s" s="0">
        <v>81</v>
      </c>
      <c r="BG288" t="s" s="0">
        <v>81</v>
      </c>
      <c r="BH288" t="s" s="0">
        <v>81</v>
      </c>
      <c r="BI288" t="s" s="0">
        <v>6565</v>
      </c>
      <c r="BJ288" t="s" s="0">
        <v>6566</v>
      </c>
      <c r="BK288" t="s" s="571">
        <f>HYPERLINK("http://dx.doi.org/10.2196/68603","http://dx.doi.org/10.2196/68603")</f>
        <v>6567</v>
      </c>
      <c r="BL288" t="s" s="0">
        <v>81</v>
      </c>
      <c r="BM288" t="s" s="0">
        <v>81</v>
      </c>
      <c r="BN288" t="s" s="0">
        <v>360</v>
      </c>
      <c r="BO288" t="s" s="0">
        <v>116</v>
      </c>
      <c r="BP288" t="s" s="0">
        <v>116</v>
      </c>
      <c r="BQ288" t="s" s="0">
        <v>6568</v>
      </c>
      <c r="BR288" t="s" s="0">
        <v>6569</v>
      </c>
      <c r="BS288" t="s" s="0">
        <v>6570</v>
      </c>
      <c r="BT288" t="s" s="572">
        <f>HYPERLINK("https://www.webofscience.com/wos/woscc/full-record/WOS:001567995900002","View Record in Web of Science")</f>
        <v>120</v>
      </c>
      <c r="BU288" t="s" s="0">
        <v>121</v>
      </c>
      <c r="BV288" t="s" s="0">
        <v>81</v>
      </c>
      <c r="BW288" t="s" s="0">
        <v>81</v>
      </c>
      <c r="BX288" t="s" s="0">
        <v>122</v>
      </c>
    </row>
    <row r="289">
      <c r="A289" t="s" s="0">
        <v>77</v>
      </c>
      <c r="B289" t="s" s="0">
        <v>77</v>
      </c>
      <c r="C289" t="s" s="0">
        <v>169</v>
      </c>
      <c r="D289" t="s" s="0">
        <v>77</v>
      </c>
      <c r="E289" t="s" s="0">
        <v>6571</v>
      </c>
      <c r="F289" t="s" s="0">
        <v>6572</v>
      </c>
      <c r="G289" t="s" s="0">
        <v>6573</v>
      </c>
      <c r="H289" t="s" s="0">
        <v>81</v>
      </c>
      <c r="I289" t="s" s="0">
        <v>82</v>
      </c>
      <c r="J289" t="s" s="0">
        <v>6574</v>
      </c>
      <c r="K289" t="s" s="0">
        <v>6575</v>
      </c>
      <c r="L289" t="s" s="0">
        <v>81</v>
      </c>
      <c r="M289" t="s" s="0">
        <v>81</v>
      </c>
      <c r="N289" t="s" s="0">
        <v>81</v>
      </c>
      <c r="O289" t="s" s="0">
        <v>6576</v>
      </c>
      <c r="P289" t="s" s="0">
        <v>6577</v>
      </c>
      <c r="Q289" t="s" s="0">
        <v>90</v>
      </c>
      <c r="R289" t="s" s="0">
        <v>81</v>
      </c>
      <c r="S289" t="s" s="0">
        <v>81</v>
      </c>
      <c r="T289" t="s" s="0">
        <v>81</v>
      </c>
      <c r="U289" t="s" s="0">
        <v>81</v>
      </c>
      <c r="V289" t="s" s="0">
        <v>6578</v>
      </c>
      <c r="W289" t="s" s="0">
        <v>3759</v>
      </c>
      <c r="X289" t="s" s="0">
        <v>81</v>
      </c>
      <c r="Y289" t="s" s="0">
        <v>81</v>
      </c>
      <c r="Z289" t="s" s="0">
        <v>93</v>
      </c>
      <c r="AA289" t="s" s="0">
        <v>94</v>
      </c>
      <c r="AB289" t="s" s="0">
        <v>81</v>
      </c>
      <c r="AC289" t="s" s="0">
        <v>81</v>
      </c>
      <c r="AD289" t="s" s="0">
        <v>81</v>
      </c>
      <c r="AE289" t="s" s="0">
        <v>81</v>
      </c>
      <c r="AF289" t="s" s="0">
        <v>81</v>
      </c>
      <c r="AG289" t="s" s="0">
        <v>6579</v>
      </c>
      <c r="AH289" t="s" s="0">
        <v>3761</v>
      </c>
      <c r="AI289" t="s" s="0">
        <v>6580</v>
      </c>
      <c r="AJ289" t="s" s="0">
        <v>6581</v>
      </c>
      <c r="AK289" t="s" s="0">
        <v>81</v>
      </c>
      <c r="AL289" t="s" s="0">
        <v>2229</v>
      </c>
      <c r="AM289" t="s" s="0">
        <v>554</v>
      </c>
      <c r="AN289" t="s" s="0">
        <v>554</v>
      </c>
      <c r="AO289" t="s" s="0">
        <v>169</v>
      </c>
      <c r="AP289" t="s" s="0">
        <v>452</v>
      </c>
      <c r="AQ289" t="s" s="0">
        <v>1844</v>
      </c>
      <c r="AR289" t="s" s="0">
        <v>1845</v>
      </c>
      <c r="AS289" t="s" s="0">
        <v>3764</v>
      </c>
      <c r="AT289" t="s" s="0">
        <v>3765</v>
      </c>
      <c r="AU289" t="s" s="0">
        <v>3766</v>
      </c>
      <c r="AV289" t="s" s="0">
        <v>81</v>
      </c>
      <c r="AW289" t="s" s="0">
        <v>3767</v>
      </c>
      <c r="AX289" t="s" s="0">
        <v>3768</v>
      </c>
      <c r="AY289" t="s" s="0">
        <v>6582</v>
      </c>
      <c r="AZ289" t="s" s="0">
        <v>110</v>
      </c>
      <c r="BA289" t="s" s="0">
        <v>581</v>
      </c>
      <c r="BB289" t="s" s="0">
        <v>102</v>
      </c>
      <c r="BC289" t="s" s="0">
        <v>81</v>
      </c>
      <c r="BD289" t="s" s="0">
        <v>81</v>
      </c>
      <c r="BE289" t="s" s="0">
        <v>81</v>
      </c>
      <c r="BF289" t="s" s="0">
        <v>81</v>
      </c>
      <c r="BG289" t="s" s="0">
        <v>81</v>
      </c>
      <c r="BH289" t="s" s="0">
        <v>81</v>
      </c>
      <c r="BI289" t="s" s="0">
        <v>6583</v>
      </c>
      <c r="BJ289" t="s" s="0">
        <v>6584</v>
      </c>
      <c r="BK289" t="s" s="573">
        <f>HYPERLINK("http://dx.doi.org/10.1007/s00296-025-05996-z","http://dx.doi.org/10.1007/s00296-025-05996-z")</f>
        <v>6585</v>
      </c>
      <c r="BL289" t="s" s="0">
        <v>81</v>
      </c>
      <c r="BM289" t="s" s="0">
        <v>81</v>
      </c>
      <c r="BN289" t="s" s="0">
        <v>102</v>
      </c>
      <c r="BO289" t="s" s="0">
        <v>3772</v>
      </c>
      <c r="BP289" t="s" s="0">
        <v>3772</v>
      </c>
      <c r="BQ289" t="s" s="0">
        <v>6586</v>
      </c>
      <c r="BR289" t="s" s="0">
        <v>6587</v>
      </c>
      <c r="BS289" t="s" s="0">
        <v>6588</v>
      </c>
      <c r="BT289" t="s" s="574">
        <f>HYPERLINK("https://www.webofscience.com/wos/woscc/full-record/WOS:001582834100001","View Record in Web of Science")</f>
        <v>120</v>
      </c>
      <c r="BU289" t="s" s="0">
        <v>81</v>
      </c>
      <c r="BV289" t="s" s="0">
        <v>81</v>
      </c>
      <c r="BW289" t="s" s="0">
        <v>81</v>
      </c>
      <c r="BX289" t="s" s="0">
        <v>122</v>
      </c>
    </row>
    <row r="290">
      <c r="A290" t="s" s="0">
        <v>77</v>
      </c>
      <c r="B290" t="s" s="0">
        <v>77</v>
      </c>
      <c r="C290" t="s" s="0">
        <v>77</v>
      </c>
      <c r="D290" t="s" s="0">
        <v>77</v>
      </c>
      <c r="E290" t="s" s="0">
        <v>6589</v>
      </c>
      <c r="F290" t="s" s="0">
        <v>6590</v>
      </c>
      <c r="G290" t="s" s="0">
        <v>6591</v>
      </c>
      <c r="H290" t="s" s="0">
        <v>81</v>
      </c>
      <c r="I290" t="s" s="0">
        <v>82</v>
      </c>
      <c r="J290" t="s" s="0">
        <v>6592</v>
      </c>
      <c r="K290" t="s" s="0">
        <v>6593</v>
      </c>
      <c r="L290" t="s" s="0">
        <v>6594</v>
      </c>
      <c r="M290" t="s" s="0">
        <v>6595</v>
      </c>
      <c r="N290" t="s" s="0">
        <v>6596</v>
      </c>
      <c r="O290" t="s" s="0">
        <v>6597</v>
      </c>
      <c r="P290" t="s" s="0">
        <v>81</v>
      </c>
      <c r="Q290" t="s" s="0">
        <v>90</v>
      </c>
      <c r="R290" t="s" s="0">
        <v>81</v>
      </c>
      <c r="S290" t="s" s="0">
        <v>81</v>
      </c>
      <c r="T290" t="s" s="0">
        <v>81</v>
      </c>
      <c r="U290" t="s" s="0">
        <v>81</v>
      </c>
      <c r="V290" t="s" s="0">
        <v>6598</v>
      </c>
      <c r="W290" t="s" s="0">
        <v>6599</v>
      </c>
      <c r="X290" t="s" s="0">
        <v>81</v>
      </c>
      <c r="Y290" t="s" s="0">
        <v>81</v>
      </c>
      <c r="Z290" t="s" s="0">
        <v>93</v>
      </c>
      <c r="AA290" t="s" s="0">
        <v>94</v>
      </c>
      <c r="AB290" t="s" s="0">
        <v>81</v>
      </c>
      <c r="AC290" t="s" s="0">
        <v>81</v>
      </c>
      <c r="AD290" t="s" s="0">
        <v>81</v>
      </c>
      <c r="AE290" t="s" s="0">
        <v>81</v>
      </c>
      <c r="AF290" t="s" s="0">
        <v>81</v>
      </c>
      <c r="AG290" t="s" s="0">
        <v>6600</v>
      </c>
      <c r="AH290" t="s" s="0">
        <v>6601</v>
      </c>
      <c r="AI290" t="s" s="0">
        <v>6602</v>
      </c>
      <c r="AJ290" t="s" s="0">
        <v>81</v>
      </c>
      <c r="AK290" t="s" s="0">
        <v>81</v>
      </c>
      <c r="AL290" t="s" s="0">
        <v>469</v>
      </c>
      <c r="AM290" t="s" s="0">
        <v>77</v>
      </c>
      <c r="AN290" t="s" s="0">
        <v>77</v>
      </c>
      <c r="AO290" t="s" s="0">
        <v>77</v>
      </c>
      <c r="AP290" t="s" s="0">
        <v>77</v>
      </c>
      <c r="AQ290" t="s" s="0">
        <v>137</v>
      </c>
      <c r="AR290" t="s" s="0">
        <v>138</v>
      </c>
      <c r="AS290" t="s" s="0">
        <v>139</v>
      </c>
      <c r="AT290" t="s" s="0">
        <v>81</v>
      </c>
      <c r="AU290" t="s" s="0">
        <v>6603</v>
      </c>
      <c r="AV290" t="s" s="0">
        <v>81</v>
      </c>
      <c r="AW290" t="s" s="0">
        <v>6599</v>
      </c>
      <c r="AX290" t="s" s="0">
        <v>6604</v>
      </c>
      <c r="AY290" t="s" s="0">
        <v>3664</v>
      </c>
      <c r="AZ290" t="s" s="0">
        <v>144</v>
      </c>
      <c r="BA290" t="s" s="0">
        <v>1118</v>
      </c>
      <c r="BB290" t="s" s="0">
        <v>509</v>
      </c>
      <c r="BC290" t="s" s="0">
        <v>81</v>
      </c>
      <c r="BD290" t="s" s="0">
        <v>81</v>
      </c>
      <c r="BE290" t="s" s="0">
        <v>81</v>
      </c>
      <c r="BF290" t="s" s="0">
        <v>81</v>
      </c>
      <c r="BG290" t="s" s="0">
        <v>81</v>
      </c>
      <c r="BH290" t="s" s="0">
        <v>81</v>
      </c>
      <c r="BI290" t="s" s="0">
        <v>6605</v>
      </c>
      <c r="BJ290" t="s" s="0">
        <v>6606</v>
      </c>
      <c r="BK290" t="s" s="575">
        <f>HYPERLINK("http://dx.doi.org/10.3390/nu18142228","http://dx.doi.org/10.3390/nu18142228")</f>
        <v>6607</v>
      </c>
      <c r="BL290" t="s" s="0">
        <v>81</v>
      </c>
      <c r="BM290" t="s" s="0">
        <v>81</v>
      </c>
      <c r="BN290" t="s" s="0">
        <v>946</v>
      </c>
      <c r="BO290" t="s" s="0">
        <v>6608</v>
      </c>
      <c r="BP290" t="s" s="0">
        <v>6608</v>
      </c>
      <c r="BQ290" t="s" s="0">
        <v>6609</v>
      </c>
      <c r="BR290" t="s" s="0">
        <v>6610</v>
      </c>
      <c r="BS290" t="s" s="0">
        <v>6611</v>
      </c>
      <c r="BT290" t="s" s="576">
        <f>HYPERLINK("https://www.webofscience.com/wos/woscc/full-record/WOS:001833122800001","View Record in Web of Science")</f>
        <v>120</v>
      </c>
      <c r="BU290" t="s" s="0">
        <v>121</v>
      </c>
      <c r="BV290" t="s" s="0">
        <v>81</v>
      </c>
      <c r="BW290" t="s" s="0">
        <v>81</v>
      </c>
      <c r="BX290" t="s" s="0">
        <v>122</v>
      </c>
    </row>
    <row r="291">
      <c r="A291" t="s" s="0">
        <v>169</v>
      </c>
      <c r="B291" t="s" s="0">
        <v>77</v>
      </c>
      <c r="C291" t="s" s="0">
        <v>169</v>
      </c>
      <c r="D291" t="s" s="0">
        <v>77</v>
      </c>
      <c r="E291" t="s" s="0">
        <v>6612</v>
      </c>
      <c r="F291" t="s" s="0">
        <v>6613</v>
      </c>
      <c r="G291" t="s" s="0">
        <v>6614</v>
      </c>
      <c r="H291" t="s" s="0">
        <v>81</v>
      </c>
      <c r="I291" t="s" s="0">
        <v>218</v>
      </c>
      <c r="J291" t="s" s="0">
        <v>6615</v>
      </c>
      <c r="K291" t="s" s="0">
        <v>6616</v>
      </c>
      <c r="L291" t="s" s="0">
        <v>81</v>
      </c>
      <c r="M291" t="s" s="0">
        <v>81</v>
      </c>
      <c r="N291" t="s" s="0">
        <v>81</v>
      </c>
      <c r="O291" t="s" s="0">
        <v>6617</v>
      </c>
      <c r="P291" t="s" s="0">
        <v>6618</v>
      </c>
      <c r="Q291" t="s" s="0">
        <v>90</v>
      </c>
      <c r="R291" t="s" s="0">
        <v>81</v>
      </c>
      <c r="S291" t="s" s="0">
        <v>81</v>
      </c>
      <c r="T291" t="s" s="0">
        <v>81</v>
      </c>
      <c r="U291" t="s" s="0">
        <v>81</v>
      </c>
      <c r="V291" t="s" s="0">
        <v>6619</v>
      </c>
      <c r="W291" t="s" s="0">
        <v>6620</v>
      </c>
      <c r="X291" t="s" s="0">
        <v>81</v>
      </c>
      <c r="Y291" t="s" s="0">
        <v>81</v>
      </c>
      <c r="Z291" t="s" s="0">
        <v>93</v>
      </c>
      <c r="AA291" t="s" s="0">
        <v>94</v>
      </c>
      <c r="AB291" t="s" s="0">
        <v>81</v>
      </c>
      <c r="AC291" t="s" s="0">
        <v>81</v>
      </c>
      <c r="AD291" t="s" s="0">
        <v>81</v>
      </c>
      <c r="AE291" t="s" s="0">
        <v>81</v>
      </c>
      <c r="AF291" t="s" s="0">
        <v>81</v>
      </c>
      <c r="AG291" t="s" s="0">
        <v>6621</v>
      </c>
      <c r="AH291" t="s" s="0">
        <v>81</v>
      </c>
      <c r="AI291" t="s" s="0">
        <v>6622</v>
      </c>
      <c r="AJ291" t="s" s="0">
        <v>6623</v>
      </c>
      <c r="AK291" t="s" s="0">
        <v>81</v>
      </c>
      <c r="AL291" t="s" s="0">
        <v>301</v>
      </c>
      <c r="AM291" t="s" s="0">
        <v>509</v>
      </c>
      <c r="AN291" t="s" s="0">
        <v>145</v>
      </c>
      <c r="AO291" t="s" s="0">
        <v>77</v>
      </c>
      <c r="AP291" t="s" s="0">
        <v>115</v>
      </c>
      <c r="AQ291" t="s" s="0">
        <v>499</v>
      </c>
      <c r="AR291" t="s" s="0">
        <v>500</v>
      </c>
      <c r="AS291" t="s" s="0">
        <v>501</v>
      </c>
      <c r="AT291" t="s" s="0">
        <v>6624</v>
      </c>
      <c r="AU291" t="s" s="0">
        <v>81</v>
      </c>
      <c r="AV291" t="s" s="0">
        <v>81</v>
      </c>
      <c r="AW291" t="s" s="0">
        <v>6625</v>
      </c>
      <c r="AX291" t="s" s="0">
        <v>6626</v>
      </c>
      <c r="AY291" t="s" s="0">
        <v>6627</v>
      </c>
      <c r="AZ291" t="s" s="0">
        <v>592</v>
      </c>
      <c r="BA291" t="s" s="0">
        <v>360</v>
      </c>
      <c r="BB291" t="s" s="0">
        <v>169</v>
      </c>
      <c r="BC291" t="s" s="0">
        <v>81</v>
      </c>
      <c r="BD291" t="s" s="0">
        <v>81</v>
      </c>
      <c r="BE291" t="s" s="0">
        <v>81</v>
      </c>
      <c r="BF291" t="s" s="0">
        <v>81</v>
      </c>
      <c r="BG291" t="s" s="0">
        <v>81</v>
      </c>
      <c r="BH291" t="s" s="0">
        <v>81</v>
      </c>
      <c r="BI291" t="s" s="0">
        <v>1275</v>
      </c>
      <c r="BJ291" t="s" s="0">
        <v>6628</v>
      </c>
      <c r="BK291" t="s" s="577">
        <f>HYPERLINK("http://dx.doi.org/10.1186/s40635-024-00656-1","http://dx.doi.org/10.1186/s40635-024-00656-1")</f>
        <v>6629</v>
      </c>
      <c r="BL291" t="s" s="0">
        <v>81</v>
      </c>
      <c r="BM291" t="s" s="0">
        <v>81</v>
      </c>
      <c r="BN291" t="s" s="0">
        <v>328</v>
      </c>
      <c r="BO291" t="s" s="0">
        <v>5581</v>
      </c>
      <c r="BP291" t="s" s="0">
        <v>150</v>
      </c>
      <c r="BQ291" t="s" s="0">
        <v>6630</v>
      </c>
      <c r="BR291" t="s" s="0">
        <v>6631</v>
      </c>
      <c r="BS291" t="s" s="0">
        <v>6632</v>
      </c>
      <c r="BT291" t="s" s="578">
        <f>HYPERLINK("https://www.webofscience.com/wos/woscc/full-record/WOS:001291235300001","View Record in Web of Science")</f>
        <v>120</v>
      </c>
      <c r="BU291" t="s" s="0">
        <v>121</v>
      </c>
      <c r="BV291" t="s" s="0">
        <v>81</v>
      </c>
      <c r="BW291" t="s" s="0">
        <v>81</v>
      </c>
      <c r="BX291" t="s" s="0">
        <v>122</v>
      </c>
    </row>
    <row r="292">
      <c r="A292" t="s" s="0">
        <v>77</v>
      </c>
      <c r="B292" t="s" s="0">
        <v>77</v>
      </c>
      <c r="C292" t="s" s="0">
        <v>77</v>
      </c>
      <c r="D292" t="s" s="0">
        <v>77</v>
      </c>
      <c r="E292" t="s" s="0">
        <v>6633</v>
      </c>
      <c r="F292" t="s" s="0">
        <v>6634</v>
      </c>
      <c r="G292" t="s" s="0">
        <v>6635</v>
      </c>
      <c r="H292" t="s" s="0">
        <v>81</v>
      </c>
      <c r="I292" t="s" s="0">
        <v>82</v>
      </c>
      <c r="J292" t="s" s="0">
        <v>6636</v>
      </c>
      <c r="K292" t="s" s="0">
        <v>6637</v>
      </c>
      <c r="L292" t="s" s="0">
        <v>81</v>
      </c>
      <c r="M292" t="s" s="0">
        <v>81</v>
      </c>
      <c r="N292" t="s" s="0">
        <v>81</v>
      </c>
      <c r="O292" t="s" s="0">
        <v>6638</v>
      </c>
      <c r="P292" t="s" s="0">
        <v>6639</v>
      </c>
      <c r="Q292" t="s" s="0">
        <v>90</v>
      </c>
      <c r="R292" t="s" s="0">
        <v>81</v>
      </c>
      <c r="S292" t="s" s="0">
        <v>81</v>
      </c>
      <c r="T292" t="s" s="0">
        <v>81</v>
      </c>
      <c r="U292" t="s" s="0">
        <v>81</v>
      </c>
      <c r="V292" t="s" s="0">
        <v>6640</v>
      </c>
      <c r="W292" t="s" s="0">
        <v>550</v>
      </c>
      <c r="X292" t="s" s="0">
        <v>81</v>
      </c>
      <c r="Y292" t="s" s="0">
        <v>81</v>
      </c>
      <c r="Z292" t="s" s="0">
        <v>93</v>
      </c>
      <c r="AA292" t="s" s="0">
        <v>94</v>
      </c>
      <c r="AB292" t="s" s="0">
        <v>81</v>
      </c>
      <c r="AC292" t="s" s="0">
        <v>81</v>
      </c>
      <c r="AD292" t="s" s="0">
        <v>81</v>
      </c>
      <c r="AE292" t="s" s="0">
        <v>81</v>
      </c>
      <c r="AF292" t="s" s="0">
        <v>81</v>
      </c>
      <c r="AG292" t="s" s="0">
        <v>6641</v>
      </c>
      <c r="AH292" t="s" s="0">
        <v>81</v>
      </c>
      <c r="AI292" t="s" s="0">
        <v>6642</v>
      </c>
      <c r="AJ292" t="s" s="0">
        <v>6643</v>
      </c>
      <c r="AK292" t="s" s="0">
        <v>81</v>
      </c>
      <c r="AL292" t="s" s="0">
        <v>265</v>
      </c>
      <c r="AM292" t="s" s="0">
        <v>99</v>
      </c>
      <c r="AN292" t="s" s="0">
        <v>99</v>
      </c>
      <c r="AO292" t="s" s="0">
        <v>101</v>
      </c>
      <c r="AP292" t="s" s="0">
        <v>360</v>
      </c>
      <c r="AQ292" t="s" s="0">
        <v>439</v>
      </c>
      <c r="AR292" t="s" s="0">
        <v>201</v>
      </c>
      <c r="AS292" t="s" s="0">
        <v>440</v>
      </c>
      <c r="AT292" t="s" s="0">
        <v>81</v>
      </c>
      <c r="AU292" t="s" s="0">
        <v>555</v>
      </c>
      <c r="AV292" t="s" s="0">
        <v>81</v>
      </c>
      <c r="AW292" t="s" s="0">
        <v>556</v>
      </c>
      <c r="AX292" t="s" s="0">
        <v>557</v>
      </c>
      <c r="AY292" t="s" s="0">
        <v>6644</v>
      </c>
      <c r="AZ292" t="s" s="0">
        <v>110</v>
      </c>
      <c r="BA292" t="s" s="0">
        <v>393</v>
      </c>
      <c r="BB292" t="s" s="0">
        <v>169</v>
      </c>
      <c r="BC292" t="s" s="0">
        <v>81</v>
      </c>
      <c r="BD292" t="s" s="0">
        <v>81</v>
      </c>
      <c r="BE292" t="s" s="0">
        <v>81</v>
      </c>
      <c r="BF292" t="s" s="0">
        <v>81</v>
      </c>
      <c r="BG292" t="s" s="0">
        <v>81</v>
      </c>
      <c r="BH292" t="s" s="0">
        <v>81</v>
      </c>
      <c r="BI292" t="s" s="0">
        <v>6645</v>
      </c>
      <c r="BJ292" t="s" s="0">
        <v>6646</v>
      </c>
      <c r="BK292" t="s" s="579">
        <f>HYPERLINK("http://dx.doi.org/10.1186/s12911-025-03202-5","http://dx.doi.org/10.1186/s12911-025-03202-5")</f>
        <v>6647</v>
      </c>
      <c r="BL292" t="s" s="0">
        <v>81</v>
      </c>
      <c r="BM292" t="s" s="0">
        <v>81</v>
      </c>
      <c r="BN292" t="s" s="0">
        <v>328</v>
      </c>
      <c r="BO292" t="s" s="0">
        <v>244</v>
      </c>
      <c r="BP292" t="s" s="0">
        <v>244</v>
      </c>
      <c r="BQ292" t="s" s="0">
        <v>6648</v>
      </c>
      <c r="BR292" t="s" s="0">
        <v>6649</v>
      </c>
      <c r="BS292" t="s" s="0">
        <v>6650</v>
      </c>
      <c r="BT292" t="s" s="580">
        <f>HYPERLINK("https://www.webofscience.com/wos/woscc/full-record/WOS:001586144800016","View Record in Web of Science")</f>
        <v>120</v>
      </c>
      <c r="BU292" t="s" s="0">
        <v>121</v>
      </c>
      <c r="BV292" t="s" s="0">
        <v>81</v>
      </c>
      <c r="BW292" t="s" s="0">
        <v>81</v>
      </c>
      <c r="BX292" t="s" s="0">
        <v>122</v>
      </c>
    </row>
    <row r="293">
      <c r="A293" t="s" s="0">
        <v>77</v>
      </c>
      <c r="B293" t="s" s="0">
        <v>77</v>
      </c>
      <c r="C293" t="s" s="0">
        <v>77</v>
      </c>
      <c r="D293" t="s" s="0">
        <v>77</v>
      </c>
      <c r="E293" t="s" s="0">
        <v>6651</v>
      </c>
      <c r="F293" t="s" s="0">
        <v>6652</v>
      </c>
      <c r="G293" t="s" s="0">
        <v>6653</v>
      </c>
      <c r="H293" t="s" s="0">
        <v>81</v>
      </c>
      <c r="I293" t="s" s="0">
        <v>82</v>
      </c>
      <c r="J293" t="s" s="0">
        <v>6654</v>
      </c>
      <c r="K293" t="s" s="0">
        <v>6655</v>
      </c>
      <c r="L293" t="s" s="0">
        <v>81</v>
      </c>
      <c r="M293" t="s" s="0">
        <v>81</v>
      </c>
      <c r="N293" t="s" s="0">
        <v>81</v>
      </c>
      <c r="O293" t="s" s="0">
        <v>6656</v>
      </c>
      <c r="P293" t="s" s="0">
        <v>6657</v>
      </c>
      <c r="Q293" t="s" s="0">
        <v>90</v>
      </c>
      <c r="R293" t="s" s="0">
        <v>81</v>
      </c>
      <c r="S293" t="s" s="0">
        <v>81</v>
      </c>
      <c r="T293" t="s" s="0">
        <v>81</v>
      </c>
      <c r="U293" t="s" s="0">
        <v>81</v>
      </c>
      <c r="V293" t="s" s="0">
        <v>6658</v>
      </c>
      <c r="W293" t="s" s="0">
        <v>6659</v>
      </c>
      <c r="X293" t="s" s="0">
        <v>81</v>
      </c>
      <c r="Y293" t="s" s="0">
        <v>81</v>
      </c>
      <c r="Z293" t="s" s="0">
        <v>93</v>
      </c>
      <c r="AA293" t="s" s="0">
        <v>94</v>
      </c>
      <c r="AB293" t="s" s="0">
        <v>81</v>
      </c>
      <c r="AC293" t="s" s="0">
        <v>81</v>
      </c>
      <c r="AD293" t="s" s="0">
        <v>81</v>
      </c>
      <c r="AE293" t="s" s="0">
        <v>81</v>
      </c>
      <c r="AF293" t="s" s="0">
        <v>81</v>
      </c>
      <c r="AG293" t="s" s="0">
        <v>81</v>
      </c>
      <c r="AH293" t="s" s="0">
        <v>6660</v>
      </c>
      <c r="AI293" t="s" s="0">
        <v>81</v>
      </c>
      <c r="AJ293" t="s" s="0">
        <v>81</v>
      </c>
      <c r="AK293" t="s" s="0">
        <v>81</v>
      </c>
      <c r="AL293" t="s" s="0">
        <v>265</v>
      </c>
      <c r="AM293" t="s" s="0">
        <v>77</v>
      </c>
      <c r="AN293" t="s" s="0">
        <v>169</v>
      </c>
      <c r="AO293" t="s" s="0">
        <v>169</v>
      </c>
      <c r="AP293" t="s" s="0">
        <v>169</v>
      </c>
      <c r="AQ293" t="s" s="0">
        <v>288</v>
      </c>
      <c r="AR293" t="s" s="0">
        <v>289</v>
      </c>
      <c r="AS293" t="s" s="0">
        <v>290</v>
      </c>
      <c r="AT293" t="s" s="0">
        <v>6661</v>
      </c>
      <c r="AU293" t="s" s="0">
        <v>6662</v>
      </c>
      <c r="AV293" t="s" s="0">
        <v>81</v>
      </c>
      <c r="AW293" t="s" s="0">
        <v>6663</v>
      </c>
      <c r="AX293" t="s" s="0">
        <v>6664</v>
      </c>
      <c r="AY293" t="s" s="0">
        <v>6665</v>
      </c>
      <c r="AZ293" t="s" s="0">
        <v>144</v>
      </c>
      <c r="BA293" t="s" s="0">
        <v>1106</v>
      </c>
      <c r="BB293" t="s" s="0">
        <v>101</v>
      </c>
      <c r="BC293" t="s" s="0">
        <v>81</v>
      </c>
      <c r="BD293" t="s" s="0">
        <v>81</v>
      </c>
      <c r="BE293" t="s" s="0">
        <v>81</v>
      </c>
      <c r="BF293" t="s" s="0">
        <v>81</v>
      </c>
      <c r="BG293" t="s" s="0">
        <v>81</v>
      </c>
      <c r="BH293" t="s" s="0">
        <v>81</v>
      </c>
      <c r="BI293" t="s" s="0">
        <v>6666</v>
      </c>
      <c r="BJ293" t="s" s="0">
        <v>6667</v>
      </c>
      <c r="BK293" t="s" s="581">
        <f>HYPERLINK("http://dx.doi.org/10.1016/j.japh.2026.103077","http://dx.doi.org/10.1016/j.japh.2026.103077")</f>
        <v>6668</v>
      </c>
      <c r="BL293" t="s" s="0">
        <v>81</v>
      </c>
      <c r="BM293" t="s" s="0">
        <v>81</v>
      </c>
      <c r="BN293" t="s" s="0">
        <v>386</v>
      </c>
      <c r="BO293" t="s" s="0">
        <v>4798</v>
      </c>
      <c r="BP293" t="s" s="0">
        <v>4798</v>
      </c>
      <c r="BQ293" t="s" s="0">
        <v>6669</v>
      </c>
      <c r="BR293" t="s" s="0">
        <v>6670</v>
      </c>
      <c r="BS293" t="s" s="0">
        <v>6671</v>
      </c>
      <c r="BT293" t="s" s="582">
        <f>HYPERLINK("https://www.webofscience.com/wos/woscc/full-record/WOS:001744780500001","View Record in Web of Science")</f>
        <v>120</v>
      </c>
      <c r="BU293" t="s" s="0">
        <v>81</v>
      </c>
      <c r="BV293" t="s" s="0">
        <v>81</v>
      </c>
      <c r="BW293" t="s" s="0">
        <v>81</v>
      </c>
      <c r="BX293" t="s" s="0">
        <v>122</v>
      </c>
    </row>
    <row r="294">
      <c r="A294" t="s" s="0">
        <v>77</v>
      </c>
      <c r="B294" t="s" s="0">
        <v>77</v>
      </c>
      <c r="C294" t="s" s="0">
        <v>77</v>
      </c>
      <c r="D294" t="s" s="0">
        <v>77</v>
      </c>
      <c r="E294" t="s" s="0">
        <v>6672</v>
      </c>
      <c r="F294" t="s" s="0">
        <v>6673</v>
      </c>
      <c r="G294" t="s" s="0">
        <v>6674</v>
      </c>
      <c r="H294" t="s" s="0">
        <v>81</v>
      </c>
      <c r="I294" t="s" s="0">
        <v>82</v>
      </c>
      <c r="J294" t="s" s="0">
        <v>6675</v>
      </c>
      <c r="K294" t="s" s="0">
        <v>6676</v>
      </c>
      <c r="L294" t="s" s="0">
        <v>81</v>
      </c>
      <c r="M294" t="s" s="0">
        <v>81</v>
      </c>
      <c r="N294" t="s" s="0">
        <v>81</v>
      </c>
      <c r="O294" t="s" s="0">
        <v>6677</v>
      </c>
      <c r="P294" t="s" s="0">
        <v>6678</v>
      </c>
      <c r="Q294" t="s" s="0">
        <v>90</v>
      </c>
      <c r="R294" t="s" s="0">
        <v>81</v>
      </c>
      <c r="S294" t="s" s="0">
        <v>81</v>
      </c>
      <c r="T294" t="s" s="0">
        <v>81</v>
      </c>
      <c r="U294" t="s" s="0">
        <v>81</v>
      </c>
      <c r="V294" t="s" s="0">
        <v>6679</v>
      </c>
      <c r="W294" t="s" s="0">
        <v>6680</v>
      </c>
      <c r="X294" t="s" s="0">
        <v>81</v>
      </c>
      <c r="Y294" t="s" s="0">
        <v>81</v>
      </c>
      <c r="Z294" t="s" s="0">
        <v>93</v>
      </c>
      <c r="AA294" t="s" s="0">
        <v>196</v>
      </c>
      <c r="AB294" t="s" s="0">
        <v>81</v>
      </c>
      <c r="AC294" t="s" s="0">
        <v>81</v>
      </c>
      <c r="AD294" t="s" s="0">
        <v>81</v>
      </c>
      <c r="AE294" t="s" s="0">
        <v>81</v>
      </c>
      <c r="AF294" t="s" s="0">
        <v>81</v>
      </c>
      <c r="AG294" t="s" s="0">
        <v>6681</v>
      </c>
      <c r="AH294" t="s" s="0">
        <v>6682</v>
      </c>
      <c r="AI294" t="s" s="0">
        <v>6683</v>
      </c>
      <c r="AJ294" t="s" s="0">
        <v>81</v>
      </c>
      <c r="AK294" t="s" s="0">
        <v>81</v>
      </c>
      <c r="AL294" t="s" s="0">
        <v>393</v>
      </c>
      <c r="AM294" t="s" s="0">
        <v>77</v>
      </c>
      <c r="AN294" t="s" s="0">
        <v>77</v>
      </c>
      <c r="AO294" t="s" s="0">
        <v>77</v>
      </c>
      <c r="AP294" t="s" s="0">
        <v>77</v>
      </c>
      <c r="AQ294" t="s" s="0">
        <v>499</v>
      </c>
      <c r="AR294" t="s" s="0">
        <v>500</v>
      </c>
      <c r="AS294" t="s" s="0">
        <v>501</v>
      </c>
      <c r="AT294" t="s" s="0">
        <v>6684</v>
      </c>
      <c r="AU294" t="s" s="0">
        <v>6685</v>
      </c>
      <c r="AV294" t="s" s="0">
        <v>81</v>
      </c>
      <c r="AW294" t="s" s="0">
        <v>6680</v>
      </c>
      <c r="AX294" t="s" s="0">
        <v>6686</v>
      </c>
      <c r="AY294" t="s" s="0">
        <v>81</v>
      </c>
      <c r="AZ294" t="s" s="0">
        <v>144</v>
      </c>
      <c r="BA294" t="s" s="0">
        <v>81</v>
      </c>
      <c r="BB294" t="s" s="0">
        <v>81</v>
      </c>
      <c r="BC294" t="s" s="0">
        <v>81</v>
      </c>
      <c r="BD294" t="s" s="0">
        <v>81</v>
      </c>
      <c r="BE294" t="s" s="0">
        <v>81</v>
      </c>
      <c r="BF294" t="s" s="0">
        <v>81</v>
      </c>
      <c r="BG294" t="s" s="0">
        <v>81</v>
      </c>
      <c r="BH294" t="s" s="0">
        <v>81</v>
      </c>
      <c r="BI294" t="s" s="0">
        <v>81</v>
      </c>
      <c r="BJ294" t="s" s="0">
        <v>6687</v>
      </c>
      <c r="BK294" t="s" s="583">
        <f>HYPERLINK("http://dx.doi.org/10.1007/s10266-026-01498-x","http://dx.doi.org/10.1007/s10266-026-01498-x")</f>
        <v>6688</v>
      </c>
      <c r="BL294" t="s" s="0">
        <v>81</v>
      </c>
      <c r="BM294" t="s" s="0">
        <v>143</v>
      </c>
      <c r="BN294" t="s" s="0">
        <v>102</v>
      </c>
      <c r="BO294" t="s" s="0">
        <v>1934</v>
      </c>
      <c r="BP294" t="s" s="0">
        <v>1934</v>
      </c>
      <c r="BQ294" t="s" s="0">
        <v>6689</v>
      </c>
      <c r="BR294" t="s" s="0">
        <v>6690</v>
      </c>
      <c r="BS294" t="s" s="0">
        <v>6691</v>
      </c>
      <c r="BT294" t="s" s="584">
        <f>HYPERLINK("https://www.webofscience.com/wos/woscc/full-record/WOS:001813777200001","View Record in Web of Science")</f>
        <v>120</v>
      </c>
      <c r="BU294" t="s" s="0">
        <v>81</v>
      </c>
      <c r="BV294" t="s" s="0">
        <v>81</v>
      </c>
      <c r="BW294" t="s" s="0">
        <v>81</v>
      </c>
      <c r="BX294" t="s" s="0">
        <v>122</v>
      </c>
    </row>
    <row r="295">
      <c r="A295" t="s" s="0">
        <v>77</v>
      </c>
      <c r="B295" t="s" s="0">
        <v>77</v>
      </c>
      <c r="C295" t="s" s="0">
        <v>77</v>
      </c>
      <c r="D295" t="s" s="0">
        <v>77</v>
      </c>
      <c r="E295" t="s" s="0">
        <v>6692</v>
      </c>
      <c r="F295" t="s" s="0">
        <v>6693</v>
      </c>
      <c r="G295" t="s" s="0">
        <v>6694</v>
      </c>
      <c r="H295" t="s" s="0">
        <v>81</v>
      </c>
      <c r="I295" t="s" s="0">
        <v>218</v>
      </c>
      <c r="J295" t="s" s="0">
        <v>6695</v>
      </c>
      <c r="K295" t="s" s="0">
        <v>6696</v>
      </c>
      <c r="L295" t="s" s="0">
        <v>6697</v>
      </c>
      <c r="M295" t="s" s="0">
        <v>6697</v>
      </c>
      <c r="N295" t="s" s="0">
        <v>6698</v>
      </c>
      <c r="O295" t="s" s="0">
        <v>6699</v>
      </c>
      <c r="P295" t="s" s="0">
        <v>6700</v>
      </c>
      <c r="Q295" t="s" s="0">
        <v>90</v>
      </c>
      <c r="R295" t="s" s="0">
        <v>81</v>
      </c>
      <c r="S295" t="s" s="0">
        <v>81</v>
      </c>
      <c r="T295" t="s" s="0">
        <v>81</v>
      </c>
      <c r="U295" t="s" s="0">
        <v>81</v>
      </c>
      <c r="V295" t="s" s="0">
        <v>6701</v>
      </c>
      <c r="W295" t="s" s="0">
        <v>6702</v>
      </c>
      <c r="X295" t="s" s="0">
        <v>81</v>
      </c>
      <c r="Y295" t="s" s="0">
        <v>81</v>
      </c>
      <c r="Z295" t="s" s="0">
        <v>93</v>
      </c>
      <c r="AA295" t="s" s="0">
        <v>94</v>
      </c>
      <c r="AB295" t="s" s="0">
        <v>81</v>
      </c>
      <c r="AC295" t="s" s="0">
        <v>81</v>
      </c>
      <c r="AD295" t="s" s="0">
        <v>81</v>
      </c>
      <c r="AE295" t="s" s="0">
        <v>81</v>
      </c>
      <c r="AF295" t="s" s="0">
        <v>81</v>
      </c>
      <c r="AG295" t="s" s="0">
        <v>6703</v>
      </c>
      <c r="AH295" t="s" s="0">
        <v>6704</v>
      </c>
      <c r="AI295" t="s" s="0">
        <v>6705</v>
      </c>
      <c r="AJ295" t="s" s="0">
        <v>6706</v>
      </c>
      <c r="AK295" t="s" s="0">
        <v>81</v>
      </c>
      <c r="AL295" t="s" s="0">
        <v>2163</v>
      </c>
      <c r="AM295" t="s" s="0">
        <v>99</v>
      </c>
      <c r="AN295" t="s" s="0">
        <v>99</v>
      </c>
      <c r="AO295" t="s" s="0">
        <v>554</v>
      </c>
      <c r="AP295" t="s" s="0">
        <v>210</v>
      </c>
      <c r="AQ295" t="s" s="0">
        <v>137</v>
      </c>
      <c r="AR295" t="s" s="0">
        <v>138</v>
      </c>
      <c r="AS295" t="s" s="0">
        <v>139</v>
      </c>
      <c r="AT295" t="s" s="0">
        <v>81</v>
      </c>
      <c r="AU295" t="s" s="0">
        <v>6707</v>
      </c>
      <c r="AV295" t="s" s="0">
        <v>81</v>
      </c>
      <c r="AW295" t="s" s="0">
        <v>6702</v>
      </c>
      <c r="AX295" t="s" s="0">
        <v>6708</v>
      </c>
      <c r="AY295" t="s" s="0">
        <v>6709</v>
      </c>
      <c r="AZ295" t="s" s="0">
        <v>110</v>
      </c>
      <c r="BA295" t="s" s="0">
        <v>115</v>
      </c>
      <c r="BB295" t="s" s="0">
        <v>99</v>
      </c>
      <c r="BC295" t="s" s="0">
        <v>81</v>
      </c>
      <c r="BD295" t="s" s="0">
        <v>81</v>
      </c>
      <c r="BE295" t="s" s="0">
        <v>81</v>
      </c>
      <c r="BF295" t="s" s="0">
        <v>81</v>
      </c>
      <c r="BG295" t="s" s="0">
        <v>81</v>
      </c>
      <c r="BH295" t="s" s="0">
        <v>81</v>
      </c>
      <c r="BI295" t="s" s="0">
        <v>6710</v>
      </c>
      <c r="BJ295" t="s" s="0">
        <v>6711</v>
      </c>
      <c r="BK295" t="s" s="585">
        <f>HYPERLINK("http://dx.doi.org/10.3390/technologies13040140","http://dx.doi.org/10.3390/technologies13040140")</f>
        <v>6712</v>
      </c>
      <c r="BL295" t="s" s="0">
        <v>81</v>
      </c>
      <c r="BM295" t="s" s="0">
        <v>81</v>
      </c>
      <c r="BN295" t="s" s="0">
        <v>637</v>
      </c>
      <c r="BO295" t="s" s="0">
        <v>2842</v>
      </c>
      <c r="BP295" t="s" s="0">
        <v>1087</v>
      </c>
      <c r="BQ295" t="s" s="0">
        <v>6713</v>
      </c>
      <c r="BR295" t="s" s="0">
        <v>81</v>
      </c>
      <c r="BS295" t="s" s="0">
        <v>6714</v>
      </c>
      <c r="BT295" t="s" s="586">
        <f>HYPERLINK("https://www.webofscience.com/wos/woscc/full-record/WOS:001474312700001","View Record in Web of Science")</f>
        <v>120</v>
      </c>
      <c r="BU295" t="s" s="0">
        <v>121</v>
      </c>
      <c r="BV295" t="s" s="0">
        <v>81</v>
      </c>
      <c r="BW295" t="s" s="0">
        <v>81</v>
      </c>
      <c r="BX295" t="s" s="0">
        <v>122</v>
      </c>
    </row>
    <row r="296">
      <c r="A296" t="s" s="0">
        <v>77</v>
      </c>
      <c r="B296" t="s" s="0">
        <v>77</v>
      </c>
      <c r="C296" t="s" s="0">
        <v>77</v>
      </c>
      <c r="D296" t="s" s="0">
        <v>77</v>
      </c>
      <c r="E296" t="s" s="0">
        <v>6715</v>
      </c>
      <c r="F296" t="s" s="0">
        <v>6716</v>
      </c>
      <c r="G296" t="s" s="0">
        <v>6717</v>
      </c>
      <c r="H296" t="s" s="0">
        <v>81</v>
      </c>
      <c r="I296" t="s" s="0">
        <v>82</v>
      </c>
      <c r="J296" t="s" s="0">
        <v>6718</v>
      </c>
      <c r="K296" t="s" s="0">
        <v>6719</v>
      </c>
      <c r="L296" t="s" s="0">
        <v>6720</v>
      </c>
      <c r="M296" t="s" s="0">
        <v>6721</v>
      </c>
      <c r="N296" t="s" s="0">
        <v>6722</v>
      </c>
      <c r="O296" t="s" s="0">
        <v>6723</v>
      </c>
      <c r="P296" t="s" s="0">
        <v>6724</v>
      </c>
      <c r="Q296" t="s" s="0">
        <v>90</v>
      </c>
      <c r="R296" t="s" s="0">
        <v>81</v>
      </c>
      <c r="S296" t="s" s="0">
        <v>81</v>
      </c>
      <c r="T296" t="s" s="0">
        <v>81</v>
      </c>
      <c r="U296" t="s" s="0">
        <v>81</v>
      </c>
      <c r="V296" t="s" s="0">
        <v>6725</v>
      </c>
      <c r="W296" t="s" s="0">
        <v>6726</v>
      </c>
      <c r="X296" t="s" s="0">
        <v>81</v>
      </c>
      <c r="Y296" t="s" s="0">
        <v>81</v>
      </c>
      <c r="Z296" t="s" s="0">
        <v>93</v>
      </c>
      <c r="AA296" t="s" s="0">
        <v>94</v>
      </c>
      <c r="AB296" t="s" s="0">
        <v>81</v>
      </c>
      <c r="AC296" t="s" s="0">
        <v>81</v>
      </c>
      <c r="AD296" t="s" s="0">
        <v>81</v>
      </c>
      <c r="AE296" t="s" s="0">
        <v>81</v>
      </c>
      <c r="AF296" t="s" s="0">
        <v>81</v>
      </c>
      <c r="AG296" t="s" s="0">
        <v>6727</v>
      </c>
      <c r="AH296" t="s" s="0">
        <v>81</v>
      </c>
      <c r="AI296" t="s" s="0">
        <v>6728</v>
      </c>
      <c r="AJ296" t="s" s="0">
        <v>81</v>
      </c>
      <c r="AK296" t="s" s="0">
        <v>81</v>
      </c>
      <c r="AL296" t="s" s="0">
        <v>287</v>
      </c>
      <c r="AM296" t="s" s="0">
        <v>77</v>
      </c>
      <c r="AN296" t="s" s="0">
        <v>77</v>
      </c>
      <c r="AO296" t="s" s="0">
        <v>99</v>
      </c>
      <c r="AP296" t="s" s="0">
        <v>99</v>
      </c>
      <c r="AQ296" t="s" s="0">
        <v>6729</v>
      </c>
      <c r="AR296" t="s" s="0">
        <v>322</v>
      </c>
      <c r="AS296" t="s" s="0">
        <v>6730</v>
      </c>
      <c r="AT296" t="s" s="0">
        <v>6731</v>
      </c>
      <c r="AU296" t="s" s="0">
        <v>6732</v>
      </c>
      <c r="AV296" t="s" s="0">
        <v>81</v>
      </c>
      <c r="AW296" t="s" s="0">
        <v>6733</v>
      </c>
      <c r="AX296" t="s" s="0">
        <v>6734</v>
      </c>
      <c r="AY296" t="s" s="0">
        <v>6735</v>
      </c>
      <c r="AZ296" t="s" s="0">
        <v>144</v>
      </c>
      <c r="BA296" t="s" s="0">
        <v>2056</v>
      </c>
      <c r="BB296" t="s" s="0">
        <v>210</v>
      </c>
      <c r="BC296" t="s" s="0">
        <v>81</v>
      </c>
      <c r="BD296" t="s" s="0">
        <v>81</v>
      </c>
      <c r="BE296" t="s" s="0">
        <v>81</v>
      </c>
      <c r="BF296" t="s" s="0">
        <v>81</v>
      </c>
      <c r="BG296" t="s" s="0">
        <v>6736</v>
      </c>
      <c r="BH296" t="s" s="0">
        <v>6737</v>
      </c>
      <c r="BI296" t="s" s="0">
        <v>81</v>
      </c>
      <c r="BJ296" t="s" s="0">
        <v>6738</v>
      </c>
      <c r="BK296" t="s" s="587">
        <f>HYPERLINK("http://dx.doi.org/10.1515/cclm-2026-0435","http://dx.doi.org/10.1515/cclm-2026-0435")</f>
        <v>6739</v>
      </c>
      <c r="BL296" t="s" s="0">
        <v>81</v>
      </c>
      <c r="BM296" t="s" s="0">
        <v>209</v>
      </c>
      <c r="BN296" t="s" s="0">
        <v>360</v>
      </c>
      <c r="BO296" t="s" s="0">
        <v>6740</v>
      </c>
      <c r="BP296" t="s" s="0">
        <v>6740</v>
      </c>
      <c r="BQ296" t="s" s="0">
        <v>6741</v>
      </c>
      <c r="BR296" t="s" s="0">
        <v>6742</v>
      </c>
      <c r="BS296" t="s" s="0">
        <v>6743</v>
      </c>
      <c r="BT296" t="s" s="588">
        <f>HYPERLINK("https://www.webofscience.com/wos/woscc/full-record/WOS:001748703700001","View Record in Web of Science")</f>
        <v>120</v>
      </c>
      <c r="BU296" t="s" s="0">
        <v>81</v>
      </c>
      <c r="BV296" t="s" s="0">
        <v>81</v>
      </c>
      <c r="BW296" t="s" s="0">
        <v>81</v>
      </c>
      <c r="BX296" t="s" s="0">
        <v>122</v>
      </c>
    </row>
    <row r="297">
      <c r="A297" t="s" s="0">
        <v>77</v>
      </c>
      <c r="B297" t="s" s="0">
        <v>77</v>
      </c>
      <c r="C297" t="s" s="0">
        <v>554</v>
      </c>
      <c r="D297" t="s" s="0">
        <v>77</v>
      </c>
      <c r="E297" t="s" s="0">
        <v>6744</v>
      </c>
      <c r="F297" t="s" s="0">
        <v>6745</v>
      </c>
      <c r="G297" t="s" s="0">
        <v>6746</v>
      </c>
      <c r="H297" t="s" s="0">
        <v>81</v>
      </c>
      <c r="I297" t="s" s="0">
        <v>82</v>
      </c>
      <c r="J297" t="s" s="0">
        <v>6747</v>
      </c>
      <c r="K297" t="s" s="0">
        <v>6748</v>
      </c>
      <c r="L297" t="s" s="0">
        <v>6749</v>
      </c>
      <c r="M297" t="s" s="0">
        <v>6750</v>
      </c>
      <c r="N297" t="s" s="0">
        <v>6751</v>
      </c>
      <c r="O297" t="s" s="0">
        <v>6752</v>
      </c>
      <c r="P297" t="s" s="0">
        <v>6753</v>
      </c>
      <c r="Q297" t="s" s="0">
        <v>90</v>
      </c>
      <c r="R297" t="s" s="0">
        <v>81</v>
      </c>
      <c r="S297" t="s" s="0">
        <v>81</v>
      </c>
      <c r="T297" t="s" s="0">
        <v>81</v>
      </c>
      <c r="U297" t="s" s="0">
        <v>81</v>
      </c>
      <c r="V297" t="s" s="0">
        <v>6754</v>
      </c>
      <c r="W297" t="s" s="0">
        <v>380</v>
      </c>
      <c r="X297" t="s" s="0">
        <v>81</v>
      </c>
      <c r="Y297" t="s" s="0">
        <v>81</v>
      </c>
      <c r="Z297" t="s" s="0">
        <v>93</v>
      </c>
      <c r="AA297" t="s" s="0">
        <v>94</v>
      </c>
      <c r="AB297" t="s" s="0">
        <v>81</v>
      </c>
      <c r="AC297" t="s" s="0">
        <v>81</v>
      </c>
      <c r="AD297" t="s" s="0">
        <v>81</v>
      </c>
      <c r="AE297" t="s" s="0">
        <v>81</v>
      </c>
      <c r="AF297" t="s" s="0">
        <v>81</v>
      </c>
      <c r="AG297" t="s" s="0">
        <v>6755</v>
      </c>
      <c r="AH297" t="s" s="0">
        <v>6756</v>
      </c>
      <c r="AI297" t="s" s="0">
        <v>6757</v>
      </c>
      <c r="AJ297" t="s" s="0">
        <v>6758</v>
      </c>
      <c r="AK297" t="s" s="0">
        <v>81</v>
      </c>
      <c r="AL297" t="s" s="0">
        <v>2098</v>
      </c>
      <c r="AM297" t="s" s="0">
        <v>100</v>
      </c>
      <c r="AN297" t="s" s="0">
        <v>100</v>
      </c>
      <c r="AO297" t="s" s="0">
        <v>101</v>
      </c>
      <c r="AP297" t="s" s="0">
        <v>99</v>
      </c>
      <c r="AQ297" t="s" s="0">
        <v>103</v>
      </c>
      <c r="AR297" t="s" s="0">
        <v>104</v>
      </c>
      <c r="AS297" t="s" s="0">
        <v>105</v>
      </c>
      <c r="AT297" t="s" s="0">
        <v>81</v>
      </c>
      <c r="AU297" t="s" s="0">
        <v>387</v>
      </c>
      <c r="AV297" t="s" s="0">
        <v>81</v>
      </c>
      <c r="AW297" t="s" s="0">
        <v>388</v>
      </c>
      <c r="AX297" t="s" s="0">
        <v>389</v>
      </c>
      <c r="AY297" t="s" s="0">
        <v>110</v>
      </c>
      <c r="AZ297" t="s" s="0">
        <v>110</v>
      </c>
      <c r="BA297" t="s" s="0">
        <v>115</v>
      </c>
      <c r="BB297" t="s" s="0">
        <v>81</v>
      </c>
      <c r="BC297" t="s" s="0">
        <v>81</v>
      </c>
      <c r="BD297" t="s" s="0">
        <v>81</v>
      </c>
      <c r="BE297" t="s" s="0">
        <v>81</v>
      </c>
      <c r="BF297" t="s" s="0">
        <v>81</v>
      </c>
      <c r="BG297" t="s" s="0">
        <v>81</v>
      </c>
      <c r="BH297" t="s" s="0">
        <v>81</v>
      </c>
      <c r="BI297" t="s" s="0">
        <v>6759</v>
      </c>
      <c r="BJ297" t="s" s="0">
        <v>6760</v>
      </c>
      <c r="BK297" t="s" s="589">
        <f>HYPERLINK("http://dx.doi.org/10.2196/71252","http://dx.doi.org/10.2196/71252")</f>
        <v>6761</v>
      </c>
      <c r="BL297" t="s" s="0">
        <v>81</v>
      </c>
      <c r="BM297" t="s" s="0">
        <v>81</v>
      </c>
      <c r="BN297" t="s" s="0">
        <v>946</v>
      </c>
      <c r="BO297" t="s" s="0">
        <v>244</v>
      </c>
      <c r="BP297" t="s" s="0">
        <v>244</v>
      </c>
      <c r="BQ297" t="s" s="0">
        <v>6762</v>
      </c>
      <c r="BR297" t="s" s="0">
        <v>6763</v>
      </c>
      <c r="BS297" t="s" s="0">
        <v>6764</v>
      </c>
      <c r="BT297" t="s" s="590">
        <f>HYPERLINK("https://www.webofscience.com/wos/woscc/full-record/WOS:001604462300001","View Record in Web of Science")</f>
        <v>120</v>
      </c>
      <c r="BU297" t="s" s="0">
        <v>4094</v>
      </c>
      <c r="BV297" t="s" s="0">
        <v>81</v>
      </c>
      <c r="BW297" t="s" s="0">
        <v>81</v>
      </c>
      <c r="BX297" t="s" s="0">
        <v>122</v>
      </c>
    </row>
    <row r="298">
      <c r="A298" t="s" s="0">
        <v>77</v>
      </c>
      <c r="B298" t="s" s="0">
        <v>77</v>
      </c>
      <c r="C298" t="s" s="0">
        <v>77</v>
      </c>
      <c r="D298" t="s" s="0">
        <v>77</v>
      </c>
      <c r="E298" t="s" s="0">
        <v>6765</v>
      </c>
      <c r="F298" t="s" s="0">
        <v>6766</v>
      </c>
      <c r="G298" t="s" s="0">
        <v>6767</v>
      </c>
      <c r="H298" t="s" s="0">
        <v>81</v>
      </c>
      <c r="I298" t="s" s="0">
        <v>218</v>
      </c>
      <c r="J298" t="s" s="0">
        <v>6768</v>
      </c>
      <c r="K298" t="s" s="0">
        <v>6769</v>
      </c>
      <c r="L298" t="s" s="0">
        <v>6770</v>
      </c>
      <c r="M298" t="s" s="0">
        <v>6770</v>
      </c>
      <c r="N298" t="s" s="0">
        <v>6771</v>
      </c>
      <c r="O298" t="s" s="0">
        <v>6772</v>
      </c>
      <c r="P298" t="s" s="0">
        <v>6773</v>
      </c>
      <c r="Q298" t="s" s="0">
        <v>90</v>
      </c>
      <c r="R298" t="s" s="0">
        <v>81</v>
      </c>
      <c r="S298" t="s" s="0">
        <v>81</v>
      </c>
      <c r="T298" t="s" s="0">
        <v>81</v>
      </c>
      <c r="U298" t="s" s="0">
        <v>81</v>
      </c>
      <c r="V298" t="s" s="0">
        <v>6774</v>
      </c>
      <c r="W298" t="s" s="0">
        <v>2071</v>
      </c>
      <c r="X298" t="s" s="0">
        <v>81</v>
      </c>
      <c r="Y298" t="s" s="0">
        <v>81</v>
      </c>
      <c r="Z298" t="s" s="0">
        <v>93</v>
      </c>
      <c r="AA298" t="s" s="0">
        <v>94</v>
      </c>
      <c r="AB298" t="s" s="0">
        <v>81</v>
      </c>
      <c r="AC298" t="s" s="0">
        <v>81</v>
      </c>
      <c r="AD298" t="s" s="0">
        <v>81</v>
      </c>
      <c r="AE298" t="s" s="0">
        <v>81</v>
      </c>
      <c r="AF298" t="s" s="0">
        <v>81</v>
      </c>
      <c r="AG298" t="s" s="0">
        <v>6775</v>
      </c>
      <c r="AH298" t="s" s="0">
        <v>81</v>
      </c>
      <c r="AI298" t="s" s="0">
        <v>6776</v>
      </c>
      <c r="AJ298" t="s" s="0">
        <v>6777</v>
      </c>
      <c r="AK298" t="s" s="0">
        <v>81</v>
      </c>
      <c r="AL298" t="s" s="0">
        <v>1543</v>
      </c>
      <c r="AM298" t="s" s="0">
        <v>77</v>
      </c>
      <c r="AN298" t="s" s="0">
        <v>77</v>
      </c>
      <c r="AO298" t="s" s="0">
        <v>101</v>
      </c>
      <c r="AP298" t="s" s="0">
        <v>101</v>
      </c>
      <c r="AQ298" t="s" s="0">
        <v>103</v>
      </c>
      <c r="AR298" t="s" s="0">
        <v>104</v>
      </c>
      <c r="AS298" t="s" s="0">
        <v>105</v>
      </c>
      <c r="AT298" t="s" s="0">
        <v>81</v>
      </c>
      <c r="AU298" t="s" s="0">
        <v>2075</v>
      </c>
      <c r="AV298" t="s" s="0">
        <v>81</v>
      </c>
      <c r="AW298" t="s" s="0">
        <v>2076</v>
      </c>
      <c r="AX298" t="s" s="0">
        <v>2077</v>
      </c>
      <c r="AY298" t="s" s="0">
        <v>110</v>
      </c>
      <c r="AZ298" t="s" s="0">
        <v>110</v>
      </c>
      <c r="BA298" t="s" s="0">
        <v>328</v>
      </c>
      <c r="BB298" t="s" s="0">
        <v>81</v>
      </c>
      <c r="BC298" t="s" s="0">
        <v>81</v>
      </c>
      <c r="BD298" t="s" s="0">
        <v>81</v>
      </c>
      <c r="BE298" t="s" s="0">
        <v>81</v>
      </c>
      <c r="BF298" t="s" s="0">
        <v>81</v>
      </c>
      <c r="BG298" t="s" s="0">
        <v>81</v>
      </c>
      <c r="BH298" t="s" s="0">
        <v>81</v>
      </c>
      <c r="BI298" t="s" s="0">
        <v>6778</v>
      </c>
      <c r="BJ298" t="s" s="0">
        <v>6779</v>
      </c>
      <c r="BK298" t="s" s="591">
        <f>HYPERLINK("http://dx.doi.org/10.2196/77707","http://dx.doi.org/10.2196/77707")</f>
        <v>6780</v>
      </c>
      <c r="BL298" t="s" s="0">
        <v>81</v>
      </c>
      <c r="BM298" t="s" s="0">
        <v>81</v>
      </c>
      <c r="BN298" t="s" s="0">
        <v>115</v>
      </c>
      <c r="BO298" t="s" s="0">
        <v>116</v>
      </c>
      <c r="BP298" t="s" s="0">
        <v>116</v>
      </c>
      <c r="BQ298" t="s" s="0">
        <v>6070</v>
      </c>
      <c r="BR298" t="s" s="0">
        <v>6781</v>
      </c>
      <c r="BS298" t="s" s="0">
        <v>6782</v>
      </c>
      <c r="BT298" t="s" s="592">
        <f>HYPERLINK("https://www.webofscience.com/wos/woscc/full-record/WOS:001639344900042","View Record in Web of Science")</f>
        <v>120</v>
      </c>
      <c r="BU298" t="s" s="0">
        <v>121</v>
      </c>
      <c r="BV298" t="s" s="0">
        <v>81</v>
      </c>
      <c r="BW298" t="s" s="0">
        <v>81</v>
      </c>
      <c r="BX298" t="s" s="0">
        <v>122</v>
      </c>
    </row>
    <row r="299">
      <c r="A299" t="s" s="0">
        <v>77</v>
      </c>
      <c r="B299" t="s" s="0">
        <v>77</v>
      </c>
      <c r="C299" t="s" s="0">
        <v>169</v>
      </c>
      <c r="D299" t="s" s="0">
        <v>77</v>
      </c>
      <c r="E299" t="s" s="0">
        <v>3838</v>
      </c>
      <c r="F299" t="s" s="0">
        <v>6783</v>
      </c>
      <c r="G299" t="s" s="0">
        <v>3840</v>
      </c>
      <c r="H299" t="s" s="0">
        <v>81</v>
      </c>
      <c r="I299" t="s" s="0">
        <v>82</v>
      </c>
      <c r="J299" t="s" s="0">
        <v>6784</v>
      </c>
      <c r="K299" t="s" s="0">
        <v>6785</v>
      </c>
      <c r="L299" t="s" s="0">
        <v>6786</v>
      </c>
      <c r="M299" t="s" s="0">
        <v>6787</v>
      </c>
      <c r="N299" t="s" s="0">
        <v>6788</v>
      </c>
      <c r="O299" t="s" s="0">
        <v>6789</v>
      </c>
      <c r="P299" t="s" s="0">
        <v>3140</v>
      </c>
      <c r="Q299" t="s" s="0">
        <v>90</v>
      </c>
      <c r="R299" t="s" s="0">
        <v>81</v>
      </c>
      <c r="S299" t="s" s="0">
        <v>81</v>
      </c>
      <c r="T299" t="s" s="0">
        <v>81</v>
      </c>
      <c r="U299" t="s" s="0">
        <v>81</v>
      </c>
      <c r="V299" t="s" s="0">
        <v>6790</v>
      </c>
      <c r="W299" t="s" s="0">
        <v>6791</v>
      </c>
      <c r="X299" t="s" s="0">
        <v>81</v>
      </c>
      <c r="Y299" t="s" s="0">
        <v>81</v>
      </c>
      <c r="Z299" t="s" s="0">
        <v>93</v>
      </c>
      <c r="AA299" t="s" s="0">
        <v>94</v>
      </c>
      <c r="AB299" t="s" s="0">
        <v>81</v>
      </c>
      <c r="AC299" t="s" s="0">
        <v>81</v>
      </c>
      <c r="AD299" t="s" s="0">
        <v>81</v>
      </c>
      <c r="AE299" t="s" s="0">
        <v>81</v>
      </c>
      <c r="AF299" t="s" s="0">
        <v>81</v>
      </c>
      <c r="AG299" t="s" s="0">
        <v>81</v>
      </c>
      <c r="AH299" t="s" s="0">
        <v>81</v>
      </c>
      <c r="AI299" t="s" s="0">
        <v>81</v>
      </c>
      <c r="AJ299" t="s" s="0">
        <v>81</v>
      </c>
      <c r="AK299" t="s" s="0">
        <v>81</v>
      </c>
      <c r="AL299" t="s" s="0">
        <v>239</v>
      </c>
      <c r="AM299" t="s" s="0">
        <v>328</v>
      </c>
      <c r="AN299" t="s" s="0">
        <v>102</v>
      </c>
      <c r="AO299" t="s" s="0">
        <v>554</v>
      </c>
      <c r="AP299" t="s" s="0">
        <v>101</v>
      </c>
      <c r="AQ299" t="s" s="0">
        <v>1178</v>
      </c>
      <c r="AR299" t="s" s="0">
        <v>1179</v>
      </c>
      <c r="AS299" t="s" s="0">
        <v>1180</v>
      </c>
      <c r="AT299" t="s" s="0">
        <v>6792</v>
      </c>
      <c r="AU299" t="s" s="0">
        <v>6793</v>
      </c>
      <c r="AV299" t="s" s="0">
        <v>81</v>
      </c>
      <c r="AW299" t="s" s="0">
        <v>6794</v>
      </c>
      <c r="AX299" t="s" s="0">
        <v>6795</v>
      </c>
      <c r="AY299" t="s" s="0">
        <v>508</v>
      </c>
      <c r="AZ299" t="s" s="0">
        <v>144</v>
      </c>
      <c r="BA299" t="s" s="0">
        <v>438</v>
      </c>
      <c r="BB299" t="s" s="0">
        <v>554</v>
      </c>
      <c r="BC299" t="s" s="0">
        <v>81</v>
      </c>
      <c r="BD299" t="s" s="0">
        <v>81</v>
      </c>
      <c r="BE299" t="s" s="0">
        <v>81</v>
      </c>
      <c r="BF299" t="s" s="0">
        <v>81</v>
      </c>
      <c r="BG299" t="s" s="0">
        <v>81</v>
      </c>
      <c r="BH299" t="s" s="0">
        <v>81</v>
      </c>
      <c r="BI299" t="s" s="0">
        <v>81</v>
      </c>
      <c r="BJ299" t="s" s="0">
        <v>6796</v>
      </c>
      <c r="BK299" t="s" s="593">
        <f>HYPERLINK("http://dx.doi.org/10.1200/OP-24-00992","http://dx.doi.org/10.1200/OP-24-00992")</f>
        <v>6797</v>
      </c>
      <c r="BL299" t="s" s="0">
        <v>81</v>
      </c>
      <c r="BM299" t="s" s="0">
        <v>81</v>
      </c>
      <c r="BN299" t="s" s="0">
        <v>115</v>
      </c>
      <c r="BO299" t="s" s="0">
        <v>1433</v>
      </c>
      <c r="BP299" t="s" s="0">
        <v>1433</v>
      </c>
      <c r="BQ299" t="s" s="0">
        <v>6798</v>
      </c>
      <c r="BR299" t="s" s="0">
        <v>6799</v>
      </c>
      <c r="BS299" t="s" s="0">
        <v>6800</v>
      </c>
      <c r="BT299" t="s" s="594">
        <f>HYPERLINK("https://www.webofscience.com/wos/woscc/full-record/WOS:001692493100002","View Record in Web of Science")</f>
        <v>120</v>
      </c>
      <c r="BU299" t="s" s="0">
        <v>81</v>
      </c>
      <c r="BV299" t="s" s="0">
        <v>602</v>
      </c>
      <c r="BW299" t="s" s="0">
        <v>603</v>
      </c>
      <c r="BX299" t="s" s="0">
        <v>122</v>
      </c>
    </row>
    <row r="300">
      <c r="A300" t="s" s="0">
        <v>77</v>
      </c>
      <c r="B300" t="s" s="0">
        <v>77</v>
      </c>
      <c r="C300" t="s" s="0">
        <v>77</v>
      </c>
      <c r="D300" t="s" s="0">
        <v>77</v>
      </c>
      <c r="E300" t="s" s="0">
        <v>6801</v>
      </c>
      <c r="F300" t="s" s="0">
        <v>6802</v>
      </c>
      <c r="G300" t="s" s="0">
        <v>6803</v>
      </c>
      <c r="H300" t="s" s="0">
        <v>81</v>
      </c>
      <c r="I300" t="s" s="0">
        <v>568</v>
      </c>
      <c r="J300" t="s" s="0">
        <v>6804</v>
      </c>
      <c r="K300" t="s" s="0">
        <v>6805</v>
      </c>
      <c r="L300" t="s" s="0">
        <v>6806</v>
      </c>
      <c r="M300" t="s" s="0">
        <v>6807</v>
      </c>
      <c r="N300" t="s" s="0">
        <v>6808</v>
      </c>
      <c r="O300" t="s" s="0">
        <v>6809</v>
      </c>
      <c r="P300" t="s" s="0">
        <v>6810</v>
      </c>
      <c r="Q300" t="s" s="0">
        <v>90</v>
      </c>
      <c r="R300" t="s" s="0">
        <v>81</v>
      </c>
      <c r="S300" t="s" s="0">
        <v>81</v>
      </c>
      <c r="T300" t="s" s="0">
        <v>81</v>
      </c>
      <c r="U300" t="s" s="0">
        <v>81</v>
      </c>
      <c r="V300" t="s" s="0">
        <v>6811</v>
      </c>
      <c r="W300" t="s" s="0">
        <v>6812</v>
      </c>
      <c r="X300" t="s" s="0">
        <v>81</v>
      </c>
      <c r="Y300" t="s" s="0">
        <v>81</v>
      </c>
      <c r="Z300" t="s" s="0">
        <v>93</v>
      </c>
      <c r="AA300" t="s" s="0">
        <v>94</v>
      </c>
      <c r="AB300" t="s" s="0">
        <v>81</v>
      </c>
      <c r="AC300" t="s" s="0">
        <v>81</v>
      </c>
      <c r="AD300" t="s" s="0">
        <v>81</v>
      </c>
      <c r="AE300" t="s" s="0">
        <v>81</v>
      </c>
      <c r="AF300" t="s" s="0">
        <v>81</v>
      </c>
      <c r="AG300" t="s" s="0">
        <v>6813</v>
      </c>
      <c r="AH300" t="s" s="0">
        <v>6814</v>
      </c>
      <c r="AI300" t="s" s="0">
        <v>6815</v>
      </c>
      <c r="AJ300" t="s" s="0">
        <v>6816</v>
      </c>
      <c r="AK300" t="s" s="0">
        <v>81</v>
      </c>
      <c r="AL300" t="s" s="0">
        <v>98</v>
      </c>
      <c r="AM300" t="s" s="0">
        <v>101</v>
      </c>
      <c r="AN300" t="s" s="0">
        <v>101</v>
      </c>
      <c r="AO300" t="s" s="0">
        <v>100</v>
      </c>
      <c r="AP300" t="s" s="0">
        <v>386</v>
      </c>
      <c r="AQ300" t="s" s="0">
        <v>6817</v>
      </c>
      <c r="AR300" t="s" s="0">
        <v>201</v>
      </c>
      <c r="AS300" t="s" s="0">
        <v>6818</v>
      </c>
      <c r="AT300" t="s" s="0">
        <v>6819</v>
      </c>
      <c r="AU300" t="s" s="0">
        <v>6820</v>
      </c>
      <c r="AV300" t="s" s="0">
        <v>81</v>
      </c>
      <c r="AW300" t="s" s="0">
        <v>6812</v>
      </c>
      <c r="AX300" t="s" s="0">
        <v>6821</v>
      </c>
      <c r="AY300" t="s" s="0">
        <v>300</v>
      </c>
      <c r="AZ300" t="s" s="0">
        <v>110</v>
      </c>
      <c r="BA300" t="s" s="0">
        <v>6822</v>
      </c>
      <c r="BB300" t="s" s="0">
        <v>81</v>
      </c>
      <c r="BC300" t="s" s="0">
        <v>81</v>
      </c>
      <c r="BD300" t="s" s="0">
        <v>81</v>
      </c>
      <c r="BE300" t="s" s="0">
        <v>81</v>
      </c>
      <c r="BF300" t="s" s="0">
        <v>81</v>
      </c>
      <c r="BG300" t="s" s="0">
        <v>81</v>
      </c>
      <c r="BH300" t="s" s="0">
        <v>81</v>
      </c>
      <c r="BI300" t="s" s="0">
        <v>6823</v>
      </c>
      <c r="BJ300" t="s" s="0">
        <v>6824</v>
      </c>
      <c r="BK300" t="s" s="595">
        <f>HYPERLINK("http://dx.doi.org/10.1016/j.puhe.2025.106042","http://dx.doi.org/10.1016/j.puhe.2025.106042")</f>
        <v>6825</v>
      </c>
      <c r="BL300" t="s" s="0">
        <v>81</v>
      </c>
      <c r="BM300" t="s" s="0">
        <v>801</v>
      </c>
      <c r="BN300" t="s" s="0">
        <v>386</v>
      </c>
      <c r="BO300" t="s" s="0">
        <v>2254</v>
      </c>
      <c r="BP300" t="s" s="0">
        <v>2254</v>
      </c>
      <c r="BQ300" t="s" s="0">
        <v>6826</v>
      </c>
      <c r="BR300" t="s" s="0">
        <v>6827</v>
      </c>
      <c r="BS300" t="s" s="0">
        <v>6828</v>
      </c>
      <c r="BT300" t="s" s="596">
        <f>HYPERLINK("https://www.webofscience.com/wos/woscc/full-record/WOS:001618496600001","View Record in Web of Science")</f>
        <v>120</v>
      </c>
      <c r="BU300" t="s" s="0">
        <v>81</v>
      </c>
      <c r="BV300" t="s" s="0">
        <v>81</v>
      </c>
      <c r="BW300" t="s" s="0">
        <v>81</v>
      </c>
      <c r="BX300" t="s" s="0">
        <v>122</v>
      </c>
    </row>
    <row r="301">
      <c r="A301" t="s" s="0">
        <v>77</v>
      </c>
      <c r="B301" t="s" s="0">
        <v>77</v>
      </c>
      <c r="C301" t="s" s="0">
        <v>77</v>
      </c>
      <c r="D301" t="s" s="0">
        <v>77</v>
      </c>
      <c r="E301" t="s" s="0">
        <v>6829</v>
      </c>
      <c r="F301" t="s" s="0">
        <v>6830</v>
      </c>
      <c r="G301" t="s" s="0">
        <v>6831</v>
      </c>
      <c r="H301" t="s" s="0">
        <v>81</v>
      </c>
      <c r="I301" t="s" s="0">
        <v>82</v>
      </c>
      <c r="J301" t="s" s="0">
        <v>6832</v>
      </c>
      <c r="K301" t="s" s="0">
        <v>6833</v>
      </c>
      <c r="L301" t="s" s="0">
        <v>81</v>
      </c>
      <c r="M301" t="s" s="0">
        <v>81</v>
      </c>
      <c r="N301" t="s" s="0">
        <v>6834</v>
      </c>
      <c r="O301" t="s" s="0">
        <v>6835</v>
      </c>
      <c r="P301" t="s" s="0">
        <v>6836</v>
      </c>
      <c r="Q301" t="s" s="0">
        <v>90</v>
      </c>
      <c r="R301" t="s" s="0">
        <v>81</v>
      </c>
      <c r="S301" t="s" s="0">
        <v>81</v>
      </c>
      <c r="T301" t="s" s="0">
        <v>81</v>
      </c>
      <c r="U301" t="s" s="0">
        <v>81</v>
      </c>
      <c r="V301" t="s" s="0">
        <v>6837</v>
      </c>
      <c r="W301" t="s" s="0">
        <v>6838</v>
      </c>
      <c r="X301" t="s" s="0">
        <v>81</v>
      </c>
      <c r="Y301" t="s" s="0">
        <v>81</v>
      </c>
      <c r="Z301" t="s" s="0">
        <v>93</v>
      </c>
      <c r="AA301" t="s" s="0">
        <v>94</v>
      </c>
      <c r="AB301" t="s" s="0">
        <v>81</v>
      </c>
      <c r="AC301" t="s" s="0">
        <v>81</v>
      </c>
      <c r="AD301" t="s" s="0">
        <v>81</v>
      </c>
      <c r="AE301" t="s" s="0">
        <v>81</v>
      </c>
      <c r="AF301" t="s" s="0">
        <v>81</v>
      </c>
      <c r="AG301" t="s" s="0">
        <v>6839</v>
      </c>
      <c r="AH301" t="s" s="0">
        <v>81</v>
      </c>
      <c r="AI301" t="s" s="0">
        <v>6840</v>
      </c>
      <c r="AJ301" t="s" s="0">
        <v>81</v>
      </c>
      <c r="AK301" t="s" s="0">
        <v>81</v>
      </c>
      <c r="AL301" t="s" s="0">
        <v>115</v>
      </c>
      <c r="AM301" t="s" s="0">
        <v>77</v>
      </c>
      <c r="AN301" t="s" s="0">
        <v>77</v>
      </c>
      <c r="AO301" t="s" s="0">
        <v>452</v>
      </c>
      <c r="AP301" t="s" s="0">
        <v>452</v>
      </c>
      <c r="AQ301" t="s" s="0">
        <v>994</v>
      </c>
      <c r="AR301" t="s" s="0">
        <v>995</v>
      </c>
      <c r="AS301" t="s" s="0">
        <v>996</v>
      </c>
      <c r="AT301" t="s" s="0">
        <v>6841</v>
      </c>
      <c r="AU301" t="s" s="0">
        <v>6842</v>
      </c>
      <c r="AV301" t="s" s="0">
        <v>81</v>
      </c>
      <c r="AW301" t="s" s="0">
        <v>6843</v>
      </c>
      <c r="AX301" t="s" s="0">
        <v>6844</v>
      </c>
      <c r="AY301" t="s" s="0">
        <v>6845</v>
      </c>
      <c r="AZ301" t="s" s="0">
        <v>144</v>
      </c>
      <c r="BA301" t="s" s="0">
        <v>581</v>
      </c>
      <c r="BB301" t="s" s="0">
        <v>554</v>
      </c>
      <c r="BC301" t="s" s="0">
        <v>81</v>
      </c>
      <c r="BD301" t="s" s="0">
        <v>81</v>
      </c>
      <c r="BE301" t="s" s="0">
        <v>81</v>
      </c>
      <c r="BF301" t="s" s="0">
        <v>81</v>
      </c>
      <c r="BG301" t="s" s="0">
        <v>6846</v>
      </c>
      <c r="BH301" t="s" s="0">
        <v>6847</v>
      </c>
      <c r="BI301" t="s" s="0">
        <v>81</v>
      </c>
      <c r="BJ301" t="s" s="0">
        <v>6848</v>
      </c>
      <c r="BK301" t="s" s="597">
        <f>HYPERLINK("http://dx.doi.org/10.1080/15569527.2026.2656177","http://dx.doi.org/10.1080/15569527.2026.2656177")</f>
        <v>6849</v>
      </c>
      <c r="BL301" t="s" s="0">
        <v>81</v>
      </c>
      <c r="BM301" t="s" s="0">
        <v>209</v>
      </c>
      <c r="BN301" t="s" s="0">
        <v>452</v>
      </c>
      <c r="BO301" t="s" s="0">
        <v>6850</v>
      </c>
      <c r="BP301" t="s" s="0">
        <v>6850</v>
      </c>
      <c r="BQ301" t="s" s="0">
        <v>6851</v>
      </c>
      <c r="BR301" t="s" s="0">
        <v>6852</v>
      </c>
      <c r="BS301" t="s" s="0">
        <v>6853</v>
      </c>
      <c r="BT301" t="s" s="598">
        <f>HYPERLINK("https://www.webofscience.com/wos/woscc/full-record/WOS:001742123300001","View Record in Web of Science")</f>
        <v>120</v>
      </c>
      <c r="BU301" t="s" s="0">
        <v>81</v>
      </c>
      <c r="BV301" t="s" s="0">
        <v>81</v>
      </c>
      <c r="BW301" t="s" s="0">
        <v>81</v>
      </c>
      <c r="BX301" t="s" s="0">
        <v>122</v>
      </c>
    </row>
    <row r="302">
      <c r="A302" t="s" s="0">
        <v>77</v>
      </c>
      <c r="B302" t="s" s="0">
        <v>77</v>
      </c>
      <c r="C302" t="s" s="0">
        <v>169</v>
      </c>
      <c r="D302" t="s" s="0">
        <v>77</v>
      </c>
      <c r="E302" t="s" s="0">
        <v>6854</v>
      </c>
      <c r="F302" t="s" s="0">
        <v>6855</v>
      </c>
      <c r="G302" t="s" s="0">
        <v>6856</v>
      </c>
      <c r="H302" t="s" s="0">
        <v>81</v>
      </c>
      <c r="I302" t="s" s="0">
        <v>82</v>
      </c>
      <c r="J302" t="s" s="0">
        <v>6857</v>
      </c>
      <c r="K302" t="s" s="0">
        <v>6858</v>
      </c>
      <c r="L302" t="s" s="0">
        <v>81</v>
      </c>
      <c r="M302" t="s" s="0">
        <v>81</v>
      </c>
      <c r="N302" t="s" s="0">
        <v>81</v>
      </c>
      <c r="O302" t="s" s="0">
        <v>6859</v>
      </c>
      <c r="P302" t="s" s="0">
        <v>6860</v>
      </c>
      <c r="Q302" t="s" s="0">
        <v>90</v>
      </c>
      <c r="R302" t="s" s="0">
        <v>81</v>
      </c>
      <c r="S302" t="s" s="0">
        <v>81</v>
      </c>
      <c r="T302" t="s" s="0">
        <v>81</v>
      </c>
      <c r="U302" t="s" s="0">
        <v>81</v>
      </c>
      <c r="V302" t="s" s="0">
        <v>6861</v>
      </c>
      <c r="W302" t="s" s="0">
        <v>256</v>
      </c>
      <c r="X302" t="s" s="0">
        <v>81</v>
      </c>
      <c r="Y302" t="s" s="0">
        <v>81</v>
      </c>
      <c r="Z302" t="s" s="0">
        <v>93</v>
      </c>
      <c r="AA302" t="s" s="0">
        <v>94</v>
      </c>
      <c r="AB302" t="s" s="0">
        <v>81</v>
      </c>
      <c r="AC302" t="s" s="0">
        <v>81</v>
      </c>
      <c r="AD302" t="s" s="0">
        <v>81</v>
      </c>
      <c r="AE302" t="s" s="0">
        <v>81</v>
      </c>
      <c r="AF302" t="s" s="0">
        <v>81</v>
      </c>
      <c r="AG302" t="s" s="0">
        <v>6862</v>
      </c>
      <c r="AH302" t="s" s="0">
        <v>81</v>
      </c>
      <c r="AI302" t="s" s="0">
        <v>6863</v>
      </c>
      <c r="AJ302" t="s" s="0">
        <v>6864</v>
      </c>
      <c r="AK302" t="s" s="0">
        <v>81</v>
      </c>
      <c r="AL302" t="s" s="0">
        <v>111</v>
      </c>
      <c r="AM302" t="s" s="0">
        <v>265</v>
      </c>
      <c r="AN302" t="s" s="0">
        <v>1118</v>
      </c>
      <c r="AO302" t="s" s="0">
        <v>169</v>
      </c>
      <c r="AP302" t="s" s="0">
        <v>386</v>
      </c>
      <c r="AQ302" t="s" s="0">
        <v>137</v>
      </c>
      <c r="AR302" t="s" s="0">
        <v>138</v>
      </c>
      <c r="AS302" t="s" s="0">
        <v>139</v>
      </c>
      <c r="AT302" t="s" s="0">
        <v>81</v>
      </c>
      <c r="AU302" t="s" s="0">
        <v>262</v>
      </c>
      <c r="AV302" t="s" s="0">
        <v>81</v>
      </c>
      <c r="AW302" t="s" s="0">
        <v>256</v>
      </c>
      <c r="AX302" t="s" s="0">
        <v>263</v>
      </c>
      <c r="AY302" t="s" s="0">
        <v>6865</v>
      </c>
      <c r="AZ302" t="s" s="0">
        <v>110</v>
      </c>
      <c r="BA302" t="s" s="0">
        <v>145</v>
      </c>
      <c r="BB302" t="s" s="0">
        <v>145</v>
      </c>
      <c r="BC302" t="s" s="0">
        <v>81</v>
      </c>
      <c r="BD302" t="s" s="0">
        <v>81</v>
      </c>
      <c r="BE302" t="s" s="0">
        <v>81</v>
      </c>
      <c r="BF302" t="s" s="0">
        <v>81</v>
      </c>
      <c r="BG302" t="s" s="0">
        <v>81</v>
      </c>
      <c r="BH302" t="s" s="0">
        <v>81</v>
      </c>
      <c r="BI302" t="s" s="0">
        <v>6866</v>
      </c>
      <c r="BJ302" t="s" s="0">
        <v>6867</v>
      </c>
      <c r="BK302" t="s" s="599">
        <f>HYPERLINK("http://dx.doi.org/10.3390/diagnostics15151919","http://dx.doi.org/10.3390/diagnostics15151919")</f>
        <v>6868</v>
      </c>
      <c r="BL302" t="s" s="0">
        <v>81</v>
      </c>
      <c r="BM302" t="s" s="0">
        <v>81</v>
      </c>
      <c r="BN302" t="s" s="0">
        <v>509</v>
      </c>
      <c r="BO302" t="s" s="0">
        <v>149</v>
      </c>
      <c r="BP302" t="s" s="0">
        <v>150</v>
      </c>
      <c r="BQ302" t="s" s="0">
        <v>6869</v>
      </c>
      <c r="BR302" t="s" s="0">
        <v>6870</v>
      </c>
      <c r="BS302" t="s" s="0">
        <v>6871</v>
      </c>
      <c r="BT302" t="s" s="600">
        <f>HYPERLINK("https://www.webofscience.com/wos/woscc/full-record/WOS:001551194100001","View Record in Web of Science")</f>
        <v>120</v>
      </c>
      <c r="BU302" t="s" s="0">
        <v>121</v>
      </c>
      <c r="BV302" t="s" s="0">
        <v>81</v>
      </c>
      <c r="BW302" t="s" s="0">
        <v>81</v>
      </c>
      <c r="BX302" t="s" s="0">
        <v>122</v>
      </c>
    </row>
    <row r="303">
      <c r="A303" t="s" s="0">
        <v>77</v>
      </c>
      <c r="B303" t="s" s="0">
        <v>77</v>
      </c>
      <c r="C303" t="s" s="0">
        <v>77</v>
      </c>
      <c r="D303" t="s" s="0">
        <v>77</v>
      </c>
      <c r="E303" t="s" s="0">
        <v>6872</v>
      </c>
      <c r="F303" t="s" s="0">
        <v>6873</v>
      </c>
      <c r="G303" t="s" s="0">
        <v>6874</v>
      </c>
      <c r="H303" t="s" s="0">
        <v>81</v>
      </c>
      <c r="I303" t="s" s="0">
        <v>568</v>
      </c>
      <c r="J303" t="s" s="0">
        <v>6875</v>
      </c>
      <c r="K303" t="s" s="0">
        <v>6876</v>
      </c>
      <c r="L303" t="s" s="0">
        <v>81</v>
      </c>
      <c r="M303" t="s" s="0">
        <v>81</v>
      </c>
      <c r="N303" t="s" s="0">
        <v>81</v>
      </c>
      <c r="O303" t="s" s="0">
        <v>6877</v>
      </c>
      <c r="P303" t="s" s="0">
        <v>6878</v>
      </c>
      <c r="Q303" t="s" s="0">
        <v>90</v>
      </c>
      <c r="R303" t="s" s="0">
        <v>81</v>
      </c>
      <c r="S303" t="s" s="0">
        <v>81</v>
      </c>
      <c r="T303" t="s" s="0">
        <v>81</v>
      </c>
      <c r="U303" t="s" s="0">
        <v>81</v>
      </c>
      <c r="V303" t="s" s="0">
        <v>6879</v>
      </c>
      <c r="W303" t="s" s="0">
        <v>6880</v>
      </c>
      <c r="X303" t="s" s="0">
        <v>81</v>
      </c>
      <c r="Y303" t="s" s="0">
        <v>81</v>
      </c>
      <c r="Z303" t="s" s="0">
        <v>93</v>
      </c>
      <c r="AA303" t="s" s="0">
        <v>94</v>
      </c>
      <c r="AB303" t="s" s="0">
        <v>81</v>
      </c>
      <c r="AC303" t="s" s="0">
        <v>81</v>
      </c>
      <c r="AD303" t="s" s="0">
        <v>81</v>
      </c>
      <c r="AE303" t="s" s="0">
        <v>81</v>
      </c>
      <c r="AF303" t="s" s="0">
        <v>81</v>
      </c>
      <c r="AG303" t="s" s="0">
        <v>6881</v>
      </c>
      <c r="AH303" t="s" s="0">
        <v>81</v>
      </c>
      <c r="AI303" t="s" s="0">
        <v>81</v>
      </c>
      <c r="AJ303" t="s" s="0">
        <v>81</v>
      </c>
      <c r="AK303" t="s" s="0">
        <v>81</v>
      </c>
      <c r="AL303" t="s" s="0">
        <v>1118</v>
      </c>
      <c r="AM303" t="s" s="0">
        <v>77</v>
      </c>
      <c r="AN303" t="s" s="0">
        <v>77</v>
      </c>
      <c r="AO303" t="s" s="0">
        <v>77</v>
      </c>
      <c r="AP303" t="s" s="0">
        <v>77</v>
      </c>
      <c r="AQ303" t="s" s="0">
        <v>5616</v>
      </c>
      <c r="AR303" t="s" s="0">
        <v>201</v>
      </c>
      <c r="AS303" t="s" s="0">
        <v>5617</v>
      </c>
      <c r="AT303" t="s" s="0">
        <v>6882</v>
      </c>
      <c r="AU303" t="s" s="0">
        <v>81</v>
      </c>
      <c r="AV303" t="s" s="0">
        <v>81</v>
      </c>
      <c r="AW303" t="s" s="0">
        <v>6883</v>
      </c>
      <c r="AX303" t="s" s="0">
        <v>6884</v>
      </c>
      <c r="AY303" t="s" s="0">
        <v>144</v>
      </c>
      <c r="AZ303" t="s" s="0">
        <v>144</v>
      </c>
      <c r="BA303" t="s" s="0">
        <v>360</v>
      </c>
      <c r="BB303" t="s" s="0">
        <v>81</v>
      </c>
      <c r="BC303" t="s" s="0">
        <v>81</v>
      </c>
      <c r="BD303" t="s" s="0">
        <v>81</v>
      </c>
      <c r="BE303" t="s" s="0">
        <v>81</v>
      </c>
      <c r="BF303" t="s" s="0">
        <v>81</v>
      </c>
      <c r="BG303" t="s" s="0">
        <v>81</v>
      </c>
      <c r="BH303" t="s" s="0">
        <v>81</v>
      </c>
      <c r="BI303" t="s" s="0">
        <v>6885</v>
      </c>
      <c r="BJ303" t="s" s="0">
        <v>6886</v>
      </c>
      <c r="BK303" t="s" s="601">
        <f>HYPERLINK("http://dx.doi.org/10.1177/20552076261481380","http://dx.doi.org/10.1177/20552076261481380")</f>
        <v>6887</v>
      </c>
      <c r="BL303" t="s" s="0">
        <v>81</v>
      </c>
      <c r="BM303" t="s" s="0">
        <v>81</v>
      </c>
      <c r="BN303" t="s" s="0">
        <v>360</v>
      </c>
      <c r="BO303" t="s" s="0">
        <v>6888</v>
      </c>
      <c r="BP303" t="s" s="0">
        <v>6889</v>
      </c>
      <c r="BQ303" t="s" s="0">
        <v>6890</v>
      </c>
      <c r="BR303" t="s" s="0">
        <v>81</v>
      </c>
      <c r="BS303" t="s" s="0">
        <v>6891</v>
      </c>
      <c r="BT303" t="s" s="602">
        <f>HYPERLINK("https://www.webofscience.com/wos/woscc/full-record/WOS:001853238100001","View Record in Web of Science")</f>
        <v>120</v>
      </c>
      <c r="BU303" t="s" s="0">
        <v>121</v>
      </c>
      <c r="BV303" t="s" s="0">
        <v>81</v>
      </c>
      <c r="BW303" t="s" s="0">
        <v>81</v>
      </c>
      <c r="BX303" t="s" s="0">
        <v>122</v>
      </c>
    </row>
    <row r="304">
      <c r="A304" t="s" s="0">
        <v>77</v>
      </c>
      <c r="B304" t="s" s="0">
        <v>77</v>
      </c>
      <c r="C304" t="s" s="0">
        <v>77</v>
      </c>
      <c r="D304" t="s" s="0">
        <v>77</v>
      </c>
      <c r="E304" t="s" s="0">
        <v>6892</v>
      </c>
      <c r="F304" t="s" s="0">
        <v>6893</v>
      </c>
      <c r="G304" t="s" s="0">
        <v>6894</v>
      </c>
      <c r="H304" t="s" s="0">
        <v>81</v>
      </c>
      <c r="I304" t="s" s="0">
        <v>82</v>
      </c>
      <c r="J304" t="s" s="0">
        <v>6895</v>
      </c>
      <c r="K304" t="s" s="0">
        <v>6896</v>
      </c>
      <c r="L304" t="s" s="0">
        <v>6897</v>
      </c>
      <c r="M304" t="s" s="0">
        <v>6898</v>
      </c>
      <c r="N304" t="s" s="0">
        <v>6899</v>
      </c>
      <c r="O304" t="s" s="0">
        <v>6900</v>
      </c>
      <c r="P304" t="s" s="0">
        <v>6901</v>
      </c>
      <c r="Q304" t="s" s="0">
        <v>90</v>
      </c>
      <c r="R304" t="s" s="0">
        <v>81</v>
      </c>
      <c r="S304" t="s" s="0">
        <v>81</v>
      </c>
      <c r="T304" t="s" s="0">
        <v>81</v>
      </c>
      <c r="U304" t="s" s="0">
        <v>81</v>
      </c>
      <c r="V304" t="s" s="0">
        <v>6902</v>
      </c>
      <c r="W304" t="s" s="0">
        <v>92</v>
      </c>
      <c r="X304" t="s" s="0">
        <v>81</v>
      </c>
      <c r="Y304" t="s" s="0">
        <v>81</v>
      </c>
      <c r="Z304" t="s" s="0">
        <v>93</v>
      </c>
      <c r="AA304" t="s" s="0">
        <v>94</v>
      </c>
      <c r="AB304" t="s" s="0">
        <v>81</v>
      </c>
      <c r="AC304" t="s" s="0">
        <v>81</v>
      </c>
      <c r="AD304" t="s" s="0">
        <v>81</v>
      </c>
      <c r="AE304" t="s" s="0">
        <v>81</v>
      </c>
      <c r="AF304" t="s" s="0">
        <v>81</v>
      </c>
      <c r="AG304" t="s" s="0">
        <v>81</v>
      </c>
      <c r="AH304" t="s" s="0">
        <v>81</v>
      </c>
      <c r="AI304" t="s" s="0">
        <v>81</v>
      </c>
      <c r="AJ304" t="s" s="0">
        <v>6903</v>
      </c>
      <c r="AK304" t="s" s="0">
        <v>81</v>
      </c>
      <c r="AL304" t="s" s="0">
        <v>168</v>
      </c>
      <c r="AM304" t="s" s="0">
        <v>77</v>
      </c>
      <c r="AN304" t="s" s="0">
        <v>77</v>
      </c>
      <c r="AO304" t="s" s="0">
        <v>77</v>
      </c>
      <c r="AP304" t="s" s="0">
        <v>77</v>
      </c>
      <c r="AQ304" t="s" s="0">
        <v>103</v>
      </c>
      <c r="AR304" t="s" s="0">
        <v>104</v>
      </c>
      <c r="AS304" t="s" s="0">
        <v>105</v>
      </c>
      <c r="AT304" t="s" s="0">
        <v>1405</v>
      </c>
      <c r="AU304" t="s" s="0">
        <v>106</v>
      </c>
      <c r="AV304" t="s" s="0">
        <v>81</v>
      </c>
      <c r="AW304" t="s" s="0">
        <v>107</v>
      </c>
      <c r="AX304" t="s" s="0">
        <v>108</v>
      </c>
      <c r="AY304" t="s" s="0">
        <v>6904</v>
      </c>
      <c r="AZ304" t="s" s="0">
        <v>144</v>
      </c>
      <c r="BA304" t="s" s="0">
        <v>637</v>
      </c>
      <c r="BB304" t="s" s="0">
        <v>81</v>
      </c>
      <c r="BC304" t="s" s="0">
        <v>81</v>
      </c>
      <c r="BD304" t="s" s="0">
        <v>81</v>
      </c>
      <c r="BE304" t="s" s="0">
        <v>81</v>
      </c>
      <c r="BF304" t="s" s="0">
        <v>81</v>
      </c>
      <c r="BG304" t="s" s="0">
        <v>81</v>
      </c>
      <c r="BH304" t="s" s="0">
        <v>81</v>
      </c>
      <c r="BI304" t="s" s="0">
        <v>6905</v>
      </c>
      <c r="BJ304" t="s" s="0">
        <v>6906</v>
      </c>
      <c r="BK304" t="s" s="603">
        <f>HYPERLINK("http://dx.doi.org/10.2196/97136","http://dx.doi.org/10.2196/97136")</f>
        <v>6907</v>
      </c>
      <c r="BL304" t="s" s="0">
        <v>81</v>
      </c>
      <c r="BM304" t="s" s="0">
        <v>81</v>
      </c>
      <c r="BN304" t="s" s="0">
        <v>115</v>
      </c>
      <c r="BO304" t="s" s="0">
        <v>116</v>
      </c>
      <c r="BP304" t="s" s="0">
        <v>116</v>
      </c>
      <c r="BQ304" t="s" s="0">
        <v>6908</v>
      </c>
      <c r="BR304" t="s" s="0">
        <v>6909</v>
      </c>
      <c r="BS304" t="s" s="0">
        <v>6910</v>
      </c>
      <c r="BT304" t="s" s="604">
        <f>HYPERLINK("https://www.webofscience.com/wos/woscc/full-record/WOS:001828862300003","View Record in Web of Science")</f>
        <v>120</v>
      </c>
      <c r="BU304" t="s" s="0">
        <v>121</v>
      </c>
      <c r="BV304" t="s" s="0">
        <v>81</v>
      </c>
      <c r="BW304" t="s" s="0">
        <v>81</v>
      </c>
      <c r="BX304" t="s" s="0">
        <v>122</v>
      </c>
    </row>
    <row r="305">
      <c r="A305" t="s" s="0">
        <v>77</v>
      </c>
      <c r="B305" t="s" s="0">
        <v>77</v>
      </c>
      <c r="C305" t="s" s="0">
        <v>77</v>
      </c>
      <c r="D305" t="s" s="0">
        <v>77</v>
      </c>
      <c r="E305" t="s" s="0">
        <v>6911</v>
      </c>
      <c r="F305" t="s" s="0">
        <v>6912</v>
      </c>
      <c r="G305" t="s" s="0">
        <v>6913</v>
      </c>
      <c r="H305" t="s" s="0">
        <v>81</v>
      </c>
      <c r="I305" t="s" s="0">
        <v>82</v>
      </c>
      <c r="J305" t="s" s="0">
        <v>6914</v>
      </c>
      <c r="K305" t="s" s="0">
        <v>6915</v>
      </c>
      <c r="L305" t="s" s="0">
        <v>81</v>
      </c>
      <c r="M305" t="s" s="0">
        <v>81</v>
      </c>
      <c r="N305" t="s" s="0">
        <v>81</v>
      </c>
      <c r="O305" t="s" s="0">
        <v>6916</v>
      </c>
      <c r="P305" t="s" s="0">
        <v>6917</v>
      </c>
      <c r="Q305" t="s" s="0">
        <v>90</v>
      </c>
      <c r="R305" t="s" s="0">
        <v>81</v>
      </c>
      <c r="S305" t="s" s="0">
        <v>81</v>
      </c>
      <c r="T305" t="s" s="0">
        <v>81</v>
      </c>
      <c r="U305" t="s" s="0">
        <v>81</v>
      </c>
      <c r="V305" t="s" s="0">
        <v>6918</v>
      </c>
      <c r="W305" t="s" s="0">
        <v>6919</v>
      </c>
      <c r="X305" t="s" s="0">
        <v>81</v>
      </c>
      <c r="Y305" t="s" s="0">
        <v>81</v>
      </c>
      <c r="Z305" t="s" s="0">
        <v>93</v>
      </c>
      <c r="AA305" t="s" s="0">
        <v>94</v>
      </c>
      <c r="AB305" t="s" s="0">
        <v>81</v>
      </c>
      <c r="AC305" t="s" s="0">
        <v>81</v>
      </c>
      <c r="AD305" t="s" s="0">
        <v>81</v>
      </c>
      <c r="AE305" t="s" s="0">
        <v>81</v>
      </c>
      <c r="AF305" t="s" s="0">
        <v>81</v>
      </c>
      <c r="AG305" t="s" s="0">
        <v>6920</v>
      </c>
      <c r="AH305" t="s" s="0">
        <v>81</v>
      </c>
      <c r="AI305" t="s" s="0">
        <v>81</v>
      </c>
      <c r="AJ305" t="s" s="0">
        <v>81</v>
      </c>
      <c r="AK305" t="s" s="0">
        <v>81</v>
      </c>
      <c r="AL305" t="s" s="0">
        <v>352</v>
      </c>
      <c r="AM305" t="s" s="0">
        <v>77</v>
      </c>
      <c r="AN305" t="s" s="0">
        <v>77</v>
      </c>
      <c r="AO305" t="s" s="0">
        <v>77</v>
      </c>
      <c r="AP305" t="s" s="0">
        <v>77</v>
      </c>
      <c r="AQ305" t="s" s="0">
        <v>288</v>
      </c>
      <c r="AR305" t="s" s="0">
        <v>289</v>
      </c>
      <c r="AS305" t="s" s="0">
        <v>290</v>
      </c>
      <c r="AT305" t="s" s="0">
        <v>6921</v>
      </c>
      <c r="AU305" t="s" s="0">
        <v>6922</v>
      </c>
      <c r="AV305" t="s" s="0">
        <v>81</v>
      </c>
      <c r="AW305" t="s" s="0">
        <v>6923</v>
      </c>
      <c r="AX305" t="s" s="0">
        <v>6924</v>
      </c>
      <c r="AY305" t="s" s="0">
        <v>4405</v>
      </c>
      <c r="AZ305" t="s" s="0">
        <v>144</v>
      </c>
      <c r="BA305" t="s" s="0">
        <v>6925</v>
      </c>
      <c r="BB305" t="s" s="0">
        <v>81</v>
      </c>
      <c r="BC305" t="s" s="0">
        <v>81</v>
      </c>
      <c r="BD305" t="s" s="0">
        <v>81</v>
      </c>
      <c r="BE305" t="s" s="0">
        <v>81</v>
      </c>
      <c r="BF305" t="s" s="0">
        <v>81</v>
      </c>
      <c r="BG305" t="s" s="0">
        <v>81</v>
      </c>
      <c r="BH305" t="s" s="0">
        <v>81</v>
      </c>
      <c r="BI305" t="s" s="0">
        <v>6926</v>
      </c>
      <c r="BJ305" t="s" s="0">
        <v>6927</v>
      </c>
      <c r="BK305" t="s" s="605">
        <f>HYPERLINK("http://dx.doi.org/10.1016/j.ejogrb.2026.115351","http://dx.doi.org/10.1016/j.ejogrb.2026.115351")</f>
        <v>6928</v>
      </c>
      <c r="BL305" t="s" s="0">
        <v>81</v>
      </c>
      <c r="BM305" t="s" s="0">
        <v>81</v>
      </c>
      <c r="BN305" t="s" s="0">
        <v>452</v>
      </c>
      <c r="BO305" t="s" s="0">
        <v>6929</v>
      </c>
      <c r="BP305" t="s" s="0">
        <v>6929</v>
      </c>
      <c r="BQ305" t="s" s="0">
        <v>6930</v>
      </c>
      <c r="BR305" t="s" s="0">
        <v>6931</v>
      </c>
      <c r="BS305" t="s" s="0">
        <v>6932</v>
      </c>
      <c r="BT305" t="s" s="606">
        <f>HYPERLINK("https://www.webofscience.com/wos/woscc/full-record/WOS:001843849000001","View Record in Web of Science")</f>
        <v>120</v>
      </c>
      <c r="BU305" t="s" s="0">
        <v>81</v>
      </c>
      <c r="BV305" t="s" s="0">
        <v>81</v>
      </c>
      <c r="BW305" t="s" s="0">
        <v>81</v>
      </c>
      <c r="BX305" t="s" s="0">
        <v>122</v>
      </c>
    </row>
    <row r="306">
      <c r="A306" t="s" s="0">
        <v>77</v>
      </c>
      <c r="B306" t="s" s="0">
        <v>77</v>
      </c>
      <c r="C306" t="s" s="0">
        <v>77</v>
      </c>
      <c r="D306" t="s" s="0">
        <v>77</v>
      </c>
      <c r="E306" t="s" s="0">
        <v>6933</v>
      </c>
      <c r="F306" t="s" s="0">
        <v>6934</v>
      </c>
      <c r="G306" t="s" s="0">
        <v>6935</v>
      </c>
      <c r="H306" t="s" s="0">
        <v>81</v>
      </c>
      <c r="I306" t="s" s="0">
        <v>82</v>
      </c>
      <c r="J306" t="s" s="0">
        <v>6936</v>
      </c>
      <c r="K306" t="s" s="0">
        <v>6937</v>
      </c>
      <c r="L306" t="s" s="0">
        <v>6938</v>
      </c>
      <c r="M306" t="s" s="0">
        <v>6938</v>
      </c>
      <c r="N306" t="s" s="0">
        <v>6939</v>
      </c>
      <c r="O306" t="s" s="0">
        <v>6940</v>
      </c>
      <c r="P306" t="s" s="0">
        <v>6941</v>
      </c>
      <c r="Q306" t="s" s="0">
        <v>90</v>
      </c>
      <c r="R306" t="s" s="0">
        <v>81</v>
      </c>
      <c r="S306" t="s" s="0">
        <v>81</v>
      </c>
      <c r="T306" t="s" s="0">
        <v>81</v>
      </c>
      <c r="U306" t="s" s="0">
        <v>81</v>
      </c>
      <c r="V306" t="s" s="0">
        <v>6942</v>
      </c>
      <c r="W306" t="s" s="0">
        <v>495</v>
      </c>
      <c r="X306" t="s" s="0">
        <v>81</v>
      </c>
      <c r="Y306" t="s" s="0">
        <v>81</v>
      </c>
      <c r="Z306" t="s" s="0">
        <v>93</v>
      </c>
      <c r="AA306" t="s" s="0">
        <v>94</v>
      </c>
      <c r="AB306" t="s" s="0">
        <v>81</v>
      </c>
      <c r="AC306" t="s" s="0">
        <v>81</v>
      </c>
      <c r="AD306" t="s" s="0">
        <v>81</v>
      </c>
      <c r="AE306" t="s" s="0">
        <v>81</v>
      </c>
      <c r="AF306" t="s" s="0">
        <v>81</v>
      </c>
      <c r="AG306" t="s" s="0">
        <v>6943</v>
      </c>
      <c r="AH306" t="s" s="0">
        <v>81</v>
      </c>
      <c r="AI306" t="s" s="0">
        <v>81</v>
      </c>
      <c r="AJ306" t="s" s="0">
        <v>6944</v>
      </c>
      <c r="AK306" t="s" s="0">
        <v>81</v>
      </c>
      <c r="AL306" t="s" s="0">
        <v>553</v>
      </c>
      <c r="AM306" t="s" s="0">
        <v>169</v>
      </c>
      <c r="AN306" t="s" s="0">
        <v>169</v>
      </c>
      <c r="AO306" t="s" s="0">
        <v>99</v>
      </c>
      <c r="AP306" t="s" s="0">
        <v>100</v>
      </c>
      <c r="AQ306" t="s" s="0">
        <v>499</v>
      </c>
      <c r="AR306" t="s" s="0">
        <v>500</v>
      </c>
      <c r="AS306" t="s" s="0">
        <v>501</v>
      </c>
      <c r="AT306" t="s" s="0">
        <v>502</v>
      </c>
      <c r="AU306" t="s" s="0">
        <v>503</v>
      </c>
      <c r="AV306" t="s" s="0">
        <v>81</v>
      </c>
      <c r="AW306" t="s" s="0">
        <v>504</v>
      </c>
      <c r="AX306" t="s" s="0">
        <v>505</v>
      </c>
      <c r="AY306" t="s" s="0">
        <v>532</v>
      </c>
      <c r="AZ306" t="s" s="0">
        <v>144</v>
      </c>
      <c r="BA306" t="s" s="0">
        <v>1799</v>
      </c>
      <c r="BB306" t="s" s="0">
        <v>101</v>
      </c>
      <c r="BC306" t="s" s="0">
        <v>81</v>
      </c>
      <c r="BD306" t="s" s="0">
        <v>81</v>
      </c>
      <c r="BE306" t="s" s="0">
        <v>81</v>
      </c>
      <c r="BF306" t="s" s="0">
        <v>81</v>
      </c>
      <c r="BG306" t="s" s="0">
        <v>6945</v>
      </c>
      <c r="BH306" t="s" s="0">
        <v>6946</v>
      </c>
      <c r="BI306" t="s" s="0">
        <v>81</v>
      </c>
      <c r="BJ306" t="s" s="0">
        <v>6947</v>
      </c>
      <c r="BK306" t="s" s="607">
        <f>HYPERLINK("http://dx.doi.org/10.1007/s10278-025-01685-2","http://dx.doi.org/10.1007/s10278-025-01685-2")</f>
        <v>6948</v>
      </c>
      <c r="BL306" t="s" s="0">
        <v>81</v>
      </c>
      <c r="BM306" t="s" s="0">
        <v>666</v>
      </c>
      <c r="BN306" t="s" s="0">
        <v>360</v>
      </c>
      <c r="BO306" t="s" s="0">
        <v>182</v>
      </c>
      <c r="BP306" t="s" s="0">
        <v>182</v>
      </c>
      <c r="BQ306" t="s" s="0">
        <v>6949</v>
      </c>
      <c r="BR306" t="s" s="0">
        <v>6950</v>
      </c>
      <c r="BS306" t="s" s="0">
        <v>6951</v>
      </c>
      <c r="BT306" t="s" s="608">
        <f>HYPERLINK("https://www.webofscience.com/wos/woscc/full-record/WOS:001583096600001","View Record in Web of Science")</f>
        <v>120</v>
      </c>
      <c r="BU306" t="s" s="0">
        <v>6952</v>
      </c>
      <c r="BV306" t="s" s="0">
        <v>81</v>
      </c>
      <c r="BW306" t="s" s="0">
        <v>81</v>
      </c>
      <c r="BX306" t="s" s="0">
        <v>122</v>
      </c>
    </row>
    <row r="307">
      <c r="A307" t="s" s="0">
        <v>77</v>
      </c>
      <c r="B307" t="s" s="0">
        <v>77</v>
      </c>
      <c r="C307" t="s" s="0">
        <v>77</v>
      </c>
      <c r="D307" t="s" s="0">
        <v>77</v>
      </c>
      <c r="E307" t="s" s="0">
        <v>6953</v>
      </c>
      <c r="F307" t="s" s="0">
        <v>6954</v>
      </c>
      <c r="G307" t="s" s="0">
        <v>6955</v>
      </c>
      <c r="H307" t="s" s="0">
        <v>81</v>
      </c>
      <c r="I307" t="s" s="0">
        <v>82</v>
      </c>
      <c r="J307" t="s" s="0">
        <v>6956</v>
      </c>
      <c r="K307" t="s" s="0">
        <v>6294</v>
      </c>
      <c r="L307" t="s" s="0">
        <v>6957</v>
      </c>
      <c r="M307" t="s" s="0">
        <v>6958</v>
      </c>
      <c r="N307" t="s" s="0">
        <v>6959</v>
      </c>
      <c r="O307" t="s" s="0">
        <v>6960</v>
      </c>
      <c r="P307" t="s" s="0">
        <v>6961</v>
      </c>
      <c r="Q307" t="s" s="0">
        <v>90</v>
      </c>
      <c r="R307" t="s" s="0">
        <v>81</v>
      </c>
      <c r="S307" t="s" s="0">
        <v>81</v>
      </c>
      <c r="T307" t="s" s="0">
        <v>81</v>
      </c>
      <c r="U307" t="s" s="0">
        <v>81</v>
      </c>
      <c r="V307" t="s" s="0">
        <v>6962</v>
      </c>
      <c r="W307" t="s" s="0">
        <v>1228</v>
      </c>
      <c r="X307" t="s" s="0">
        <v>81</v>
      </c>
      <c r="Y307" t="s" s="0">
        <v>81</v>
      </c>
      <c r="Z307" t="s" s="0">
        <v>93</v>
      </c>
      <c r="AA307" t="s" s="0">
        <v>94</v>
      </c>
      <c r="AB307" t="s" s="0">
        <v>81</v>
      </c>
      <c r="AC307" t="s" s="0">
        <v>81</v>
      </c>
      <c r="AD307" t="s" s="0">
        <v>81</v>
      </c>
      <c r="AE307" t="s" s="0">
        <v>81</v>
      </c>
      <c r="AF307" t="s" s="0">
        <v>81</v>
      </c>
      <c r="AG307" t="s" s="0">
        <v>6963</v>
      </c>
      <c r="AH307" t="s" s="0">
        <v>6964</v>
      </c>
      <c r="AI307" t="s" s="0">
        <v>6965</v>
      </c>
      <c r="AJ307" t="s" s="0">
        <v>6966</v>
      </c>
      <c r="AK307" t="s" s="0">
        <v>81</v>
      </c>
      <c r="AL307" t="s" s="0">
        <v>711</v>
      </c>
      <c r="AM307" t="s" s="0">
        <v>169</v>
      </c>
      <c r="AN307" t="s" s="0">
        <v>169</v>
      </c>
      <c r="AO307" t="s" s="0">
        <v>554</v>
      </c>
      <c r="AP307" t="s" s="0">
        <v>101</v>
      </c>
      <c r="AQ307" t="s" s="0">
        <v>499</v>
      </c>
      <c r="AR307" t="s" s="0">
        <v>500</v>
      </c>
      <c r="AS307" t="s" s="0">
        <v>501</v>
      </c>
      <c r="AT307" t="s" s="0">
        <v>1233</v>
      </c>
      <c r="AU307" t="s" s="0">
        <v>1234</v>
      </c>
      <c r="AV307" t="s" s="0">
        <v>81</v>
      </c>
      <c r="AW307" t="s" s="0">
        <v>1235</v>
      </c>
      <c r="AX307" t="s" s="0">
        <v>1236</v>
      </c>
      <c r="AY307" t="s" s="0">
        <v>295</v>
      </c>
      <c r="AZ307" t="s" s="0">
        <v>144</v>
      </c>
      <c r="BA307" t="s" s="0">
        <v>1543</v>
      </c>
      <c r="BB307" t="s" s="0">
        <v>100</v>
      </c>
      <c r="BC307" t="s" s="0">
        <v>81</v>
      </c>
      <c r="BD307" t="s" s="0">
        <v>81</v>
      </c>
      <c r="BE307" t="s" s="0">
        <v>81</v>
      </c>
      <c r="BF307" t="s" s="0">
        <v>81</v>
      </c>
      <c r="BG307" t="s" s="0">
        <v>6967</v>
      </c>
      <c r="BH307" t="s" s="0">
        <v>6968</v>
      </c>
      <c r="BI307" t="s" s="0">
        <v>81</v>
      </c>
      <c r="BJ307" t="s" s="0">
        <v>6969</v>
      </c>
      <c r="BK307" t="s" s="609">
        <f>HYPERLINK("http://dx.doi.org/10.1007/s00330-025-12122-x","http://dx.doi.org/10.1007/s00330-025-12122-x")</f>
        <v>6970</v>
      </c>
      <c r="BL307" t="s" s="0">
        <v>81</v>
      </c>
      <c r="BM307" t="s" s="0">
        <v>801</v>
      </c>
      <c r="BN307" t="s" s="0">
        <v>145</v>
      </c>
      <c r="BO307" t="s" s="0">
        <v>182</v>
      </c>
      <c r="BP307" t="s" s="0">
        <v>182</v>
      </c>
      <c r="BQ307" t="s" s="0">
        <v>6971</v>
      </c>
      <c r="BR307" t="s" s="0">
        <v>6972</v>
      </c>
      <c r="BS307" t="s" s="0">
        <v>6973</v>
      </c>
      <c r="BT307" t="s" s="610">
        <f>HYPERLINK("https://www.webofscience.com/wos/woscc/full-record/WOS:001618134800001","View Record in Web of Science")</f>
        <v>120</v>
      </c>
      <c r="BU307" t="s" s="0">
        <v>186</v>
      </c>
      <c r="BV307" t="s" s="0">
        <v>81</v>
      </c>
      <c r="BW307" t="s" s="0">
        <v>81</v>
      </c>
      <c r="BX307" t="s" s="0">
        <v>122</v>
      </c>
    </row>
    <row r="308">
      <c r="A308" t="s" s="0">
        <v>77</v>
      </c>
      <c r="B308" t="s" s="0">
        <v>77</v>
      </c>
      <c r="C308" t="s" s="0">
        <v>169</v>
      </c>
      <c r="D308" t="s" s="0">
        <v>77</v>
      </c>
      <c r="E308" t="s" s="0">
        <v>6974</v>
      </c>
      <c r="F308" t="s" s="0">
        <v>6975</v>
      </c>
      <c r="G308" t="s" s="0">
        <v>6976</v>
      </c>
      <c r="H308" t="s" s="0">
        <v>81</v>
      </c>
      <c r="I308" t="s" s="0">
        <v>218</v>
      </c>
      <c r="J308" t="s" s="0">
        <v>6977</v>
      </c>
      <c r="K308" t="s" s="0">
        <v>6978</v>
      </c>
      <c r="L308" t="s" s="0">
        <v>81</v>
      </c>
      <c r="M308" t="s" s="0">
        <v>81</v>
      </c>
      <c r="N308" t="s" s="0">
        <v>81</v>
      </c>
      <c r="O308" t="s" s="0">
        <v>6979</v>
      </c>
      <c r="P308" t="s" s="0">
        <v>6980</v>
      </c>
      <c r="Q308" t="s" s="0">
        <v>90</v>
      </c>
      <c r="R308" t="s" s="0">
        <v>81</v>
      </c>
      <c r="S308" t="s" s="0">
        <v>81</v>
      </c>
      <c r="T308" t="s" s="0">
        <v>81</v>
      </c>
      <c r="U308" t="s" s="0">
        <v>81</v>
      </c>
      <c r="V308" t="s" s="0">
        <v>6981</v>
      </c>
      <c r="W308" t="s" s="0">
        <v>6982</v>
      </c>
      <c r="X308" t="s" s="0">
        <v>81</v>
      </c>
      <c r="Y308" t="s" s="0">
        <v>81</v>
      </c>
      <c r="Z308" t="s" s="0">
        <v>93</v>
      </c>
      <c r="AA308" t="s" s="0">
        <v>94</v>
      </c>
      <c r="AB308" t="s" s="0">
        <v>81</v>
      </c>
      <c r="AC308" t="s" s="0">
        <v>81</v>
      </c>
      <c r="AD308" t="s" s="0">
        <v>81</v>
      </c>
      <c r="AE308" t="s" s="0">
        <v>81</v>
      </c>
      <c r="AF308" t="s" s="0">
        <v>81</v>
      </c>
      <c r="AG308" t="s" s="0">
        <v>6983</v>
      </c>
      <c r="AH308" t="s" s="0">
        <v>81</v>
      </c>
      <c r="AI308" t="s" s="0">
        <v>6984</v>
      </c>
      <c r="AJ308" t="s" s="0">
        <v>6985</v>
      </c>
      <c r="AK308" t="s" s="0">
        <v>81</v>
      </c>
      <c r="AL308" t="s" s="0">
        <v>438</v>
      </c>
      <c r="AM308" t="s" s="0">
        <v>101</v>
      </c>
      <c r="AN308" t="s" s="0">
        <v>101</v>
      </c>
      <c r="AO308" t="s" s="0">
        <v>77</v>
      </c>
      <c r="AP308" t="s" s="0">
        <v>77</v>
      </c>
      <c r="AQ308" t="s" s="0">
        <v>6986</v>
      </c>
      <c r="AR308" t="s" s="0">
        <v>6987</v>
      </c>
      <c r="AS308" t="s" s="0">
        <v>6988</v>
      </c>
      <c r="AT308" t="s" s="0">
        <v>6989</v>
      </c>
      <c r="AU308" t="s" s="0">
        <v>6990</v>
      </c>
      <c r="AV308" t="s" s="0">
        <v>81</v>
      </c>
      <c r="AW308" t="s" s="0">
        <v>6991</v>
      </c>
      <c r="AX308" t="s" s="0">
        <v>6992</v>
      </c>
      <c r="AY308" t="s" s="0">
        <v>238</v>
      </c>
      <c r="AZ308" t="s" s="0">
        <v>110</v>
      </c>
      <c r="BA308" t="s" s="0">
        <v>1118</v>
      </c>
      <c r="BB308" t="s" s="0">
        <v>100</v>
      </c>
      <c r="BC308" t="s" s="0">
        <v>81</v>
      </c>
      <c r="BD308" t="s" s="0">
        <v>81</v>
      </c>
      <c r="BE308" t="s" s="0">
        <v>81</v>
      </c>
      <c r="BF308" t="s" s="0">
        <v>81</v>
      </c>
      <c r="BG308" t="s" s="0">
        <v>4673</v>
      </c>
      <c r="BH308" t="s" s="0">
        <v>6993</v>
      </c>
      <c r="BI308" t="s" s="0">
        <v>81</v>
      </c>
      <c r="BJ308" t="s" s="0">
        <v>6994</v>
      </c>
      <c r="BK308" t="s" s="611">
        <f>HYPERLINK("http://dx.doi.org/10.14740/gr2062","http://dx.doi.org/10.14740/gr2062")</f>
        <v>6995</v>
      </c>
      <c r="BL308" t="s" s="0">
        <v>81</v>
      </c>
      <c r="BM308" t="s" s="0">
        <v>81</v>
      </c>
      <c r="BN308" t="s" s="0">
        <v>386</v>
      </c>
      <c r="BO308" t="s" s="0">
        <v>1190</v>
      </c>
      <c r="BP308" t="s" s="0">
        <v>1190</v>
      </c>
      <c r="BQ308" t="s" s="0">
        <v>6996</v>
      </c>
      <c r="BR308" t="s" s="0">
        <v>6997</v>
      </c>
      <c r="BS308" t="s" s="0">
        <v>6998</v>
      </c>
      <c r="BT308" t="s" s="612">
        <f>HYPERLINK("https://www.webofscience.com/wos/woscc/full-record/WOS:001597309000004","View Record in Web of Science")</f>
        <v>120</v>
      </c>
      <c r="BU308" t="s" s="0">
        <v>1216</v>
      </c>
      <c r="BV308" t="s" s="0">
        <v>81</v>
      </c>
      <c r="BW308" t="s" s="0">
        <v>81</v>
      </c>
      <c r="BX308" t="s" s="0">
        <v>122</v>
      </c>
    </row>
    <row r="309">
      <c r="A309" t="s" s="0">
        <v>169</v>
      </c>
      <c r="B309" t="s" s="0">
        <v>77</v>
      </c>
      <c r="C309" t="s" s="0">
        <v>554</v>
      </c>
      <c r="D309" t="s" s="0">
        <v>77</v>
      </c>
      <c r="E309" t="s" s="0">
        <v>6999</v>
      </c>
      <c r="F309" t="s" s="0">
        <v>7000</v>
      </c>
      <c r="G309" t="s" s="0">
        <v>7001</v>
      </c>
      <c r="H309" t="s" s="0">
        <v>81</v>
      </c>
      <c r="I309" t="s" s="0">
        <v>82</v>
      </c>
      <c r="J309" t="s" s="0">
        <v>7002</v>
      </c>
      <c r="K309" t="s" s="0">
        <v>7003</v>
      </c>
      <c r="L309" t="s" s="0">
        <v>81</v>
      </c>
      <c r="M309" t="s" s="0">
        <v>81</v>
      </c>
      <c r="N309" t="s" s="0">
        <v>81</v>
      </c>
      <c r="O309" t="s" s="0">
        <v>7004</v>
      </c>
      <c r="P309" t="s" s="0">
        <v>7005</v>
      </c>
      <c r="Q309" t="s" s="0">
        <v>90</v>
      </c>
      <c r="R309" t="s" s="0">
        <v>81</v>
      </c>
      <c r="S309" t="s" s="0">
        <v>81</v>
      </c>
      <c r="T309" t="s" s="0">
        <v>81</v>
      </c>
      <c r="U309" t="s" s="0">
        <v>81</v>
      </c>
      <c r="V309" t="s" s="0">
        <v>7006</v>
      </c>
      <c r="W309" t="s" s="0">
        <v>92</v>
      </c>
      <c r="X309" t="s" s="0">
        <v>81</v>
      </c>
      <c r="Y309" t="s" s="0">
        <v>81</v>
      </c>
      <c r="Z309" t="s" s="0">
        <v>93</v>
      </c>
      <c r="AA309" t="s" s="0">
        <v>94</v>
      </c>
      <c r="AB309" t="s" s="0">
        <v>81</v>
      </c>
      <c r="AC309" t="s" s="0">
        <v>81</v>
      </c>
      <c r="AD309" t="s" s="0">
        <v>81</v>
      </c>
      <c r="AE309" t="s" s="0">
        <v>81</v>
      </c>
      <c r="AF309" t="s" s="0">
        <v>81</v>
      </c>
      <c r="AG309" t="s" s="0">
        <v>7007</v>
      </c>
      <c r="AH309" t="s" s="0">
        <v>81</v>
      </c>
      <c r="AI309" t="s" s="0">
        <v>7008</v>
      </c>
      <c r="AJ309" t="s" s="0">
        <v>7009</v>
      </c>
      <c r="AK309" t="s" s="0">
        <v>81</v>
      </c>
      <c r="AL309" t="s" s="0">
        <v>319</v>
      </c>
      <c r="AM309" t="s" s="0">
        <v>1118</v>
      </c>
      <c r="AN309" t="s" s="0">
        <v>438</v>
      </c>
      <c r="AO309" t="s" s="0">
        <v>77</v>
      </c>
      <c r="AP309" t="s" s="0">
        <v>946</v>
      </c>
      <c r="AQ309" t="s" s="0">
        <v>103</v>
      </c>
      <c r="AR309" t="s" s="0">
        <v>104</v>
      </c>
      <c r="AS309" t="s" s="0">
        <v>105</v>
      </c>
      <c r="AT309" t="s" s="0">
        <v>1405</v>
      </c>
      <c r="AU309" t="s" s="0">
        <v>106</v>
      </c>
      <c r="AV309" t="s" s="0">
        <v>81</v>
      </c>
      <c r="AW309" t="s" s="0">
        <v>107</v>
      </c>
      <c r="AX309" t="s" s="0">
        <v>108</v>
      </c>
      <c r="AY309" t="s" s="0">
        <v>7010</v>
      </c>
      <c r="AZ309" t="s" s="0">
        <v>592</v>
      </c>
      <c r="BA309" t="s" s="0">
        <v>319</v>
      </c>
      <c r="BB309" t="s" s="0">
        <v>81</v>
      </c>
      <c r="BC309" t="s" s="0">
        <v>81</v>
      </c>
      <c r="BD309" t="s" s="0">
        <v>81</v>
      </c>
      <c r="BE309" t="s" s="0">
        <v>81</v>
      </c>
      <c r="BF309" t="s" s="0">
        <v>81</v>
      </c>
      <c r="BG309" t="s" s="0">
        <v>81</v>
      </c>
      <c r="BH309" t="s" s="0">
        <v>81</v>
      </c>
      <c r="BI309" t="s" s="0">
        <v>7011</v>
      </c>
      <c r="BJ309" t="s" s="0">
        <v>7012</v>
      </c>
      <c r="BK309" t="s" s="613">
        <f>HYPERLINK("http://dx.doi.org/10.2196/55648","http://dx.doi.org/10.2196/55648")</f>
        <v>7013</v>
      </c>
      <c r="BL309" t="s" s="0">
        <v>81</v>
      </c>
      <c r="BM309" t="s" s="0">
        <v>81</v>
      </c>
      <c r="BN309" t="s" s="0">
        <v>328</v>
      </c>
      <c r="BO309" t="s" s="0">
        <v>116</v>
      </c>
      <c r="BP309" t="s" s="0">
        <v>116</v>
      </c>
      <c r="BQ309" t="s" s="0">
        <v>7014</v>
      </c>
      <c r="BR309" t="s" s="0">
        <v>7015</v>
      </c>
      <c r="BS309" t="s" s="0">
        <v>7016</v>
      </c>
      <c r="BT309" t="s" s="614">
        <f>HYPERLINK("https://www.webofscience.com/wos/woscc/full-record/WOS:001334857400004","View Record in Web of Science")</f>
        <v>120</v>
      </c>
      <c r="BU309" t="s" s="0">
        <v>121</v>
      </c>
      <c r="BV309" t="s" s="0">
        <v>81</v>
      </c>
      <c r="BW309" t="s" s="0">
        <v>81</v>
      </c>
      <c r="BX309" t="s" s="0">
        <v>122</v>
      </c>
    </row>
    <row r="310">
      <c r="A310" t="s" s="0">
        <v>77</v>
      </c>
      <c r="B310" t="s" s="0">
        <v>77</v>
      </c>
      <c r="C310" t="s" s="0">
        <v>169</v>
      </c>
      <c r="D310" t="s" s="0">
        <v>77</v>
      </c>
      <c r="E310" t="s" s="0">
        <v>7017</v>
      </c>
      <c r="F310" t="s" s="0">
        <v>7018</v>
      </c>
      <c r="G310" t="s" s="0">
        <v>7019</v>
      </c>
      <c r="H310" t="s" s="0">
        <v>81</v>
      </c>
      <c r="I310" t="s" s="0">
        <v>82</v>
      </c>
      <c r="J310" t="s" s="0">
        <v>7020</v>
      </c>
      <c r="K310" t="s" s="0">
        <v>7021</v>
      </c>
      <c r="L310" t="s" s="0">
        <v>81</v>
      </c>
      <c r="M310" t="s" s="0">
        <v>81</v>
      </c>
      <c r="N310" t="s" s="0">
        <v>81</v>
      </c>
      <c r="O310" t="s" s="0">
        <v>7022</v>
      </c>
      <c r="P310" t="s" s="0">
        <v>7023</v>
      </c>
      <c r="Q310" t="s" s="0">
        <v>90</v>
      </c>
      <c r="R310" t="s" s="0">
        <v>81</v>
      </c>
      <c r="S310" t="s" s="0">
        <v>81</v>
      </c>
      <c r="T310" t="s" s="0">
        <v>81</v>
      </c>
      <c r="U310" t="s" s="0">
        <v>81</v>
      </c>
      <c r="V310" t="s" s="0">
        <v>7024</v>
      </c>
      <c r="W310" t="s" s="0">
        <v>2308</v>
      </c>
      <c r="X310" t="s" s="0">
        <v>81</v>
      </c>
      <c r="Y310" t="s" s="0">
        <v>81</v>
      </c>
      <c r="Z310" t="s" s="0">
        <v>93</v>
      </c>
      <c r="AA310" t="s" s="0">
        <v>94</v>
      </c>
      <c r="AB310" t="s" s="0">
        <v>81</v>
      </c>
      <c r="AC310" t="s" s="0">
        <v>81</v>
      </c>
      <c r="AD310" t="s" s="0">
        <v>81</v>
      </c>
      <c r="AE310" t="s" s="0">
        <v>81</v>
      </c>
      <c r="AF310" t="s" s="0">
        <v>81</v>
      </c>
      <c r="AG310" t="s" s="0">
        <v>7025</v>
      </c>
      <c r="AH310" t="s" s="0">
        <v>7026</v>
      </c>
      <c r="AI310" t="s" s="0">
        <v>7027</v>
      </c>
      <c r="AJ310" t="s" s="0">
        <v>7028</v>
      </c>
      <c r="AK310" t="s" s="0">
        <v>81</v>
      </c>
      <c r="AL310" t="s" s="0">
        <v>1543</v>
      </c>
      <c r="AM310" t="s" s="0">
        <v>671</v>
      </c>
      <c r="AN310" t="s" s="0">
        <v>583</v>
      </c>
      <c r="AO310" t="s" s="0">
        <v>101</v>
      </c>
      <c r="AP310" t="s" s="0">
        <v>509</v>
      </c>
      <c r="AQ310" t="s" s="0">
        <v>584</v>
      </c>
      <c r="AR310" t="s" s="0">
        <v>585</v>
      </c>
      <c r="AS310" t="s" s="0">
        <v>586</v>
      </c>
      <c r="AT310" t="s" s="0">
        <v>2312</v>
      </c>
      <c r="AU310" t="s" s="0">
        <v>2313</v>
      </c>
      <c r="AV310" t="s" s="0">
        <v>81</v>
      </c>
      <c r="AW310" t="s" s="0">
        <v>2314</v>
      </c>
      <c r="AX310" t="s" s="0">
        <v>2315</v>
      </c>
      <c r="AY310" t="s" s="0">
        <v>1117</v>
      </c>
      <c r="AZ310" t="s" s="0">
        <v>592</v>
      </c>
      <c r="BA310" t="s" s="0">
        <v>7029</v>
      </c>
      <c r="BB310" t="s" s="0">
        <v>81</v>
      </c>
      <c r="BC310" t="s" s="0">
        <v>81</v>
      </c>
      <c r="BD310" t="s" s="0">
        <v>81</v>
      </c>
      <c r="BE310" t="s" s="0">
        <v>81</v>
      </c>
      <c r="BF310" t="s" s="0">
        <v>81</v>
      </c>
      <c r="BG310" t="s" s="0">
        <v>81</v>
      </c>
      <c r="BH310" t="s" s="0">
        <v>81</v>
      </c>
      <c r="BI310" t="s" s="0">
        <v>7030</v>
      </c>
      <c r="BJ310" t="s" s="0">
        <v>7031</v>
      </c>
      <c r="BK310" t="s" s="615">
        <f>HYPERLINK("http://dx.doi.org/10.1016/j.ijmedinf.2024.105654","http://dx.doi.org/10.1016/j.ijmedinf.2024.105654")</f>
        <v>7032</v>
      </c>
      <c r="BL310" t="s" s="0">
        <v>81</v>
      </c>
      <c r="BM310" t="s" s="0">
        <v>2953</v>
      </c>
      <c r="BN310" t="s" s="0">
        <v>102</v>
      </c>
      <c r="BO310" t="s" s="0">
        <v>2320</v>
      </c>
      <c r="BP310" t="s" s="0">
        <v>2321</v>
      </c>
      <c r="BQ310" t="s" s="0">
        <v>7033</v>
      </c>
      <c r="BR310" t="s" s="0">
        <v>7034</v>
      </c>
      <c r="BS310" t="s" s="0">
        <v>7035</v>
      </c>
      <c r="BT310" t="s" s="616">
        <f>HYPERLINK("https://www.webofscience.com/wos/woscc/full-record/WOS:001343302900001","View Record in Web of Science")</f>
        <v>120</v>
      </c>
      <c r="BU310" t="s" s="0">
        <v>306</v>
      </c>
      <c r="BV310" t="s" s="0">
        <v>81</v>
      </c>
      <c r="BW310" t="s" s="0">
        <v>81</v>
      </c>
      <c r="BX310" t="s" s="0">
        <v>122</v>
      </c>
    </row>
    <row r="311">
      <c r="A311" t="s" s="0">
        <v>77</v>
      </c>
      <c r="B311" t="s" s="0">
        <v>77</v>
      </c>
      <c r="C311" t="s" s="0">
        <v>77</v>
      </c>
      <c r="D311" t="s" s="0">
        <v>77</v>
      </c>
      <c r="E311" t="s" s="0">
        <v>7036</v>
      </c>
      <c r="F311" t="s" s="0">
        <v>7037</v>
      </c>
      <c r="G311" t="s" s="0">
        <v>7038</v>
      </c>
      <c r="H311" t="s" s="0">
        <v>81</v>
      </c>
      <c r="I311" t="s" s="0">
        <v>82</v>
      </c>
      <c r="J311" t="s" s="0">
        <v>7039</v>
      </c>
      <c r="K311" t="s" s="0">
        <v>7040</v>
      </c>
      <c r="L311" t="s" s="0">
        <v>7041</v>
      </c>
      <c r="M311" t="s" s="0">
        <v>7042</v>
      </c>
      <c r="N311" t="s" s="0">
        <v>7043</v>
      </c>
      <c r="O311" t="s" s="0">
        <v>7044</v>
      </c>
      <c r="P311" t="s" s="0">
        <v>7045</v>
      </c>
      <c r="Q311" t="s" s="0">
        <v>90</v>
      </c>
      <c r="R311" t="s" s="0">
        <v>81</v>
      </c>
      <c r="S311" t="s" s="0">
        <v>81</v>
      </c>
      <c r="T311" t="s" s="0">
        <v>81</v>
      </c>
      <c r="U311" t="s" s="0">
        <v>81</v>
      </c>
      <c r="V311" t="s" s="0">
        <v>7046</v>
      </c>
      <c r="W311" t="s" s="0">
        <v>7047</v>
      </c>
      <c r="X311" t="s" s="0">
        <v>81</v>
      </c>
      <c r="Y311" t="s" s="0">
        <v>81</v>
      </c>
      <c r="Z311" t="s" s="0">
        <v>93</v>
      </c>
      <c r="AA311" t="s" s="0">
        <v>196</v>
      </c>
      <c r="AB311" t="s" s="0">
        <v>81</v>
      </c>
      <c r="AC311" t="s" s="0">
        <v>81</v>
      </c>
      <c r="AD311" t="s" s="0">
        <v>81</v>
      </c>
      <c r="AE311" t="s" s="0">
        <v>81</v>
      </c>
      <c r="AF311" t="s" s="0">
        <v>81</v>
      </c>
      <c r="AG311" t="s" s="0">
        <v>7048</v>
      </c>
      <c r="AH311" t="s" s="0">
        <v>81</v>
      </c>
      <c r="AI311" t="s" s="0">
        <v>81</v>
      </c>
      <c r="AJ311" t="s" s="0">
        <v>81</v>
      </c>
      <c r="AK311" t="s" s="0">
        <v>81</v>
      </c>
      <c r="AL311" t="s" s="0">
        <v>145</v>
      </c>
      <c r="AM311" t="s" s="0">
        <v>77</v>
      </c>
      <c r="AN311" t="s" s="0">
        <v>77</v>
      </c>
      <c r="AO311" t="s" s="0">
        <v>77</v>
      </c>
      <c r="AP311" t="s" s="0">
        <v>77</v>
      </c>
      <c r="AQ311" t="s" s="0">
        <v>499</v>
      </c>
      <c r="AR311" t="s" s="0">
        <v>500</v>
      </c>
      <c r="AS311" t="s" s="0">
        <v>501</v>
      </c>
      <c r="AT311" t="s" s="0">
        <v>7049</v>
      </c>
      <c r="AU311" t="s" s="0">
        <v>7050</v>
      </c>
      <c r="AV311" t="s" s="0">
        <v>81</v>
      </c>
      <c r="AW311" t="s" s="0">
        <v>7051</v>
      </c>
      <c r="AX311" t="s" s="0">
        <v>7052</v>
      </c>
      <c r="AY311" t="s" s="0">
        <v>81</v>
      </c>
      <c r="AZ311" t="s" s="0">
        <v>144</v>
      </c>
      <c r="BA311" t="s" s="0">
        <v>81</v>
      </c>
      <c r="BB311" t="s" s="0">
        <v>81</v>
      </c>
      <c r="BC311" t="s" s="0">
        <v>81</v>
      </c>
      <c r="BD311" t="s" s="0">
        <v>81</v>
      </c>
      <c r="BE311" t="s" s="0">
        <v>81</v>
      </c>
      <c r="BF311" t="s" s="0">
        <v>81</v>
      </c>
      <c r="BG311" t="s" s="0">
        <v>81</v>
      </c>
      <c r="BH311" t="s" s="0">
        <v>81</v>
      </c>
      <c r="BI311" t="s" s="0">
        <v>81</v>
      </c>
      <c r="BJ311" t="s" s="0">
        <v>7053</v>
      </c>
      <c r="BK311" t="s" s="617">
        <f>HYPERLINK("http://dx.doi.org/10.1007/s11596-026-00219-3","http://dx.doi.org/10.1007/s11596-026-00219-3")</f>
        <v>7054</v>
      </c>
      <c r="BL311" t="s" s="0">
        <v>81</v>
      </c>
      <c r="BM311" t="s" s="0">
        <v>143</v>
      </c>
      <c r="BN311" t="s" s="0">
        <v>102</v>
      </c>
      <c r="BO311" t="s" s="0">
        <v>2819</v>
      </c>
      <c r="BP311" t="s" s="0">
        <v>2820</v>
      </c>
      <c r="BQ311" t="s" s="0">
        <v>7055</v>
      </c>
      <c r="BR311" t="s" s="0">
        <v>7056</v>
      </c>
      <c r="BS311" t="s" s="0">
        <v>7057</v>
      </c>
      <c r="BT311" t="s" s="618">
        <f>HYPERLINK("https://www.webofscience.com/wos/woscc/full-record/WOS:001809290200001","View Record in Web of Science")</f>
        <v>120</v>
      </c>
      <c r="BU311" t="s" s="0">
        <v>306</v>
      </c>
      <c r="BV311" t="s" s="0">
        <v>81</v>
      </c>
      <c r="BW311" t="s" s="0">
        <v>81</v>
      </c>
      <c r="BX311" t="s" s="0">
        <v>122</v>
      </c>
    </row>
    <row r="312">
      <c r="A312" t="s" s="0">
        <v>77</v>
      </c>
      <c r="B312" t="s" s="0">
        <v>77</v>
      </c>
      <c r="C312" t="s" s="0">
        <v>77</v>
      </c>
      <c r="D312" t="s" s="0">
        <v>77</v>
      </c>
      <c r="E312" t="s" s="0">
        <v>7058</v>
      </c>
      <c r="F312" t="s" s="0">
        <v>7059</v>
      </c>
      <c r="G312" t="s" s="0">
        <v>7060</v>
      </c>
      <c r="H312" t="s" s="0">
        <v>81</v>
      </c>
      <c r="I312" t="s" s="0">
        <v>82</v>
      </c>
      <c r="J312" t="s" s="0">
        <v>7061</v>
      </c>
      <c r="K312" t="s" s="0">
        <v>7062</v>
      </c>
      <c r="L312" t="s" s="0">
        <v>81</v>
      </c>
      <c r="M312" t="s" s="0">
        <v>81</v>
      </c>
      <c r="N312" t="s" s="0">
        <v>128</v>
      </c>
      <c r="O312" t="s" s="0">
        <v>7063</v>
      </c>
      <c r="P312" t="s" s="0">
        <v>7064</v>
      </c>
      <c r="Q312" t="s" s="0">
        <v>90</v>
      </c>
      <c r="R312" t="s" s="0">
        <v>81</v>
      </c>
      <c r="S312" t="s" s="0">
        <v>81</v>
      </c>
      <c r="T312" t="s" s="0">
        <v>81</v>
      </c>
      <c r="U312" t="s" s="0">
        <v>81</v>
      </c>
      <c r="V312" t="s" s="0">
        <v>7065</v>
      </c>
      <c r="W312" t="s" s="0">
        <v>7066</v>
      </c>
      <c r="X312" t="s" s="0">
        <v>81</v>
      </c>
      <c r="Y312" t="s" s="0">
        <v>81</v>
      </c>
      <c r="Z312" t="s" s="0">
        <v>93</v>
      </c>
      <c r="AA312" t="s" s="0">
        <v>94</v>
      </c>
      <c r="AB312" t="s" s="0">
        <v>81</v>
      </c>
      <c r="AC312" t="s" s="0">
        <v>81</v>
      </c>
      <c r="AD312" t="s" s="0">
        <v>81</v>
      </c>
      <c r="AE312" t="s" s="0">
        <v>81</v>
      </c>
      <c r="AF312" t="s" s="0">
        <v>81</v>
      </c>
      <c r="AG312" t="s" s="0">
        <v>7067</v>
      </c>
      <c r="AH312" t="s" s="0">
        <v>81</v>
      </c>
      <c r="AI312" t="s" s="0">
        <v>7068</v>
      </c>
      <c r="AJ312" t="s" s="0">
        <v>81</v>
      </c>
      <c r="AK312" t="s" s="0">
        <v>81</v>
      </c>
      <c r="AL312" t="s" s="0">
        <v>111</v>
      </c>
      <c r="AM312" t="s" s="0">
        <v>77</v>
      </c>
      <c r="AN312" t="s" s="0">
        <v>77</v>
      </c>
      <c r="AO312" t="s" s="0">
        <v>101</v>
      </c>
      <c r="AP312" t="s" s="0">
        <v>101</v>
      </c>
      <c r="AQ312" t="s" s="0">
        <v>137</v>
      </c>
      <c r="AR312" t="s" s="0">
        <v>138</v>
      </c>
      <c r="AS312" t="s" s="0">
        <v>139</v>
      </c>
      <c r="AT312" t="s" s="0">
        <v>7069</v>
      </c>
      <c r="AU312" t="s" s="0">
        <v>7070</v>
      </c>
      <c r="AV312" t="s" s="0">
        <v>81</v>
      </c>
      <c r="AW312" t="s" s="0">
        <v>7071</v>
      </c>
      <c r="AX312" t="s" s="0">
        <v>7072</v>
      </c>
      <c r="AY312" t="s" s="0">
        <v>558</v>
      </c>
      <c r="AZ312" t="s" s="0">
        <v>144</v>
      </c>
      <c r="BA312" t="s" s="0">
        <v>583</v>
      </c>
      <c r="BB312" t="s" s="0">
        <v>452</v>
      </c>
      <c r="BC312" t="s" s="0">
        <v>81</v>
      </c>
      <c r="BD312" t="s" s="0">
        <v>81</v>
      </c>
      <c r="BE312" t="s" s="0">
        <v>81</v>
      </c>
      <c r="BF312" t="s" s="0">
        <v>81</v>
      </c>
      <c r="BG312" t="s" s="0">
        <v>81</v>
      </c>
      <c r="BH312" t="s" s="0">
        <v>81</v>
      </c>
      <c r="BI312" t="s" s="0">
        <v>1113</v>
      </c>
      <c r="BJ312" t="s" s="0">
        <v>7073</v>
      </c>
      <c r="BK312" t="s" s="619">
        <f>HYPERLINK("http://dx.doi.org/10.3390/curroncol33060309","http://dx.doi.org/10.3390/curroncol33060309")</f>
        <v>7074</v>
      </c>
      <c r="BL312" t="s" s="0">
        <v>81</v>
      </c>
      <c r="BM312" t="s" s="0">
        <v>295</v>
      </c>
      <c r="BN312" t="s" s="0">
        <v>1118</v>
      </c>
      <c r="BO312" t="s" s="0">
        <v>1433</v>
      </c>
      <c r="BP312" t="s" s="0">
        <v>1433</v>
      </c>
      <c r="BQ312" t="s" s="0">
        <v>7075</v>
      </c>
      <c r="BR312" t="s" s="0">
        <v>7076</v>
      </c>
      <c r="BS312" t="s" s="0">
        <v>7077</v>
      </c>
      <c r="BT312" t="s" s="620">
        <f>HYPERLINK("https://www.webofscience.com/wos/woscc/full-record/WOS:001803542500001","View Record in Web of Science")</f>
        <v>120</v>
      </c>
      <c r="BU312" t="s" s="0">
        <v>121</v>
      </c>
      <c r="BV312" t="s" s="0">
        <v>81</v>
      </c>
      <c r="BW312" t="s" s="0">
        <v>81</v>
      </c>
      <c r="BX312" t="s" s="0">
        <v>122</v>
      </c>
    </row>
    <row r="313">
      <c r="A313" t="s" s="0">
        <v>77</v>
      </c>
      <c r="B313" t="s" s="0">
        <v>77</v>
      </c>
      <c r="C313" t="s" s="0">
        <v>101</v>
      </c>
      <c r="D313" t="s" s="0">
        <v>77</v>
      </c>
      <c r="E313" t="s" s="0">
        <v>7078</v>
      </c>
      <c r="F313" t="s" s="0">
        <v>7079</v>
      </c>
      <c r="G313" t="s" s="0">
        <v>7080</v>
      </c>
      <c r="H313" t="s" s="0">
        <v>81</v>
      </c>
      <c r="I313" t="s" s="0">
        <v>82</v>
      </c>
      <c r="J313" t="s" s="0">
        <v>7081</v>
      </c>
      <c r="K313" t="s" s="0">
        <v>7082</v>
      </c>
      <c r="L313" t="s" s="0">
        <v>81</v>
      </c>
      <c r="M313" t="s" s="0">
        <v>81</v>
      </c>
      <c r="N313" t="s" s="0">
        <v>81</v>
      </c>
      <c r="O313" t="s" s="0">
        <v>7083</v>
      </c>
      <c r="P313" t="s" s="0">
        <v>7084</v>
      </c>
      <c r="Q313" t="s" s="0">
        <v>90</v>
      </c>
      <c r="R313" t="s" s="0">
        <v>81</v>
      </c>
      <c r="S313" t="s" s="0">
        <v>81</v>
      </c>
      <c r="T313" t="s" s="0">
        <v>81</v>
      </c>
      <c r="U313" t="s" s="0">
        <v>81</v>
      </c>
      <c r="V313" t="s" s="0">
        <v>7085</v>
      </c>
      <c r="W313" t="s" s="0">
        <v>132</v>
      </c>
      <c r="X313" t="s" s="0">
        <v>81</v>
      </c>
      <c r="Y313" t="s" s="0">
        <v>81</v>
      </c>
      <c r="Z313" t="s" s="0">
        <v>93</v>
      </c>
      <c r="AA313" t="s" s="0">
        <v>94</v>
      </c>
      <c r="AB313" t="s" s="0">
        <v>81</v>
      </c>
      <c r="AC313" t="s" s="0">
        <v>81</v>
      </c>
      <c r="AD313" t="s" s="0">
        <v>81</v>
      </c>
      <c r="AE313" t="s" s="0">
        <v>81</v>
      </c>
      <c r="AF313" t="s" s="0">
        <v>81</v>
      </c>
      <c r="AG313" t="s" s="0">
        <v>7086</v>
      </c>
      <c r="AH313" t="s" s="0">
        <v>7087</v>
      </c>
      <c r="AI313" t="s" s="0">
        <v>7088</v>
      </c>
      <c r="AJ313" t="s" s="0">
        <v>7089</v>
      </c>
      <c r="AK313" t="s" s="0">
        <v>81</v>
      </c>
      <c r="AL313" t="s" s="0">
        <v>583</v>
      </c>
      <c r="AM313" t="s" s="0">
        <v>386</v>
      </c>
      <c r="AN313" t="s" s="0">
        <v>210</v>
      </c>
      <c r="AO313" t="s" s="0">
        <v>169</v>
      </c>
      <c r="AP313" t="s" s="0">
        <v>452</v>
      </c>
      <c r="AQ313" t="s" s="0">
        <v>137</v>
      </c>
      <c r="AR313" t="s" s="0">
        <v>138</v>
      </c>
      <c r="AS313" t="s" s="0">
        <v>139</v>
      </c>
      <c r="AT313" t="s" s="0">
        <v>81</v>
      </c>
      <c r="AU313" t="s" s="0">
        <v>140</v>
      </c>
      <c r="AV313" t="s" s="0">
        <v>81</v>
      </c>
      <c r="AW313" t="s" s="0">
        <v>141</v>
      </c>
      <c r="AX313" t="s" s="0">
        <v>142</v>
      </c>
      <c r="AY313" t="s" s="0">
        <v>7090</v>
      </c>
      <c r="AZ313" t="s" s="0">
        <v>110</v>
      </c>
      <c r="BA313" t="s" s="0">
        <v>509</v>
      </c>
      <c r="BB313" t="s" s="0">
        <v>265</v>
      </c>
      <c r="BC313" t="s" s="0">
        <v>81</v>
      </c>
      <c r="BD313" t="s" s="0">
        <v>81</v>
      </c>
      <c r="BE313" t="s" s="0">
        <v>81</v>
      </c>
      <c r="BF313" t="s" s="0">
        <v>81</v>
      </c>
      <c r="BG313" t="s" s="0">
        <v>81</v>
      </c>
      <c r="BH313" t="s" s="0">
        <v>81</v>
      </c>
      <c r="BI313" t="s" s="0">
        <v>7091</v>
      </c>
      <c r="BJ313" t="s" s="0">
        <v>7092</v>
      </c>
      <c r="BK313" t="s" s="621">
        <f>HYPERLINK("http://dx.doi.org/10.3390/jcm14165697","http://dx.doi.org/10.3390/jcm14165697")</f>
        <v>7093</v>
      </c>
      <c r="BL313" t="s" s="0">
        <v>81</v>
      </c>
      <c r="BM313" t="s" s="0">
        <v>81</v>
      </c>
      <c r="BN313" t="s" s="0">
        <v>115</v>
      </c>
      <c r="BO313" t="s" s="0">
        <v>149</v>
      </c>
      <c r="BP313" t="s" s="0">
        <v>150</v>
      </c>
      <c r="BQ313" t="s" s="0">
        <v>7094</v>
      </c>
      <c r="BR313" t="s" s="0">
        <v>7095</v>
      </c>
      <c r="BS313" t="s" s="0">
        <v>7096</v>
      </c>
      <c r="BT313" t="s" s="622">
        <f>HYPERLINK("https://www.webofscience.com/wos/woscc/full-record/WOS:001557780600001","View Record in Web of Science")</f>
        <v>120</v>
      </c>
      <c r="BU313" t="s" s="0">
        <v>121</v>
      </c>
      <c r="BV313" t="s" s="0">
        <v>81</v>
      </c>
      <c r="BW313" t="s" s="0">
        <v>81</v>
      </c>
      <c r="BX313" t="s" s="0">
        <v>122</v>
      </c>
    </row>
    <row r="314">
      <c r="A314" t="s" s="0">
        <v>77</v>
      </c>
      <c r="B314" t="s" s="0">
        <v>77</v>
      </c>
      <c r="C314" t="s" s="0">
        <v>77</v>
      </c>
      <c r="D314" t="s" s="0">
        <v>77</v>
      </c>
      <c r="E314" t="s" s="0">
        <v>7097</v>
      </c>
      <c r="F314" t="s" s="0">
        <v>7098</v>
      </c>
      <c r="G314" t="s" s="0">
        <v>7099</v>
      </c>
      <c r="H314" t="s" s="0">
        <v>81</v>
      </c>
      <c r="I314" t="s" s="0">
        <v>82</v>
      </c>
      <c r="J314" t="s" s="0">
        <v>7100</v>
      </c>
      <c r="K314" t="s" s="0">
        <v>7101</v>
      </c>
      <c r="L314" t="s" s="0">
        <v>7102</v>
      </c>
      <c r="M314" t="s" s="0">
        <v>7103</v>
      </c>
      <c r="N314" t="s" s="0">
        <v>7104</v>
      </c>
      <c r="O314" t="s" s="0">
        <v>7105</v>
      </c>
      <c r="P314" t="s" s="0">
        <v>7106</v>
      </c>
      <c r="Q314" t="s" s="0">
        <v>90</v>
      </c>
      <c r="R314" t="s" s="0">
        <v>81</v>
      </c>
      <c r="S314" t="s" s="0">
        <v>81</v>
      </c>
      <c r="T314" t="s" s="0">
        <v>81</v>
      </c>
      <c r="U314" t="s" s="0">
        <v>81</v>
      </c>
      <c r="V314" t="s" s="0">
        <v>7107</v>
      </c>
      <c r="W314" t="s" s="0">
        <v>7108</v>
      </c>
      <c r="X314" t="s" s="0">
        <v>81</v>
      </c>
      <c r="Y314" t="s" s="0">
        <v>81</v>
      </c>
      <c r="Z314" t="s" s="0">
        <v>93</v>
      </c>
      <c r="AA314" t="s" s="0">
        <v>94</v>
      </c>
      <c r="AB314" t="s" s="0">
        <v>81</v>
      </c>
      <c r="AC314" t="s" s="0">
        <v>81</v>
      </c>
      <c r="AD314" t="s" s="0">
        <v>81</v>
      </c>
      <c r="AE314" t="s" s="0">
        <v>81</v>
      </c>
      <c r="AF314" t="s" s="0">
        <v>81</v>
      </c>
      <c r="AG314" t="s" s="0">
        <v>81</v>
      </c>
      <c r="AH314" t="s" s="0">
        <v>81</v>
      </c>
      <c r="AI314" t="s" s="0">
        <v>7109</v>
      </c>
      <c r="AJ314" t="s" s="0">
        <v>81</v>
      </c>
      <c r="AK314" t="s" s="0">
        <v>81</v>
      </c>
      <c r="AL314" t="s" s="0">
        <v>301</v>
      </c>
      <c r="AM314" t="s" s="0">
        <v>77</v>
      </c>
      <c r="AN314" t="s" s="0">
        <v>77</v>
      </c>
      <c r="AO314" t="s" s="0">
        <v>452</v>
      </c>
      <c r="AP314" t="s" s="0">
        <v>452</v>
      </c>
      <c r="AQ314" t="s" s="0">
        <v>439</v>
      </c>
      <c r="AR314" t="s" s="0">
        <v>201</v>
      </c>
      <c r="AS314" t="s" s="0">
        <v>440</v>
      </c>
      <c r="AT314" t="s" s="0">
        <v>81</v>
      </c>
      <c r="AU314" t="s" s="0">
        <v>7110</v>
      </c>
      <c r="AV314" t="s" s="0">
        <v>81</v>
      </c>
      <c r="AW314" t="s" s="0">
        <v>7111</v>
      </c>
      <c r="AX314" t="s" s="0">
        <v>7112</v>
      </c>
      <c r="AY314" t="s" s="0">
        <v>7113</v>
      </c>
      <c r="AZ314" t="s" s="0">
        <v>144</v>
      </c>
      <c r="BA314" t="s" s="0">
        <v>1232</v>
      </c>
      <c r="BB314" t="s" s="0">
        <v>169</v>
      </c>
      <c r="BC314" t="s" s="0">
        <v>81</v>
      </c>
      <c r="BD314" t="s" s="0">
        <v>81</v>
      </c>
      <c r="BE314" t="s" s="0">
        <v>81</v>
      </c>
      <c r="BF314" t="s" s="0">
        <v>81</v>
      </c>
      <c r="BG314" t="s" s="0">
        <v>81</v>
      </c>
      <c r="BH314" t="s" s="0">
        <v>81</v>
      </c>
      <c r="BI314" t="s" s="0">
        <v>7114</v>
      </c>
      <c r="BJ314" t="s" s="0">
        <v>7115</v>
      </c>
      <c r="BK314" t="s" s="623">
        <f>HYPERLINK("http://dx.doi.org/10.1186/s12967-026-07738-6","http://dx.doi.org/10.1186/s12967-026-07738-6")</f>
        <v>7116</v>
      </c>
      <c r="BL314" t="s" s="0">
        <v>81</v>
      </c>
      <c r="BM314" t="s" s="0">
        <v>81</v>
      </c>
      <c r="BN314" t="s" s="0">
        <v>320</v>
      </c>
      <c r="BO314" t="s" s="0">
        <v>2819</v>
      </c>
      <c r="BP314" t="s" s="0">
        <v>2820</v>
      </c>
      <c r="BQ314" t="s" s="0">
        <v>7117</v>
      </c>
      <c r="BR314" t="s" s="0">
        <v>7118</v>
      </c>
      <c r="BS314" t="s" s="0">
        <v>7119</v>
      </c>
      <c r="BT314" t="s" s="624">
        <f>HYPERLINK("https://www.webofscience.com/wos/woscc/full-record/WOS:001714837200001","View Record in Web of Science")</f>
        <v>120</v>
      </c>
      <c r="BU314" t="s" s="0">
        <v>121</v>
      </c>
      <c r="BV314" t="s" s="0">
        <v>81</v>
      </c>
      <c r="BW314" t="s" s="0">
        <v>81</v>
      </c>
      <c r="BX314" t="s" s="0">
        <v>122</v>
      </c>
    </row>
    <row r="315">
      <c r="A315" t="s" s="0">
        <v>77</v>
      </c>
      <c r="B315" t="s" s="0">
        <v>77</v>
      </c>
      <c r="C315" t="s" s="0">
        <v>77</v>
      </c>
      <c r="D315" t="s" s="0">
        <v>77</v>
      </c>
      <c r="E315" t="s" s="0">
        <v>7120</v>
      </c>
      <c r="F315" t="s" s="0">
        <v>7121</v>
      </c>
      <c r="G315" t="s" s="0">
        <v>7122</v>
      </c>
      <c r="H315" t="s" s="0">
        <v>81</v>
      </c>
      <c r="I315" t="s" s="0">
        <v>82</v>
      </c>
      <c r="J315" t="s" s="0">
        <v>7123</v>
      </c>
      <c r="K315" t="s" s="0">
        <v>7124</v>
      </c>
      <c r="L315" t="s" s="0">
        <v>7125</v>
      </c>
      <c r="M315" t="s" s="0">
        <v>7126</v>
      </c>
      <c r="N315" t="s" s="0">
        <v>7127</v>
      </c>
      <c r="O315" t="s" s="0">
        <v>7128</v>
      </c>
      <c r="P315" t="s" s="0">
        <v>7129</v>
      </c>
      <c r="Q315" t="s" s="0">
        <v>90</v>
      </c>
      <c r="R315" t="s" s="0">
        <v>81</v>
      </c>
      <c r="S315" t="s" s="0">
        <v>81</v>
      </c>
      <c r="T315" t="s" s="0">
        <v>81</v>
      </c>
      <c r="U315" t="s" s="0">
        <v>81</v>
      </c>
      <c r="V315" t="s" s="0">
        <v>7130</v>
      </c>
      <c r="W315" t="s" s="0">
        <v>92</v>
      </c>
      <c r="X315" t="s" s="0">
        <v>81</v>
      </c>
      <c r="Y315" t="s" s="0">
        <v>81</v>
      </c>
      <c r="Z315" t="s" s="0">
        <v>93</v>
      </c>
      <c r="AA315" t="s" s="0">
        <v>94</v>
      </c>
      <c r="AB315" t="s" s="0">
        <v>81</v>
      </c>
      <c r="AC315" t="s" s="0">
        <v>81</v>
      </c>
      <c r="AD315" t="s" s="0">
        <v>81</v>
      </c>
      <c r="AE315" t="s" s="0">
        <v>81</v>
      </c>
      <c r="AF315" t="s" s="0">
        <v>81</v>
      </c>
      <c r="AG315" t="s" s="0">
        <v>7131</v>
      </c>
      <c r="AH315" t="s" s="0">
        <v>7132</v>
      </c>
      <c r="AI315" t="s" s="0">
        <v>7133</v>
      </c>
      <c r="AJ315" t="s" s="0">
        <v>81</v>
      </c>
      <c r="AK315" t="s" s="0">
        <v>81</v>
      </c>
      <c r="AL315" t="s" s="0">
        <v>301</v>
      </c>
      <c r="AM315" t="s" s="0">
        <v>77</v>
      </c>
      <c r="AN315" t="s" s="0">
        <v>77</v>
      </c>
      <c r="AO315" t="s" s="0">
        <v>77</v>
      </c>
      <c r="AP315" t="s" s="0">
        <v>77</v>
      </c>
      <c r="AQ315" t="s" s="0">
        <v>103</v>
      </c>
      <c r="AR315" t="s" s="0">
        <v>104</v>
      </c>
      <c r="AS315" t="s" s="0">
        <v>105</v>
      </c>
      <c r="AT315" t="s" s="0">
        <v>1405</v>
      </c>
      <c r="AU315" t="s" s="0">
        <v>106</v>
      </c>
      <c r="AV315" t="s" s="0">
        <v>81</v>
      </c>
      <c r="AW315" t="s" s="0">
        <v>107</v>
      </c>
      <c r="AX315" t="s" s="0">
        <v>108</v>
      </c>
      <c r="AY315" t="s" s="0">
        <v>5901</v>
      </c>
      <c r="AZ315" t="s" s="0">
        <v>144</v>
      </c>
      <c r="BA315" t="s" s="0">
        <v>637</v>
      </c>
      <c r="BB315" t="s" s="0">
        <v>81</v>
      </c>
      <c r="BC315" t="s" s="0">
        <v>81</v>
      </c>
      <c r="BD315" t="s" s="0">
        <v>81</v>
      </c>
      <c r="BE315" t="s" s="0">
        <v>81</v>
      </c>
      <c r="BF315" t="s" s="0">
        <v>81</v>
      </c>
      <c r="BG315" t="s" s="0">
        <v>81</v>
      </c>
      <c r="BH315" t="s" s="0">
        <v>81</v>
      </c>
      <c r="BI315" t="s" s="0">
        <v>7134</v>
      </c>
      <c r="BJ315" t="s" s="0">
        <v>7135</v>
      </c>
      <c r="BK315" t="s" s="625">
        <f>HYPERLINK("http://dx.doi.org/10.2196/88834","http://dx.doi.org/10.2196/88834")</f>
        <v>7136</v>
      </c>
      <c r="BL315" t="s" s="0">
        <v>81</v>
      </c>
      <c r="BM315" t="s" s="0">
        <v>81</v>
      </c>
      <c r="BN315" t="s" s="0">
        <v>328</v>
      </c>
      <c r="BO315" t="s" s="0">
        <v>116</v>
      </c>
      <c r="BP315" t="s" s="0">
        <v>116</v>
      </c>
      <c r="BQ315" t="s" s="0">
        <v>7137</v>
      </c>
      <c r="BR315" t="s" s="0">
        <v>7138</v>
      </c>
      <c r="BS315" t="s" s="0">
        <v>7139</v>
      </c>
      <c r="BT315" t="s" s="626">
        <f>HYPERLINK("https://www.webofscience.com/wos/woscc/full-record/WOS:001813507700001","View Record in Web of Science")</f>
        <v>120</v>
      </c>
      <c r="BU315" t="s" s="0">
        <v>121</v>
      </c>
      <c r="BV315" t="s" s="0">
        <v>81</v>
      </c>
      <c r="BW315" t="s" s="0">
        <v>81</v>
      </c>
      <c r="BX315" t="s" s="0">
        <v>122</v>
      </c>
    </row>
    <row r="316">
      <c r="A316" t="s" s="0">
        <v>77</v>
      </c>
      <c r="B316" t="s" s="0">
        <v>77</v>
      </c>
      <c r="C316" t="s" s="0">
        <v>77</v>
      </c>
      <c r="D316" t="s" s="0">
        <v>77</v>
      </c>
      <c r="E316" t="s" s="0">
        <v>7140</v>
      </c>
      <c r="F316" t="s" s="0">
        <v>7141</v>
      </c>
      <c r="G316" t="s" s="0">
        <v>7142</v>
      </c>
      <c r="H316" t="s" s="0">
        <v>81</v>
      </c>
      <c r="I316" t="s" s="0">
        <v>568</v>
      </c>
      <c r="J316" t="s" s="0">
        <v>7143</v>
      </c>
      <c r="K316" t="s" s="0">
        <v>7144</v>
      </c>
      <c r="L316" t="s" s="0">
        <v>81</v>
      </c>
      <c r="M316" t="s" s="0">
        <v>81</v>
      </c>
      <c r="N316" t="s" s="0">
        <v>128</v>
      </c>
      <c r="O316" t="s" s="0">
        <v>7145</v>
      </c>
      <c r="P316" t="s" s="0">
        <v>7146</v>
      </c>
      <c r="Q316" t="s" s="0">
        <v>90</v>
      </c>
      <c r="R316" t="s" s="0">
        <v>81</v>
      </c>
      <c r="S316" t="s" s="0">
        <v>81</v>
      </c>
      <c r="T316" t="s" s="0">
        <v>81</v>
      </c>
      <c r="U316" t="s" s="0">
        <v>81</v>
      </c>
      <c r="V316" t="s" s="0">
        <v>7147</v>
      </c>
      <c r="W316" t="s" s="0">
        <v>4571</v>
      </c>
      <c r="X316" t="s" s="0">
        <v>81</v>
      </c>
      <c r="Y316" t="s" s="0">
        <v>81</v>
      </c>
      <c r="Z316" t="s" s="0">
        <v>93</v>
      </c>
      <c r="AA316" t="s" s="0">
        <v>94</v>
      </c>
      <c r="AB316" t="s" s="0">
        <v>81</v>
      </c>
      <c r="AC316" t="s" s="0">
        <v>81</v>
      </c>
      <c r="AD316" t="s" s="0">
        <v>81</v>
      </c>
      <c r="AE316" t="s" s="0">
        <v>81</v>
      </c>
      <c r="AF316" t="s" s="0">
        <v>81</v>
      </c>
      <c r="AG316" t="s" s="0">
        <v>7148</v>
      </c>
      <c r="AH316" t="s" s="0">
        <v>81</v>
      </c>
      <c r="AI316" t="s" s="0">
        <v>7149</v>
      </c>
      <c r="AJ316" t="s" s="0">
        <v>81</v>
      </c>
      <c r="AK316" t="s" s="0">
        <v>81</v>
      </c>
      <c r="AL316" t="s" s="0">
        <v>445</v>
      </c>
      <c r="AM316" t="s" s="0">
        <v>169</v>
      </c>
      <c r="AN316" t="s" s="0">
        <v>169</v>
      </c>
      <c r="AO316" t="s" s="0">
        <v>77</v>
      </c>
      <c r="AP316" t="s" s="0">
        <v>77</v>
      </c>
      <c r="AQ316" t="s" s="0">
        <v>137</v>
      </c>
      <c r="AR316" t="s" s="0">
        <v>138</v>
      </c>
      <c r="AS316" t="s" s="0">
        <v>139</v>
      </c>
      <c r="AT316" t="s" s="0">
        <v>81</v>
      </c>
      <c r="AU316" t="s" s="0">
        <v>4575</v>
      </c>
      <c r="AV316" t="s" s="0">
        <v>81</v>
      </c>
      <c r="AW316" t="s" s="0">
        <v>4576</v>
      </c>
      <c r="AX316" t="s" s="0">
        <v>4577</v>
      </c>
      <c r="AY316" t="s" s="0">
        <v>143</v>
      </c>
      <c r="AZ316" t="s" s="0">
        <v>144</v>
      </c>
      <c r="BA316" t="s" s="0">
        <v>509</v>
      </c>
      <c r="BB316" t="s" s="0">
        <v>115</v>
      </c>
      <c r="BC316" t="s" s="0">
        <v>81</v>
      </c>
      <c r="BD316" t="s" s="0">
        <v>81</v>
      </c>
      <c r="BE316" t="s" s="0">
        <v>81</v>
      </c>
      <c r="BF316" t="s" s="0">
        <v>81</v>
      </c>
      <c r="BG316" t="s" s="0">
        <v>81</v>
      </c>
      <c r="BH316" t="s" s="0">
        <v>81</v>
      </c>
      <c r="BI316" t="s" s="0">
        <v>7150</v>
      </c>
      <c r="BJ316" t="s" s="0">
        <v>7151</v>
      </c>
      <c r="BK316" t="s" s="627">
        <f>HYPERLINK("http://dx.doi.org/10.3390/healthcare14131909","http://dx.doi.org/10.3390/healthcare14131909")</f>
        <v>7152</v>
      </c>
      <c r="BL316" t="s" s="0">
        <v>81</v>
      </c>
      <c r="BM316" t="s" s="0">
        <v>81</v>
      </c>
      <c r="BN316" t="s" s="0">
        <v>360</v>
      </c>
      <c r="BO316" t="s" s="0">
        <v>4582</v>
      </c>
      <c r="BP316" t="s" s="0">
        <v>2864</v>
      </c>
      <c r="BQ316" t="s" s="0">
        <v>7153</v>
      </c>
      <c r="BR316" t="s" s="0">
        <v>7154</v>
      </c>
      <c r="BS316" t="s" s="0">
        <v>7155</v>
      </c>
      <c r="BT316" t="s" s="628">
        <f>HYPERLINK("https://www.webofscience.com/wos/woscc/full-record/WOS:001818567100001","View Record in Web of Science")</f>
        <v>120</v>
      </c>
      <c r="BU316" t="s" s="0">
        <v>121</v>
      </c>
      <c r="BV316" t="s" s="0">
        <v>81</v>
      </c>
      <c r="BW316" t="s" s="0">
        <v>81</v>
      </c>
      <c r="BX316" t="s" s="0">
        <v>122</v>
      </c>
    </row>
    <row r="317">
      <c r="A317" t="s" s="0">
        <v>77</v>
      </c>
      <c r="B317" t="s" s="0">
        <v>77</v>
      </c>
      <c r="C317" t="s" s="0">
        <v>77</v>
      </c>
      <c r="D317" t="s" s="0">
        <v>77</v>
      </c>
      <c r="E317" t="s" s="0">
        <v>7156</v>
      </c>
      <c r="F317" t="s" s="0">
        <v>7157</v>
      </c>
      <c r="G317" t="s" s="0">
        <v>7158</v>
      </c>
      <c r="H317" t="s" s="0">
        <v>81</v>
      </c>
      <c r="I317" t="s" s="0">
        <v>82</v>
      </c>
      <c r="J317" t="s" s="0">
        <v>7159</v>
      </c>
      <c r="K317" t="s" s="0">
        <v>7160</v>
      </c>
      <c r="L317" t="s" s="0">
        <v>7161</v>
      </c>
      <c r="M317" t="s" s="0">
        <v>7162</v>
      </c>
      <c r="N317" t="s" s="0">
        <v>7163</v>
      </c>
      <c r="O317" t="s" s="0">
        <v>7164</v>
      </c>
      <c r="P317" t="s" s="0">
        <v>7165</v>
      </c>
      <c r="Q317" t="s" s="0">
        <v>90</v>
      </c>
      <c r="R317" t="s" s="0">
        <v>81</v>
      </c>
      <c r="S317" t="s" s="0">
        <v>81</v>
      </c>
      <c r="T317" t="s" s="0">
        <v>81</v>
      </c>
      <c r="U317" t="s" s="0">
        <v>81</v>
      </c>
      <c r="V317" t="s" s="0">
        <v>7166</v>
      </c>
      <c r="W317" t="s" s="0">
        <v>7167</v>
      </c>
      <c r="X317" t="s" s="0">
        <v>81</v>
      </c>
      <c r="Y317" t="s" s="0">
        <v>81</v>
      </c>
      <c r="Z317" t="s" s="0">
        <v>93</v>
      </c>
      <c r="AA317" t="s" s="0">
        <v>94</v>
      </c>
      <c r="AB317" t="s" s="0">
        <v>81</v>
      </c>
      <c r="AC317" t="s" s="0">
        <v>81</v>
      </c>
      <c r="AD317" t="s" s="0">
        <v>81</v>
      </c>
      <c r="AE317" t="s" s="0">
        <v>81</v>
      </c>
      <c r="AF317" t="s" s="0">
        <v>81</v>
      </c>
      <c r="AG317" t="s" s="0">
        <v>7168</v>
      </c>
      <c r="AH317" t="s" s="0">
        <v>7169</v>
      </c>
      <c r="AI317" t="s" s="0">
        <v>81</v>
      </c>
      <c r="AJ317" t="s" s="0">
        <v>7170</v>
      </c>
      <c r="AK317" t="s" s="0">
        <v>81</v>
      </c>
      <c r="AL317" t="s" s="0">
        <v>1232</v>
      </c>
      <c r="AM317" t="s" s="0">
        <v>169</v>
      </c>
      <c r="AN317" t="s" s="0">
        <v>554</v>
      </c>
      <c r="AO317" t="s" s="0">
        <v>169</v>
      </c>
      <c r="AP317" t="s" s="0">
        <v>554</v>
      </c>
      <c r="AQ317" t="s" s="0">
        <v>200</v>
      </c>
      <c r="AR317" t="s" s="0">
        <v>201</v>
      </c>
      <c r="AS317" t="s" s="0">
        <v>202</v>
      </c>
      <c r="AT317" t="s" s="0">
        <v>7171</v>
      </c>
      <c r="AU317" t="s" s="0">
        <v>7172</v>
      </c>
      <c r="AV317" t="s" s="0">
        <v>81</v>
      </c>
      <c r="AW317" t="s" s="0">
        <v>7173</v>
      </c>
      <c r="AX317" t="s" s="0">
        <v>7174</v>
      </c>
      <c r="AY317" t="s" s="0">
        <v>295</v>
      </c>
      <c r="AZ317" t="s" s="0">
        <v>144</v>
      </c>
      <c r="BA317" t="s" s="0">
        <v>4850</v>
      </c>
      <c r="BB317" t="s" s="0">
        <v>100</v>
      </c>
      <c r="BC317" t="s" s="0">
        <v>81</v>
      </c>
      <c r="BD317" t="s" s="0">
        <v>81</v>
      </c>
      <c r="BE317" t="s" s="0">
        <v>81</v>
      </c>
      <c r="BF317" t="s" s="0">
        <v>81</v>
      </c>
      <c r="BG317" t="s" s="0">
        <v>7175</v>
      </c>
      <c r="BH317" t="s" s="0">
        <v>7176</v>
      </c>
      <c r="BI317" t="s" s="0">
        <v>81</v>
      </c>
      <c r="BJ317" t="s" s="0">
        <v>7177</v>
      </c>
      <c r="BK317" t="s" s="629">
        <f>HYPERLINK("http://dx.doi.org/10.1136/archdischild-2025-329505","http://dx.doi.org/10.1136/archdischild-2025-329505")</f>
        <v>7178</v>
      </c>
      <c r="BL317" t="s" s="0">
        <v>81</v>
      </c>
      <c r="BM317" t="s" s="0">
        <v>801</v>
      </c>
      <c r="BN317" t="s" s="0">
        <v>100</v>
      </c>
      <c r="BO317" t="s" s="0">
        <v>2186</v>
      </c>
      <c r="BP317" t="s" s="0">
        <v>2186</v>
      </c>
      <c r="BQ317" t="s" s="0">
        <v>7179</v>
      </c>
      <c r="BR317" t="s" s="0">
        <v>7180</v>
      </c>
      <c r="BS317" t="s" s="0">
        <v>7181</v>
      </c>
      <c r="BT317" t="s" s="630">
        <f>HYPERLINK("https://www.webofscience.com/wos/woscc/full-record/WOS:001620249500001","View Record in Web of Science")</f>
        <v>120</v>
      </c>
      <c r="BU317" t="s" s="0">
        <v>81</v>
      </c>
      <c r="BV317" t="s" s="0">
        <v>81</v>
      </c>
      <c r="BW317" t="s" s="0">
        <v>81</v>
      </c>
      <c r="BX317" t="s" s="0">
        <v>122</v>
      </c>
    </row>
    <row r="318">
      <c r="A318" t="s" s="0">
        <v>77</v>
      </c>
      <c r="B318" t="s" s="0">
        <v>77</v>
      </c>
      <c r="C318" t="s" s="0">
        <v>77</v>
      </c>
      <c r="D318" t="s" s="0">
        <v>77</v>
      </c>
      <c r="E318" t="s" s="0">
        <v>7182</v>
      </c>
      <c r="F318" t="s" s="0">
        <v>7183</v>
      </c>
      <c r="G318" t="s" s="0">
        <v>7184</v>
      </c>
      <c r="H318" t="s" s="0">
        <v>81</v>
      </c>
      <c r="I318" t="s" s="0">
        <v>82</v>
      </c>
      <c r="J318" t="s" s="0">
        <v>7185</v>
      </c>
      <c r="K318" t="s" s="0">
        <v>7186</v>
      </c>
      <c r="L318" t="s" s="0">
        <v>81</v>
      </c>
      <c r="M318" t="s" s="0">
        <v>81</v>
      </c>
      <c r="N318" t="s" s="0">
        <v>81</v>
      </c>
      <c r="O318" t="s" s="0">
        <v>7187</v>
      </c>
      <c r="P318" t="s" s="0">
        <v>7188</v>
      </c>
      <c r="Q318" t="s" s="0">
        <v>90</v>
      </c>
      <c r="R318" t="s" s="0">
        <v>81</v>
      </c>
      <c r="S318" t="s" s="0">
        <v>81</v>
      </c>
      <c r="T318" t="s" s="0">
        <v>81</v>
      </c>
      <c r="U318" t="s" s="0">
        <v>81</v>
      </c>
      <c r="V318" t="s" s="0">
        <v>7189</v>
      </c>
      <c r="W318" t="s" s="0">
        <v>7190</v>
      </c>
      <c r="X318" t="s" s="0">
        <v>81</v>
      </c>
      <c r="Y318" t="s" s="0">
        <v>81</v>
      </c>
      <c r="Z318" t="s" s="0">
        <v>93</v>
      </c>
      <c r="AA318" t="s" s="0">
        <v>196</v>
      </c>
      <c r="AB318" t="s" s="0">
        <v>81</v>
      </c>
      <c r="AC318" t="s" s="0">
        <v>81</v>
      </c>
      <c r="AD318" t="s" s="0">
        <v>81</v>
      </c>
      <c r="AE318" t="s" s="0">
        <v>81</v>
      </c>
      <c r="AF318" t="s" s="0">
        <v>81</v>
      </c>
      <c r="AG318" t="s" s="0">
        <v>7191</v>
      </c>
      <c r="AH318" t="s" s="0">
        <v>81</v>
      </c>
      <c r="AI318" t="s" s="0">
        <v>7192</v>
      </c>
      <c r="AJ318" t="s" s="0">
        <v>81</v>
      </c>
      <c r="AK318" t="s" s="0">
        <v>81</v>
      </c>
      <c r="AL318" t="s" s="0">
        <v>583</v>
      </c>
      <c r="AM318" t="s" s="0">
        <v>77</v>
      </c>
      <c r="AN318" t="s" s="0">
        <v>77</v>
      </c>
      <c r="AO318" t="s" s="0">
        <v>169</v>
      </c>
      <c r="AP318" t="s" s="0">
        <v>169</v>
      </c>
      <c r="AQ318" t="s" s="0">
        <v>1844</v>
      </c>
      <c r="AR318" t="s" s="0">
        <v>1845</v>
      </c>
      <c r="AS318" t="s" s="0">
        <v>3764</v>
      </c>
      <c r="AT318" t="s" s="0">
        <v>7193</v>
      </c>
      <c r="AU318" t="s" s="0">
        <v>7194</v>
      </c>
      <c r="AV318" t="s" s="0">
        <v>81</v>
      </c>
      <c r="AW318" t="s" s="0">
        <v>7195</v>
      </c>
      <c r="AX318" t="s" s="0">
        <v>7196</v>
      </c>
      <c r="AY318" t="s" s="0">
        <v>81</v>
      </c>
      <c r="AZ318" t="s" s="0">
        <v>144</v>
      </c>
      <c r="BA318" t="s" s="0">
        <v>81</v>
      </c>
      <c r="BB318" t="s" s="0">
        <v>81</v>
      </c>
      <c r="BC318" t="s" s="0">
        <v>81</v>
      </c>
      <c r="BD318" t="s" s="0">
        <v>81</v>
      </c>
      <c r="BE318" t="s" s="0">
        <v>81</v>
      </c>
      <c r="BF318" t="s" s="0">
        <v>81</v>
      </c>
      <c r="BG318" t="s" s="0">
        <v>81</v>
      </c>
      <c r="BH318" t="s" s="0">
        <v>81</v>
      </c>
      <c r="BI318" t="s" s="0">
        <v>81</v>
      </c>
      <c r="BJ318" t="s" s="0">
        <v>7197</v>
      </c>
      <c r="BK318" t="s" s="631">
        <f>HYPERLINK("http://dx.doi.org/10.1007/s43465-026-01827-w","http://dx.doi.org/10.1007/s43465-026-01827-w")</f>
        <v>7198</v>
      </c>
      <c r="BL318" t="s" s="0">
        <v>81</v>
      </c>
      <c r="BM318" t="s" s="0">
        <v>295</v>
      </c>
      <c r="BN318" t="s" s="0">
        <v>320</v>
      </c>
      <c r="BO318" t="s" s="0">
        <v>2524</v>
      </c>
      <c r="BP318" t="s" s="0">
        <v>2524</v>
      </c>
      <c r="BQ318" t="s" s="0">
        <v>7199</v>
      </c>
      <c r="BR318" t="s" s="0">
        <v>81</v>
      </c>
      <c r="BS318" t="s" s="0">
        <v>7200</v>
      </c>
      <c r="BT318" t="s" s="632">
        <f>HYPERLINK("https://www.webofscience.com/wos/woscc/full-record/WOS:001777559400001","View Record in Web of Science")</f>
        <v>120</v>
      </c>
      <c r="BU318" t="s" s="0">
        <v>81</v>
      </c>
      <c r="BV318" t="s" s="0">
        <v>81</v>
      </c>
      <c r="BW318" t="s" s="0">
        <v>81</v>
      </c>
      <c r="BX318" t="s" s="0">
        <v>122</v>
      </c>
    </row>
    <row r="319">
      <c r="A319" t="s" s="0">
        <v>169</v>
      </c>
      <c r="B319" t="s" s="0">
        <v>77</v>
      </c>
      <c r="C319" t="s" s="0">
        <v>77</v>
      </c>
      <c r="D319" t="s" s="0">
        <v>77</v>
      </c>
      <c r="E319" t="s" s="0">
        <v>7201</v>
      </c>
      <c r="F319" t="s" s="0">
        <v>7202</v>
      </c>
      <c r="G319" t="s" s="0">
        <v>7203</v>
      </c>
      <c r="H319" t="s" s="0">
        <v>81</v>
      </c>
      <c r="I319" t="s" s="0">
        <v>82</v>
      </c>
      <c r="J319" t="s" s="0">
        <v>7204</v>
      </c>
      <c r="K319" t="s" s="0">
        <v>7205</v>
      </c>
      <c r="L319" t="s" s="0">
        <v>7206</v>
      </c>
      <c r="M319" t="s" s="0">
        <v>7207</v>
      </c>
      <c r="N319" t="s" s="0">
        <v>7208</v>
      </c>
      <c r="O319" t="s" s="0">
        <v>7209</v>
      </c>
      <c r="P319" t="s" s="0">
        <v>7210</v>
      </c>
      <c r="Q319" t="s" s="0">
        <v>90</v>
      </c>
      <c r="R319" t="s" s="0">
        <v>81</v>
      </c>
      <c r="S319" t="s" s="0">
        <v>81</v>
      </c>
      <c r="T319" t="s" s="0">
        <v>81</v>
      </c>
      <c r="U319" t="s" s="0">
        <v>81</v>
      </c>
      <c r="V319" t="s" s="0">
        <v>7211</v>
      </c>
      <c r="W319" t="s" s="0">
        <v>92</v>
      </c>
      <c r="X319" t="s" s="0">
        <v>81</v>
      </c>
      <c r="Y319" t="s" s="0">
        <v>81</v>
      </c>
      <c r="Z319" t="s" s="0">
        <v>93</v>
      </c>
      <c r="AA319" t="s" s="0">
        <v>94</v>
      </c>
      <c r="AB319" t="s" s="0">
        <v>81</v>
      </c>
      <c r="AC319" t="s" s="0">
        <v>81</v>
      </c>
      <c r="AD319" t="s" s="0">
        <v>81</v>
      </c>
      <c r="AE319" t="s" s="0">
        <v>81</v>
      </c>
      <c r="AF319" t="s" s="0">
        <v>81</v>
      </c>
      <c r="AG319" t="s" s="0">
        <v>7212</v>
      </c>
      <c r="AH319" t="s" s="0">
        <v>81</v>
      </c>
      <c r="AI319" t="s" s="0">
        <v>7213</v>
      </c>
      <c r="AJ319" t="s" s="0">
        <v>7214</v>
      </c>
      <c r="AK319" t="s" s="0">
        <v>81</v>
      </c>
      <c r="AL319" t="s" s="0">
        <v>1275</v>
      </c>
      <c r="AM319" t="s" s="0">
        <v>452</v>
      </c>
      <c r="AN319" t="s" s="0">
        <v>210</v>
      </c>
      <c r="AO319" t="s" s="0">
        <v>169</v>
      </c>
      <c r="AP319" t="s" s="0">
        <v>328</v>
      </c>
      <c r="AQ319" t="s" s="0">
        <v>103</v>
      </c>
      <c r="AR319" t="s" s="0">
        <v>104</v>
      </c>
      <c r="AS319" t="s" s="0">
        <v>105</v>
      </c>
      <c r="AT319" t="s" s="0">
        <v>1405</v>
      </c>
      <c r="AU319" t="s" s="0">
        <v>106</v>
      </c>
      <c r="AV319" t="s" s="0">
        <v>81</v>
      </c>
      <c r="AW319" t="s" s="0">
        <v>107</v>
      </c>
      <c r="AX319" t="s" s="0">
        <v>108</v>
      </c>
      <c r="AY319" t="s" s="0">
        <v>7215</v>
      </c>
      <c r="AZ319" t="s" s="0">
        <v>110</v>
      </c>
      <c r="BA319" t="s" s="0">
        <v>111</v>
      </c>
      <c r="BB319" t="s" s="0">
        <v>81</v>
      </c>
      <c r="BC319" t="s" s="0">
        <v>81</v>
      </c>
      <c r="BD319" t="s" s="0">
        <v>81</v>
      </c>
      <c r="BE319" t="s" s="0">
        <v>81</v>
      </c>
      <c r="BF319" t="s" s="0">
        <v>81</v>
      </c>
      <c r="BG319" t="s" s="0">
        <v>81</v>
      </c>
      <c r="BH319" t="s" s="0">
        <v>81</v>
      </c>
      <c r="BI319" t="s" s="0">
        <v>7216</v>
      </c>
      <c r="BJ319" t="s" s="0">
        <v>7217</v>
      </c>
      <c r="BK319" t="s" s="633">
        <f>HYPERLINK("http://dx.doi.org/10.2196/63190","http://dx.doi.org/10.2196/63190")</f>
        <v>7218</v>
      </c>
      <c r="BL319" t="s" s="0">
        <v>81</v>
      </c>
      <c r="BM319" t="s" s="0">
        <v>81</v>
      </c>
      <c r="BN319" t="s" s="0">
        <v>445</v>
      </c>
      <c r="BO319" t="s" s="0">
        <v>116</v>
      </c>
      <c r="BP319" t="s" s="0">
        <v>116</v>
      </c>
      <c r="BQ319" t="s" s="0">
        <v>7219</v>
      </c>
      <c r="BR319" t="s" s="0">
        <v>7220</v>
      </c>
      <c r="BS319" t="s" s="0">
        <v>7221</v>
      </c>
      <c r="BT319" t="s" s="634">
        <f>HYPERLINK("https://www.webofscience.com/wos/woscc/full-record/WOS:001434936200002","View Record in Web of Science")</f>
        <v>120</v>
      </c>
      <c r="BU319" t="s" s="0">
        <v>121</v>
      </c>
      <c r="BV319" t="s" s="0">
        <v>81</v>
      </c>
      <c r="BW319" t="s" s="0">
        <v>81</v>
      </c>
      <c r="BX319" t="s" s="0">
        <v>122</v>
      </c>
    </row>
    <row r="320">
      <c r="A320" t="s" s="0">
        <v>77</v>
      </c>
      <c r="B320" t="s" s="0">
        <v>77</v>
      </c>
      <c r="C320" t="s" s="0">
        <v>169</v>
      </c>
      <c r="D320" t="s" s="0">
        <v>77</v>
      </c>
      <c r="E320" t="s" s="0">
        <v>7222</v>
      </c>
      <c r="F320" t="s" s="0">
        <v>7223</v>
      </c>
      <c r="G320" t="s" s="0">
        <v>7224</v>
      </c>
      <c r="H320" t="s" s="0">
        <v>81</v>
      </c>
      <c r="I320" t="s" s="0">
        <v>82</v>
      </c>
      <c r="J320" t="s" s="0">
        <v>7225</v>
      </c>
      <c r="K320" t="s" s="0">
        <v>7226</v>
      </c>
      <c r="L320" t="s" s="0">
        <v>81</v>
      </c>
      <c r="M320" t="s" s="0">
        <v>81</v>
      </c>
      <c r="N320" t="s" s="0">
        <v>81</v>
      </c>
      <c r="O320" t="s" s="0">
        <v>7227</v>
      </c>
      <c r="P320" t="s" s="0">
        <v>7228</v>
      </c>
      <c r="Q320" t="s" s="0">
        <v>90</v>
      </c>
      <c r="R320" t="s" s="0">
        <v>81</v>
      </c>
      <c r="S320" t="s" s="0">
        <v>81</v>
      </c>
      <c r="T320" t="s" s="0">
        <v>81</v>
      </c>
      <c r="U320" t="s" s="0">
        <v>81</v>
      </c>
      <c r="V320" t="s" s="0">
        <v>7229</v>
      </c>
      <c r="W320" t="s" s="0">
        <v>92</v>
      </c>
      <c r="X320" t="s" s="0">
        <v>81</v>
      </c>
      <c r="Y320" t="s" s="0">
        <v>81</v>
      </c>
      <c r="Z320" t="s" s="0">
        <v>93</v>
      </c>
      <c r="AA320" t="s" s="0">
        <v>94</v>
      </c>
      <c r="AB320" t="s" s="0">
        <v>81</v>
      </c>
      <c r="AC320" t="s" s="0">
        <v>81</v>
      </c>
      <c r="AD320" t="s" s="0">
        <v>81</v>
      </c>
      <c r="AE320" t="s" s="0">
        <v>81</v>
      </c>
      <c r="AF320" t="s" s="0">
        <v>81</v>
      </c>
      <c r="AG320" t="s" s="0">
        <v>7230</v>
      </c>
      <c r="AH320" t="s" s="0">
        <v>81</v>
      </c>
      <c r="AI320" t="s" s="0">
        <v>7231</v>
      </c>
      <c r="AJ320" t="s" s="0">
        <v>7232</v>
      </c>
      <c r="AK320" t="s" s="0">
        <v>81</v>
      </c>
      <c r="AL320" t="s" s="0">
        <v>145</v>
      </c>
      <c r="AM320" t="s" s="0">
        <v>509</v>
      </c>
      <c r="AN320" t="s" s="0">
        <v>145</v>
      </c>
      <c r="AO320" t="s" s="0">
        <v>169</v>
      </c>
      <c r="AP320" t="s" s="0">
        <v>100</v>
      </c>
      <c r="AQ320" t="s" s="0">
        <v>103</v>
      </c>
      <c r="AR320" t="s" s="0">
        <v>104</v>
      </c>
      <c r="AS320" t="s" s="0">
        <v>105</v>
      </c>
      <c r="AT320" t="s" s="0">
        <v>1405</v>
      </c>
      <c r="AU320" t="s" s="0">
        <v>106</v>
      </c>
      <c r="AV320" t="s" s="0">
        <v>81</v>
      </c>
      <c r="AW320" t="s" s="0">
        <v>107</v>
      </c>
      <c r="AX320" t="s" s="0">
        <v>108</v>
      </c>
      <c r="AY320" t="s" s="0">
        <v>7233</v>
      </c>
      <c r="AZ320" t="s" s="0">
        <v>592</v>
      </c>
      <c r="BA320" t="s" s="0">
        <v>319</v>
      </c>
      <c r="BB320" t="s" s="0">
        <v>81</v>
      </c>
      <c r="BC320" t="s" s="0">
        <v>81</v>
      </c>
      <c r="BD320" t="s" s="0">
        <v>81</v>
      </c>
      <c r="BE320" t="s" s="0">
        <v>81</v>
      </c>
      <c r="BF320" t="s" s="0">
        <v>81</v>
      </c>
      <c r="BG320" t="s" s="0">
        <v>81</v>
      </c>
      <c r="BH320" t="s" s="0">
        <v>81</v>
      </c>
      <c r="BI320" t="s" s="0">
        <v>7234</v>
      </c>
      <c r="BJ320" t="s" s="0">
        <v>7235</v>
      </c>
      <c r="BK320" t="s" s="635">
        <f>HYPERLINK("http://dx.doi.org/10.2196/54758","http://dx.doi.org/10.2196/54758")</f>
        <v>7236</v>
      </c>
      <c r="BL320" t="s" s="0">
        <v>81</v>
      </c>
      <c r="BM320" t="s" s="0">
        <v>81</v>
      </c>
      <c r="BN320" t="s" s="0">
        <v>452</v>
      </c>
      <c r="BO320" t="s" s="0">
        <v>116</v>
      </c>
      <c r="BP320" t="s" s="0">
        <v>116</v>
      </c>
      <c r="BQ320" t="s" s="0">
        <v>7237</v>
      </c>
      <c r="BR320" t="s" s="0">
        <v>7238</v>
      </c>
      <c r="BS320" t="s" s="0">
        <v>7239</v>
      </c>
      <c r="BT320" t="s" s="636">
        <f>HYPERLINK("https://www.webofscience.com/wos/woscc/full-record/WOS:001539311000002","View Record in Web of Science")</f>
        <v>120</v>
      </c>
      <c r="BU320" t="s" s="0">
        <v>121</v>
      </c>
      <c r="BV320" t="s" s="0">
        <v>81</v>
      </c>
      <c r="BW320" t="s" s="0">
        <v>81</v>
      </c>
      <c r="BX320" t="s" s="0">
        <v>122</v>
      </c>
    </row>
    <row r="321">
      <c r="A321" t="s" s="0">
        <v>77</v>
      </c>
      <c r="B321" t="s" s="0">
        <v>77</v>
      </c>
      <c r="C321" t="s" s="0">
        <v>77</v>
      </c>
      <c r="D321" t="s" s="0">
        <v>77</v>
      </c>
      <c r="E321" t="s" s="0">
        <v>7240</v>
      </c>
      <c r="F321" t="s" s="0">
        <v>7241</v>
      </c>
      <c r="G321" t="s" s="0">
        <v>7242</v>
      </c>
      <c r="H321" t="s" s="0">
        <v>81</v>
      </c>
      <c r="I321" t="s" s="0">
        <v>82</v>
      </c>
      <c r="J321" t="s" s="0">
        <v>7243</v>
      </c>
      <c r="K321" t="s" s="0">
        <v>7244</v>
      </c>
      <c r="L321" t="s" s="0">
        <v>81</v>
      </c>
      <c r="M321" t="s" s="0">
        <v>81</v>
      </c>
      <c r="N321" t="s" s="0">
        <v>81</v>
      </c>
      <c r="O321" t="s" s="0">
        <v>7245</v>
      </c>
      <c r="P321" t="s" s="0">
        <v>7246</v>
      </c>
      <c r="Q321" t="s" s="0">
        <v>90</v>
      </c>
      <c r="R321" t="s" s="0">
        <v>81</v>
      </c>
      <c r="S321" t="s" s="0">
        <v>81</v>
      </c>
      <c r="T321" t="s" s="0">
        <v>81</v>
      </c>
      <c r="U321" t="s" s="0">
        <v>81</v>
      </c>
      <c r="V321" t="s" s="0">
        <v>7247</v>
      </c>
      <c r="W321" t="s" s="0">
        <v>5099</v>
      </c>
      <c r="X321" t="s" s="0">
        <v>81</v>
      </c>
      <c r="Y321" t="s" s="0">
        <v>81</v>
      </c>
      <c r="Z321" t="s" s="0">
        <v>93</v>
      </c>
      <c r="AA321" t="s" s="0">
        <v>94</v>
      </c>
      <c r="AB321" t="s" s="0">
        <v>81</v>
      </c>
      <c r="AC321" t="s" s="0">
        <v>81</v>
      </c>
      <c r="AD321" t="s" s="0">
        <v>81</v>
      </c>
      <c r="AE321" t="s" s="0">
        <v>81</v>
      </c>
      <c r="AF321" t="s" s="0">
        <v>81</v>
      </c>
      <c r="AG321" t="s" s="0">
        <v>7248</v>
      </c>
      <c r="AH321" t="s" s="0">
        <v>7249</v>
      </c>
      <c r="AI321" t="s" s="0">
        <v>81</v>
      </c>
      <c r="AJ321" t="s" s="0">
        <v>81</v>
      </c>
      <c r="AK321" t="s" s="0">
        <v>81</v>
      </c>
      <c r="AL321" t="s" s="0">
        <v>671</v>
      </c>
      <c r="AM321" t="s" s="0">
        <v>77</v>
      </c>
      <c r="AN321" t="s" s="0">
        <v>77</v>
      </c>
      <c r="AO321" t="s" s="0">
        <v>554</v>
      </c>
      <c r="AP321" t="s" s="0">
        <v>554</v>
      </c>
      <c r="AQ321" t="s" s="0">
        <v>137</v>
      </c>
      <c r="AR321" t="s" s="0">
        <v>138</v>
      </c>
      <c r="AS321" t="s" s="0">
        <v>139</v>
      </c>
      <c r="AT321" t="s" s="0">
        <v>81</v>
      </c>
      <c r="AU321" t="s" s="0">
        <v>5103</v>
      </c>
      <c r="AV321" t="s" s="0">
        <v>81</v>
      </c>
      <c r="AW321" t="s" s="0">
        <v>5104</v>
      </c>
      <c r="AX321" t="s" s="0">
        <v>5105</v>
      </c>
      <c r="AY321" t="s" s="0">
        <v>7250</v>
      </c>
      <c r="AZ321" t="s" s="0">
        <v>144</v>
      </c>
      <c r="BA321" t="s" s="0">
        <v>265</v>
      </c>
      <c r="BB321" t="s" s="0">
        <v>100</v>
      </c>
      <c r="BC321" t="s" s="0">
        <v>81</v>
      </c>
      <c r="BD321" t="s" s="0">
        <v>81</v>
      </c>
      <c r="BE321" t="s" s="0">
        <v>81</v>
      </c>
      <c r="BF321" t="s" s="0">
        <v>81</v>
      </c>
      <c r="BG321" t="s" s="0">
        <v>81</v>
      </c>
      <c r="BH321" t="s" s="0">
        <v>81</v>
      </c>
      <c r="BI321" t="s" s="0">
        <v>7251</v>
      </c>
      <c r="BJ321" t="s" s="0">
        <v>7252</v>
      </c>
      <c r="BK321" t="s" s="637">
        <f>HYPERLINK("http://dx.doi.org/10.3390/app16052300","http://dx.doi.org/10.3390/app16052300")</f>
        <v>7253</v>
      </c>
      <c r="BL321" t="s" s="0">
        <v>81</v>
      </c>
      <c r="BM321" t="s" s="0">
        <v>81</v>
      </c>
      <c r="BN321" t="s" s="0">
        <v>1118</v>
      </c>
      <c r="BO321" t="s" s="0">
        <v>5110</v>
      </c>
      <c r="BP321" t="s" s="0">
        <v>5111</v>
      </c>
      <c r="BQ321" t="s" s="0">
        <v>7254</v>
      </c>
      <c r="BR321" t="s" s="0">
        <v>81</v>
      </c>
      <c r="BS321" t="s" s="0">
        <v>7255</v>
      </c>
      <c r="BT321" t="s" s="638">
        <f>HYPERLINK("https://www.webofscience.com/wos/woscc/full-record/WOS:001714134300001","View Record in Web of Science")</f>
        <v>120</v>
      </c>
      <c r="BU321" t="s" s="0">
        <v>121</v>
      </c>
      <c r="BV321" t="s" s="0">
        <v>81</v>
      </c>
      <c r="BW321" t="s" s="0">
        <v>81</v>
      </c>
      <c r="BX321" t="s" s="0">
        <v>122</v>
      </c>
    </row>
    <row r="322">
      <c r="A322" t="s" s="0">
        <v>77</v>
      </c>
      <c r="B322" t="s" s="0">
        <v>77</v>
      </c>
      <c r="C322" t="s" s="0">
        <v>554</v>
      </c>
      <c r="D322" t="s" s="0">
        <v>77</v>
      </c>
      <c r="E322" t="s" s="0">
        <v>7256</v>
      </c>
      <c r="F322" t="s" s="0">
        <v>7257</v>
      </c>
      <c r="G322" t="s" s="0">
        <v>7258</v>
      </c>
      <c r="H322" t="s" s="0">
        <v>81</v>
      </c>
      <c r="I322" t="s" s="0">
        <v>82</v>
      </c>
      <c r="J322" t="s" s="0">
        <v>7259</v>
      </c>
      <c r="K322" t="s" s="0">
        <v>7260</v>
      </c>
      <c r="L322" t="s" s="0">
        <v>7261</v>
      </c>
      <c r="M322" t="s" s="0">
        <v>7261</v>
      </c>
      <c r="N322" t="s" s="0">
        <v>7262</v>
      </c>
      <c r="O322" t="s" s="0">
        <v>7263</v>
      </c>
      <c r="P322" t="s" s="0">
        <v>7264</v>
      </c>
      <c r="Q322" t="s" s="0">
        <v>90</v>
      </c>
      <c r="R322" t="s" s="0">
        <v>81</v>
      </c>
      <c r="S322" t="s" s="0">
        <v>81</v>
      </c>
      <c r="T322" t="s" s="0">
        <v>81</v>
      </c>
      <c r="U322" t="s" s="0">
        <v>81</v>
      </c>
      <c r="V322" t="s" s="0">
        <v>7265</v>
      </c>
      <c r="W322" t="s" s="0">
        <v>256</v>
      </c>
      <c r="X322" t="s" s="0">
        <v>81</v>
      </c>
      <c r="Y322" t="s" s="0">
        <v>81</v>
      </c>
      <c r="Z322" t="s" s="0">
        <v>93</v>
      </c>
      <c r="AA322" t="s" s="0">
        <v>94</v>
      </c>
      <c r="AB322" t="s" s="0">
        <v>81</v>
      </c>
      <c r="AC322" t="s" s="0">
        <v>81</v>
      </c>
      <c r="AD322" t="s" s="0">
        <v>81</v>
      </c>
      <c r="AE322" t="s" s="0">
        <v>81</v>
      </c>
      <c r="AF322" t="s" s="0">
        <v>81</v>
      </c>
      <c r="AG322" t="s" s="0">
        <v>7266</v>
      </c>
      <c r="AH322" t="s" s="0">
        <v>81</v>
      </c>
      <c r="AI322" t="s" s="0">
        <v>7267</v>
      </c>
      <c r="AJ322" t="s" s="0">
        <v>7268</v>
      </c>
      <c r="AK322" t="s" s="0">
        <v>81</v>
      </c>
      <c r="AL322" t="s" s="0">
        <v>199</v>
      </c>
      <c r="AM322" t="s" s="0">
        <v>352</v>
      </c>
      <c r="AN322" t="s" s="0">
        <v>301</v>
      </c>
      <c r="AO322" t="s" s="0">
        <v>554</v>
      </c>
      <c r="AP322" t="s" s="0">
        <v>1543</v>
      </c>
      <c r="AQ322" t="s" s="0">
        <v>137</v>
      </c>
      <c r="AR322" t="s" s="0">
        <v>138</v>
      </c>
      <c r="AS322" t="s" s="0">
        <v>7269</v>
      </c>
      <c r="AT322" t="s" s="0">
        <v>81</v>
      </c>
      <c r="AU322" t="s" s="0">
        <v>262</v>
      </c>
      <c r="AV322" t="s" s="0">
        <v>81</v>
      </c>
      <c r="AW322" t="s" s="0">
        <v>256</v>
      </c>
      <c r="AX322" t="s" s="0">
        <v>263</v>
      </c>
      <c r="AY322" t="s" s="0">
        <v>901</v>
      </c>
      <c r="AZ322" t="s" s="0">
        <v>592</v>
      </c>
      <c r="BA322" t="s" s="0">
        <v>509</v>
      </c>
      <c r="BB322" t="s" s="0">
        <v>169</v>
      </c>
      <c r="BC322" t="s" s="0">
        <v>81</v>
      </c>
      <c r="BD322" t="s" s="0">
        <v>81</v>
      </c>
      <c r="BE322" t="s" s="0">
        <v>81</v>
      </c>
      <c r="BF322" t="s" s="0">
        <v>81</v>
      </c>
      <c r="BG322" t="s" s="0">
        <v>81</v>
      </c>
      <c r="BH322" t="s" s="0">
        <v>81</v>
      </c>
      <c r="BI322" t="s" s="0">
        <v>2952</v>
      </c>
      <c r="BJ322" t="s" s="0">
        <v>7270</v>
      </c>
      <c r="BK322" t="s" s="639">
        <f>HYPERLINK("http://dx.doi.org/10.3390/diagnostics14010090","http://dx.doi.org/10.3390/diagnostics14010090")</f>
        <v>7271</v>
      </c>
      <c r="BL322" t="s" s="0">
        <v>81</v>
      </c>
      <c r="BM322" t="s" s="0">
        <v>81</v>
      </c>
      <c r="BN322" t="s" s="0">
        <v>115</v>
      </c>
      <c r="BO322" t="s" s="0">
        <v>149</v>
      </c>
      <c r="BP322" t="s" s="0">
        <v>150</v>
      </c>
      <c r="BQ322" t="s" s="0">
        <v>7272</v>
      </c>
      <c r="BR322" t="s" s="0">
        <v>7273</v>
      </c>
      <c r="BS322" t="s" s="0">
        <v>7274</v>
      </c>
      <c r="BT322" t="s" s="640">
        <f>HYPERLINK("https://www.webofscience.com/wos/woscc/full-record/WOS:001139167200001","View Record in Web of Science")</f>
        <v>120</v>
      </c>
      <c r="BU322" t="s" s="0">
        <v>121</v>
      </c>
      <c r="BV322" t="s" s="0">
        <v>81</v>
      </c>
      <c r="BW322" t="s" s="0">
        <v>81</v>
      </c>
      <c r="BX322" t="s" s="0">
        <v>122</v>
      </c>
    </row>
    <row r="323">
      <c r="A323" t="s" s="0">
        <v>77</v>
      </c>
      <c r="B323" t="s" s="0">
        <v>77</v>
      </c>
      <c r="C323" t="s" s="0">
        <v>77</v>
      </c>
      <c r="D323" t="s" s="0">
        <v>77</v>
      </c>
      <c r="E323" t="s" s="0">
        <v>7275</v>
      </c>
      <c r="F323" t="s" s="0">
        <v>7276</v>
      </c>
      <c r="G323" t="s" s="0">
        <v>7277</v>
      </c>
      <c r="H323" t="s" s="0">
        <v>81</v>
      </c>
      <c r="I323" t="s" s="0">
        <v>82</v>
      </c>
      <c r="J323" t="s" s="0">
        <v>7278</v>
      </c>
      <c r="K323" t="s" s="0">
        <v>7279</v>
      </c>
      <c r="L323" t="s" s="0">
        <v>81</v>
      </c>
      <c r="M323" t="s" s="0">
        <v>81</v>
      </c>
      <c r="N323" t="s" s="0">
        <v>81</v>
      </c>
      <c r="O323" t="s" s="0">
        <v>7280</v>
      </c>
      <c r="P323" t="s" s="0">
        <v>7281</v>
      </c>
      <c r="Q323" t="s" s="0">
        <v>90</v>
      </c>
      <c r="R323" t="s" s="0">
        <v>81</v>
      </c>
      <c r="S323" t="s" s="0">
        <v>81</v>
      </c>
      <c r="T323" t="s" s="0">
        <v>81</v>
      </c>
      <c r="U323" t="s" s="0">
        <v>81</v>
      </c>
      <c r="V323" t="s" s="0">
        <v>7282</v>
      </c>
      <c r="W323" t="s" s="0">
        <v>7283</v>
      </c>
      <c r="X323" t="s" s="0">
        <v>81</v>
      </c>
      <c r="Y323" t="s" s="0">
        <v>81</v>
      </c>
      <c r="Z323" t="s" s="0">
        <v>93</v>
      </c>
      <c r="AA323" t="s" s="0">
        <v>94</v>
      </c>
      <c r="AB323" t="s" s="0">
        <v>81</v>
      </c>
      <c r="AC323" t="s" s="0">
        <v>81</v>
      </c>
      <c r="AD323" t="s" s="0">
        <v>81</v>
      </c>
      <c r="AE323" t="s" s="0">
        <v>81</v>
      </c>
      <c r="AF323" t="s" s="0">
        <v>81</v>
      </c>
      <c r="AG323" t="s" s="0">
        <v>7284</v>
      </c>
      <c r="AH323" t="s" s="0">
        <v>7285</v>
      </c>
      <c r="AI323" t="s" s="0">
        <v>7286</v>
      </c>
      <c r="AJ323" t="s" s="0">
        <v>81</v>
      </c>
      <c r="AK323" t="s" s="0">
        <v>81</v>
      </c>
      <c r="AL323" t="s" s="0">
        <v>199</v>
      </c>
      <c r="AM323" t="s" s="0">
        <v>77</v>
      </c>
      <c r="AN323" t="s" s="0">
        <v>77</v>
      </c>
      <c r="AO323" t="s" s="0">
        <v>77</v>
      </c>
      <c r="AP323" t="s" s="0">
        <v>77</v>
      </c>
      <c r="AQ323" t="s" s="0">
        <v>353</v>
      </c>
      <c r="AR323" t="s" s="0">
        <v>354</v>
      </c>
      <c r="AS323" t="s" s="0">
        <v>355</v>
      </c>
      <c r="AT323" t="s" s="0">
        <v>7287</v>
      </c>
      <c r="AU323" t="s" s="0">
        <v>81</v>
      </c>
      <c r="AV323" t="s" s="0">
        <v>81</v>
      </c>
      <c r="AW323" t="s" s="0">
        <v>7288</v>
      </c>
      <c r="AX323" t="s" s="0">
        <v>7289</v>
      </c>
      <c r="AY323" t="s" s="0">
        <v>3149</v>
      </c>
      <c r="AZ323" t="s" s="0">
        <v>144</v>
      </c>
      <c r="BA323" t="s" s="0">
        <v>509</v>
      </c>
      <c r="BB323" t="s" s="0">
        <v>81</v>
      </c>
      <c r="BC323" t="s" s="0">
        <v>81</v>
      </c>
      <c r="BD323" t="s" s="0">
        <v>81</v>
      </c>
      <c r="BE323" t="s" s="0">
        <v>81</v>
      </c>
      <c r="BF323" t="s" s="0">
        <v>81</v>
      </c>
      <c r="BG323" t="s" s="0">
        <v>81</v>
      </c>
      <c r="BH323" t="s" s="0">
        <v>81</v>
      </c>
      <c r="BI323" t="s" s="0">
        <v>7290</v>
      </c>
      <c r="BJ323" t="s" s="0">
        <v>7291</v>
      </c>
      <c r="BK323" t="s" s="641">
        <f>HYPERLINK("http://dx.doi.org/10.3389/fped.2026.1889520","http://dx.doi.org/10.3389/fped.2026.1889520")</f>
        <v>7292</v>
      </c>
      <c r="BL323" t="s" s="0">
        <v>81</v>
      </c>
      <c r="BM323" t="s" s="0">
        <v>143</v>
      </c>
      <c r="BN323" t="s" s="0">
        <v>946</v>
      </c>
      <c r="BO323" t="s" s="0">
        <v>2186</v>
      </c>
      <c r="BP323" t="s" s="0">
        <v>2186</v>
      </c>
      <c r="BQ323" t="s" s="0">
        <v>7293</v>
      </c>
      <c r="BR323" t="s" s="0">
        <v>7294</v>
      </c>
      <c r="BS323" t="s" s="0">
        <v>7295</v>
      </c>
      <c r="BT323" t="s" s="642">
        <f>HYPERLINK("https://www.webofscience.com/wos/woscc/full-record/WOS:001820651200001","View Record in Web of Science")</f>
        <v>120</v>
      </c>
      <c r="BU323" t="s" s="0">
        <v>121</v>
      </c>
      <c r="BV323" t="s" s="0">
        <v>81</v>
      </c>
      <c r="BW323" t="s" s="0">
        <v>81</v>
      </c>
      <c r="BX323" t="s" s="0">
        <v>122</v>
      </c>
    </row>
    <row r="324">
      <c r="A324" t="s" s="0">
        <v>77</v>
      </c>
      <c r="B324" t="s" s="0">
        <v>77</v>
      </c>
      <c r="C324" t="s" s="0">
        <v>77</v>
      </c>
      <c r="D324" t="s" s="0">
        <v>77</v>
      </c>
      <c r="E324" t="s" s="0">
        <v>7296</v>
      </c>
      <c r="F324" t="s" s="0">
        <v>7297</v>
      </c>
      <c r="G324" t="s" s="0">
        <v>7298</v>
      </c>
      <c r="H324" t="s" s="0">
        <v>81</v>
      </c>
      <c r="I324" t="s" s="0">
        <v>82</v>
      </c>
      <c r="J324" t="s" s="0">
        <v>7299</v>
      </c>
      <c r="K324" t="s" s="0">
        <v>7300</v>
      </c>
      <c r="L324" t="s" s="0">
        <v>7301</v>
      </c>
      <c r="M324" t="s" s="0">
        <v>7302</v>
      </c>
      <c r="N324" t="s" s="0">
        <v>7303</v>
      </c>
      <c r="O324" t="s" s="0">
        <v>7304</v>
      </c>
      <c r="P324" t="s" s="0">
        <v>7305</v>
      </c>
      <c r="Q324" t="s" s="0">
        <v>90</v>
      </c>
      <c r="R324" t="s" s="0">
        <v>81</v>
      </c>
      <c r="S324" t="s" s="0">
        <v>81</v>
      </c>
      <c r="T324" t="s" s="0">
        <v>81</v>
      </c>
      <c r="U324" t="s" s="0">
        <v>81</v>
      </c>
      <c r="V324" t="s" s="0">
        <v>7306</v>
      </c>
      <c r="W324" t="s" s="0">
        <v>7307</v>
      </c>
      <c r="X324" t="s" s="0">
        <v>81</v>
      </c>
      <c r="Y324" t="s" s="0">
        <v>81</v>
      </c>
      <c r="Z324" t="s" s="0">
        <v>93</v>
      </c>
      <c r="AA324" t="s" s="0">
        <v>94</v>
      </c>
      <c r="AB324" t="s" s="0">
        <v>81</v>
      </c>
      <c r="AC324" t="s" s="0">
        <v>81</v>
      </c>
      <c r="AD324" t="s" s="0">
        <v>81</v>
      </c>
      <c r="AE324" t="s" s="0">
        <v>81</v>
      </c>
      <c r="AF324" t="s" s="0">
        <v>81</v>
      </c>
      <c r="AG324" t="s" s="0">
        <v>7308</v>
      </c>
      <c r="AH324" t="s" s="0">
        <v>7309</v>
      </c>
      <c r="AI324" t="s" s="0">
        <v>81</v>
      </c>
      <c r="AJ324" t="s" s="0">
        <v>81</v>
      </c>
      <c r="AK324" t="s" s="0">
        <v>81</v>
      </c>
      <c r="AL324" t="s" s="0">
        <v>2744</v>
      </c>
      <c r="AM324" t="s" s="0">
        <v>77</v>
      </c>
      <c r="AN324" t="s" s="0">
        <v>77</v>
      </c>
      <c r="AO324" t="s" s="0">
        <v>77</v>
      </c>
      <c r="AP324" t="s" s="0">
        <v>77</v>
      </c>
      <c r="AQ324" t="s" s="0">
        <v>439</v>
      </c>
      <c r="AR324" t="s" s="0">
        <v>201</v>
      </c>
      <c r="AS324" t="s" s="0">
        <v>440</v>
      </c>
      <c r="AT324" t="s" s="0">
        <v>81</v>
      </c>
      <c r="AU324" t="s" s="0">
        <v>7310</v>
      </c>
      <c r="AV324" t="s" s="0">
        <v>81</v>
      </c>
      <c r="AW324" t="s" s="0">
        <v>7311</v>
      </c>
      <c r="AX324" t="s" s="0">
        <v>7312</v>
      </c>
      <c r="AY324" t="s" s="0">
        <v>3998</v>
      </c>
      <c r="AZ324" t="s" s="0">
        <v>144</v>
      </c>
      <c r="BA324" t="s" s="0">
        <v>111</v>
      </c>
      <c r="BB324" t="s" s="0">
        <v>169</v>
      </c>
      <c r="BC324" t="s" s="0">
        <v>81</v>
      </c>
      <c r="BD324" t="s" s="0">
        <v>81</v>
      </c>
      <c r="BE324" t="s" s="0">
        <v>81</v>
      </c>
      <c r="BF324" t="s" s="0">
        <v>81</v>
      </c>
      <c r="BG324" t="s" s="0">
        <v>81</v>
      </c>
      <c r="BH324" t="s" s="0">
        <v>81</v>
      </c>
      <c r="BI324" t="s" s="0">
        <v>4518</v>
      </c>
      <c r="BJ324" t="s" s="0">
        <v>7313</v>
      </c>
      <c r="BK324" t="s" s="643">
        <f>HYPERLINK("http://dx.doi.org/10.1186/s12882-026-05048-z","http://dx.doi.org/10.1186/s12882-026-05048-z")</f>
        <v>7314</v>
      </c>
      <c r="BL324" t="s" s="0">
        <v>81</v>
      </c>
      <c r="BM324" t="s" s="0">
        <v>81</v>
      </c>
      <c r="BN324" t="s" s="0">
        <v>360</v>
      </c>
      <c r="BO324" t="s" s="0">
        <v>6228</v>
      </c>
      <c r="BP324" t="s" s="0">
        <v>6228</v>
      </c>
      <c r="BQ324" t="s" s="0">
        <v>7315</v>
      </c>
      <c r="BR324" t="s" s="0">
        <v>7316</v>
      </c>
      <c r="BS324" t="s" s="0">
        <v>7317</v>
      </c>
      <c r="BT324" t="s" s="644">
        <f>HYPERLINK("https://www.webofscience.com/wos/woscc/full-record/WOS:001827179800004","View Record in Web of Science")</f>
        <v>120</v>
      </c>
      <c r="BU324" t="s" s="0">
        <v>121</v>
      </c>
      <c r="BV324" t="s" s="0">
        <v>81</v>
      </c>
      <c r="BW324" t="s" s="0">
        <v>81</v>
      </c>
      <c r="BX324" t="s" s="0">
        <v>122</v>
      </c>
    </row>
    <row r="325">
      <c r="A325" t="s" s="0">
        <v>77</v>
      </c>
      <c r="B325" t="s" s="0">
        <v>77</v>
      </c>
      <c r="C325" t="s" s="0">
        <v>77</v>
      </c>
      <c r="D325" t="s" s="0">
        <v>77</v>
      </c>
      <c r="E325" t="s" s="0">
        <v>7318</v>
      </c>
      <c r="F325" t="s" s="0">
        <v>7319</v>
      </c>
      <c r="G325" t="s" s="0">
        <v>7320</v>
      </c>
      <c r="H325" t="s" s="0">
        <v>81</v>
      </c>
      <c r="I325" t="s" s="0">
        <v>218</v>
      </c>
      <c r="J325" t="s" s="0">
        <v>7321</v>
      </c>
      <c r="K325" t="s" s="0">
        <v>7322</v>
      </c>
      <c r="L325" t="s" s="0">
        <v>81</v>
      </c>
      <c r="M325" t="s" s="0">
        <v>81</v>
      </c>
      <c r="N325" t="s" s="0">
        <v>81</v>
      </c>
      <c r="O325" t="s" s="0">
        <v>7323</v>
      </c>
      <c r="P325" t="s" s="0">
        <v>7324</v>
      </c>
      <c r="Q325" t="s" s="0">
        <v>90</v>
      </c>
      <c r="R325" t="s" s="0">
        <v>81</v>
      </c>
      <c r="S325" t="s" s="0">
        <v>81</v>
      </c>
      <c r="T325" t="s" s="0">
        <v>81</v>
      </c>
      <c r="U325" t="s" s="0">
        <v>81</v>
      </c>
      <c r="V325" t="s" s="0">
        <v>7325</v>
      </c>
      <c r="W325" t="s" s="0">
        <v>7326</v>
      </c>
      <c r="X325" t="s" s="0">
        <v>81</v>
      </c>
      <c r="Y325" t="s" s="0">
        <v>81</v>
      </c>
      <c r="Z325" t="s" s="0">
        <v>93</v>
      </c>
      <c r="AA325" t="s" s="0">
        <v>94</v>
      </c>
      <c r="AB325" t="s" s="0">
        <v>81</v>
      </c>
      <c r="AC325" t="s" s="0">
        <v>81</v>
      </c>
      <c r="AD325" t="s" s="0">
        <v>81</v>
      </c>
      <c r="AE325" t="s" s="0">
        <v>81</v>
      </c>
      <c r="AF325" t="s" s="0">
        <v>81</v>
      </c>
      <c r="AG325" t="s" s="0">
        <v>7327</v>
      </c>
      <c r="AH325" t="s" s="0">
        <v>81</v>
      </c>
      <c r="AI325" t="s" s="0">
        <v>7328</v>
      </c>
      <c r="AJ325" t="s" s="0">
        <v>81</v>
      </c>
      <c r="AK325" t="s" s="0">
        <v>81</v>
      </c>
      <c r="AL325" t="s" s="0">
        <v>1543</v>
      </c>
      <c r="AM325" t="s" s="0">
        <v>169</v>
      </c>
      <c r="AN325" t="s" s="0">
        <v>169</v>
      </c>
      <c r="AO325" t="s" s="0">
        <v>386</v>
      </c>
      <c r="AP325" t="s" s="0">
        <v>210</v>
      </c>
      <c r="AQ325" t="s" s="0">
        <v>7329</v>
      </c>
      <c r="AR325" t="s" s="0">
        <v>7330</v>
      </c>
      <c r="AS325" t="s" s="0">
        <v>7331</v>
      </c>
      <c r="AT325" t="s" s="0">
        <v>7332</v>
      </c>
      <c r="AU325" t="s" s="0">
        <v>7333</v>
      </c>
      <c r="AV325" t="s" s="0">
        <v>81</v>
      </c>
      <c r="AW325" t="s" s="0">
        <v>7334</v>
      </c>
      <c r="AX325" t="s" s="0">
        <v>7335</v>
      </c>
      <c r="AY325" t="s" s="0">
        <v>666</v>
      </c>
      <c r="AZ325" t="s" s="0">
        <v>110</v>
      </c>
      <c r="BA325" t="s" s="0">
        <v>265</v>
      </c>
      <c r="BB325" t="s" s="0">
        <v>101</v>
      </c>
      <c r="BC325" t="s" s="0">
        <v>81</v>
      </c>
      <c r="BD325" t="s" s="0">
        <v>81</v>
      </c>
      <c r="BE325" t="s" s="0">
        <v>81</v>
      </c>
      <c r="BF325" t="s" s="0">
        <v>81</v>
      </c>
      <c r="BG325" t="s" s="0">
        <v>81</v>
      </c>
      <c r="BH325" t="s" s="0">
        <v>81</v>
      </c>
      <c r="BI325" t="s" s="0">
        <v>7336</v>
      </c>
      <c r="BJ325" t="s" s="0">
        <v>7337</v>
      </c>
      <c r="BK325" t="s" s="645">
        <f>HYPERLINK("http://dx.doi.org/10.12680/balneo.2025.847","http://dx.doi.org/10.12680/balneo.2025.847")</f>
        <v>7338</v>
      </c>
      <c r="BL325" t="s" s="0">
        <v>81</v>
      </c>
      <c r="BM325" t="s" s="0">
        <v>81</v>
      </c>
      <c r="BN325" t="s" s="0">
        <v>509</v>
      </c>
      <c r="BO325" t="s" s="0">
        <v>7339</v>
      </c>
      <c r="BP325" t="s" s="0">
        <v>7339</v>
      </c>
      <c r="BQ325" t="s" s="0">
        <v>7340</v>
      </c>
      <c r="BR325" t="s" s="0">
        <v>81</v>
      </c>
      <c r="BS325" t="s" s="0">
        <v>7341</v>
      </c>
      <c r="BT325" t="s" s="646">
        <f>HYPERLINK("https://www.webofscience.com/wos/woscc/full-record/WOS:001650689400035","View Record in Web of Science")</f>
        <v>120</v>
      </c>
      <c r="BU325" t="s" s="0">
        <v>121</v>
      </c>
      <c r="BV325" t="s" s="0">
        <v>81</v>
      </c>
      <c r="BW325" t="s" s="0">
        <v>81</v>
      </c>
      <c r="BX325" t="s" s="0">
        <v>122</v>
      </c>
    </row>
    <row r="326">
      <c r="A326" t="s" s="0">
        <v>77</v>
      </c>
      <c r="B326" t="s" s="0">
        <v>77</v>
      </c>
      <c r="C326" t="s" s="0">
        <v>77</v>
      </c>
      <c r="D326" t="s" s="0">
        <v>77</v>
      </c>
      <c r="E326" t="s" s="0">
        <v>7342</v>
      </c>
      <c r="F326" t="s" s="0">
        <v>7343</v>
      </c>
      <c r="G326" t="s" s="0">
        <v>7344</v>
      </c>
      <c r="H326" t="s" s="0">
        <v>81</v>
      </c>
      <c r="I326" t="s" s="0">
        <v>82</v>
      </c>
      <c r="J326" t="s" s="0">
        <v>7345</v>
      </c>
      <c r="K326" t="s" s="0">
        <v>7346</v>
      </c>
      <c r="L326" t="s" s="0">
        <v>81</v>
      </c>
      <c r="M326" t="s" s="0">
        <v>81</v>
      </c>
      <c r="N326" t="s" s="0">
        <v>81</v>
      </c>
      <c r="O326" t="s" s="0">
        <v>7347</v>
      </c>
      <c r="P326" t="s" s="0">
        <v>7348</v>
      </c>
      <c r="Q326" t="s" s="0">
        <v>90</v>
      </c>
      <c r="R326" t="s" s="0">
        <v>81</v>
      </c>
      <c r="S326" t="s" s="0">
        <v>81</v>
      </c>
      <c r="T326" t="s" s="0">
        <v>81</v>
      </c>
      <c r="U326" t="s" s="0">
        <v>81</v>
      </c>
      <c r="V326" t="s" s="0">
        <v>7349</v>
      </c>
      <c r="W326" t="s" s="0">
        <v>7350</v>
      </c>
      <c r="X326" t="s" s="0">
        <v>81</v>
      </c>
      <c r="Y326" t="s" s="0">
        <v>81</v>
      </c>
      <c r="Z326" t="s" s="0">
        <v>93</v>
      </c>
      <c r="AA326" t="s" s="0">
        <v>196</v>
      </c>
      <c r="AB326" t="s" s="0">
        <v>81</v>
      </c>
      <c r="AC326" t="s" s="0">
        <v>81</v>
      </c>
      <c r="AD326" t="s" s="0">
        <v>81</v>
      </c>
      <c r="AE326" t="s" s="0">
        <v>81</v>
      </c>
      <c r="AF326" t="s" s="0">
        <v>81</v>
      </c>
      <c r="AG326" t="s" s="0">
        <v>7351</v>
      </c>
      <c r="AH326" t="s" s="0">
        <v>7352</v>
      </c>
      <c r="AI326" t="s" s="0">
        <v>7353</v>
      </c>
      <c r="AJ326" t="s" s="0">
        <v>81</v>
      </c>
      <c r="AK326" t="s" s="0">
        <v>81</v>
      </c>
      <c r="AL326" t="s" s="0">
        <v>671</v>
      </c>
      <c r="AM326" t="s" s="0">
        <v>77</v>
      </c>
      <c r="AN326" t="s" s="0">
        <v>77</v>
      </c>
      <c r="AO326" t="s" s="0">
        <v>169</v>
      </c>
      <c r="AP326" t="s" s="0">
        <v>169</v>
      </c>
      <c r="AQ326" t="s" s="0">
        <v>1544</v>
      </c>
      <c r="AR326" t="s" s="0">
        <v>1545</v>
      </c>
      <c r="AS326" t="s" s="0">
        <v>1546</v>
      </c>
      <c r="AT326" t="s" s="0">
        <v>7354</v>
      </c>
      <c r="AU326" t="s" s="0">
        <v>7355</v>
      </c>
      <c r="AV326" t="s" s="0">
        <v>81</v>
      </c>
      <c r="AW326" t="s" s="0">
        <v>7356</v>
      </c>
      <c r="AX326" t="s" s="0">
        <v>7357</v>
      </c>
      <c r="AY326" t="s" s="0">
        <v>81</v>
      </c>
      <c r="AZ326" t="s" s="0">
        <v>144</v>
      </c>
      <c r="BA326" t="s" s="0">
        <v>81</v>
      </c>
      <c r="BB326" t="s" s="0">
        <v>81</v>
      </c>
      <c r="BC326" t="s" s="0">
        <v>81</v>
      </c>
      <c r="BD326" t="s" s="0">
        <v>81</v>
      </c>
      <c r="BE326" t="s" s="0">
        <v>81</v>
      </c>
      <c r="BF326" t="s" s="0">
        <v>81</v>
      </c>
      <c r="BG326" t="s" s="0">
        <v>81</v>
      </c>
      <c r="BH326" t="s" s="0">
        <v>81</v>
      </c>
      <c r="BI326" t="s" s="0">
        <v>81</v>
      </c>
      <c r="BJ326" t="s" s="0">
        <v>7358</v>
      </c>
      <c r="BK326" t="s" s="647">
        <f>HYPERLINK("http://dx.doi.org/10.1111/jcpe.70160","http://dx.doi.org/10.1111/jcpe.70160")</f>
        <v>7359</v>
      </c>
      <c r="BL326" t="s" s="0">
        <v>81</v>
      </c>
      <c r="BM326" t="s" s="0">
        <v>143</v>
      </c>
      <c r="BN326" t="s" s="0">
        <v>320</v>
      </c>
      <c r="BO326" t="s" s="0">
        <v>1934</v>
      </c>
      <c r="BP326" t="s" s="0">
        <v>1934</v>
      </c>
      <c r="BQ326" t="s" s="0">
        <v>7360</v>
      </c>
      <c r="BR326" t="s" s="0">
        <v>7361</v>
      </c>
      <c r="BS326" t="s" s="0">
        <v>7362</v>
      </c>
      <c r="BT326" t="s" s="648">
        <f>HYPERLINK("https://www.webofscience.com/wos/woscc/full-record/WOS:001811948800001","View Record in Web of Science")</f>
        <v>120</v>
      </c>
      <c r="BU326" t="s" s="0">
        <v>306</v>
      </c>
      <c r="BV326" t="s" s="0">
        <v>81</v>
      </c>
      <c r="BW326" t="s" s="0">
        <v>81</v>
      </c>
      <c r="BX326" t="s" s="0">
        <v>122</v>
      </c>
    </row>
    <row r="327">
      <c r="A327" t="s" s="0">
        <v>77</v>
      </c>
      <c r="B327" t="s" s="0">
        <v>77</v>
      </c>
      <c r="C327" t="s" s="0">
        <v>77</v>
      </c>
      <c r="D327" t="s" s="0">
        <v>77</v>
      </c>
      <c r="E327" t="s" s="0">
        <v>7363</v>
      </c>
      <c r="F327" t="s" s="0">
        <v>7364</v>
      </c>
      <c r="G327" t="s" s="0">
        <v>7365</v>
      </c>
      <c r="H327" t="s" s="0">
        <v>81</v>
      </c>
      <c r="I327" t="s" s="0">
        <v>218</v>
      </c>
      <c r="J327" t="s" s="0">
        <v>7366</v>
      </c>
      <c r="K327" t="s" s="0">
        <v>7367</v>
      </c>
      <c r="L327" t="s" s="0">
        <v>81</v>
      </c>
      <c r="M327" t="s" s="0">
        <v>81</v>
      </c>
      <c r="N327" t="s" s="0">
        <v>81</v>
      </c>
      <c r="O327" t="s" s="0">
        <v>7368</v>
      </c>
      <c r="P327" t="s" s="0">
        <v>7369</v>
      </c>
      <c r="Q327" t="s" s="0">
        <v>90</v>
      </c>
      <c r="R327" t="s" s="0">
        <v>81</v>
      </c>
      <c r="S327" t="s" s="0">
        <v>81</v>
      </c>
      <c r="T327" t="s" s="0">
        <v>81</v>
      </c>
      <c r="U327" t="s" s="0">
        <v>81</v>
      </c>
      <c r="V327" t="s" s="0">
        <v>7370</v>
      </c>
      <c r="W327" t="s" s="0">
        <v>7371</v>
      </c>
      <c r="X327" t="s" s="0">
        <v>81</v>
      </c>
      <c r="Y327" t="s" s="0">
        <v>81</v>
      </c>
      <c r="Z327" t="s" s="0">
        <v>93</v>
      </c>
      <c r="AA327" t="s" s="0">
        <v>94</v>
      </c>
      <c r="AB327" t="s" s="0">
        <v>81</v>
      </c>
      <c r="AC327" t="s" s="0">
        <v>81</v>
      </c>
      <c r="AD327" t="s" s="0">
        <v>81</v>
      </c>
      <c r="AE327" t="s" s="0">
        <v>81</v>
      </c>
      <c r="AF327" t="s" s="0">
        <v>81</v>
      </c>
      <c r="AG327" t="s" s="0">
        <v>7372</v>
      </c>
      <c r="AH327" t="s" s="0">
        <v>7373</v>
      </c>
      <c r="AI327" t="s" s="0">
        <v>81</v>
      </c>
      <c r="AJ327" t="s" s="0">
        <v>81</v>
      </c>
      <c r="AK327" t="s" s="0">
        <v>81</v>
      </c>
      <c r="AL327" t="s" s="0">
        <v>111</v>
      </c>
      <c r="AM327" t="s" s="0">
        <v>115</v>
      </c>
      <c r="AN327" t="s" s="0">
        <v>115</v>
      </c>
      <c r="AO327" t="s" s="0">
        <v>77</v>
      </c>
      <c r="AP327" t="s" s="0">
        <v>77</v>
      </c>
      <c r="AQ327" t="s" s="0">
        <v>288</v>
      </c>
      <c r="AR327" t="s" s="0">
        <v>289</v>
      </c>
      <c r="AS327" t="s" s="0">
        <v>290</v>
      </c>
      <c r="AT327" t="s" s="0">
        <v>81</v>
      </c>
      <c r="AU327" t="s" s="0">
        <v>7374</v>
      </c>
      <c r="AV327" t="s" s="0">
        <v>81</v>
      </c>
      <c r="AW327" t="s" s="0">
        <v>7375</v>
      </c>
      <c r="AX327" t="s" s="0">
        <v>7376</v>
      </c>
      <c r="AY327" t="s" s="0">
        <v>592</v>
      </c>
      <c r="AZ327" t="s" s="0">
        <v>592</v>
      </c>
      <c r="BA327" t="s" s="0">
        <v>554</v>
      </c>
      <c r="BB327" t="s" s="0">
        <v>81</v>
      </c>
      <c r="BC327" t="s" s="0">
        <v>81</v>
      </c>
      <c r="BD327" t="s" s="0">
        <v>81</v>
      </c>
      <c r="BE327" t="s" s="0">
        <v>81</v>
      </c>
      <c r="BF327" t="s" s="0">
        <v>81</v>
      </c>
      <c r="BG327" t="s" s="0">
        <v>81</v>
      </c>
      <c r="BH327" t="s" s="0">
        <v>81</v>
      </c>
      <c r="BI327" t="s" s="0">
        <v>7377</v>
      </c>
      <c r="BJ327" t="s" s="0">
        <v>7378</v>
      </c>
      <c r="BK327" t="s" s="649">
        <f>HYPERLINK("http://dx.doi.org/10.1016/j.jvsvi.2023.100049","http://dx.doi.org/10.1016/j.jvsvi.2023.100049")</f>
        <v>7379</v>
      </c>
      <c r="BL327" t="s" s="0">
        <v>81</v>
      </c>
      <c r="BM327" t="s" s="0">
        <v>81</v>
      </c>
      <c r="BN327" t="s" s="0">
        <v>328</v>
      </c>
      <c r="BO327" t="s" s="0">
        <v>7380</v>
      </c>
      <c r="BP327" t="s" s="0">
        <v>7381</v>
      </c>
      <c r="BQ327" t="s" s="0">
        <v>7382</v>
      </c>
      <c r="BR327" t="s" s="0">
        <v>81</v>
      </c>
      <c r="BS327" t="s" s="0">
        <v>7383</v>
      </c>
      <c r="BT327" t="s" s="650">
        <f>HYPERLINK("https://www.webofscience.com/wos/woscc/full-record/WOS:001813628000036","View Record in Web of Science")</f>
        <v>120</v>
      </c>
      <c r="BU327" t="s" s="0">
        <v>1216</v>
      </c>
      <c r="BV327" t="s" s="0">
        <v>81</v>
      </c>
      <c r="BW327" t="s" s="0">
        <v>81</v>
      </c>
      <c r="BX327" t="s" s="0">
        <v>122</v>
      </c>
    </row>
    <row r="328">
      <c r="A328" t="s" s="0">
        <v>77</v>
      </c>
      <c r="B328" t="s" s="0">
        <v>77</v>
      </c>
      <c r="C328" t="s" s="0">
        <v>77</v>
      </c>
      <c r="D328" t="s" s="0">
        <v>77</v>
      </c>
      <c r="E328" t="s" s="0">
        <v>7384</v>
      </c>
      <c r="F328" t="s" s="0">
        <v>7385</v>
      </c>
      <c r="G328" t="s" s="0">
        <v>7386</v>
      </c>
      <c r="H328" t="s" s="0">
        <v>81</v>
      </c>
      <c r="I328" t="s" s="0">
        <v>82</v>
      </c>
      <c r="J328" t="s" s="0">
        <v>7387</v>
      </c>
      <c r="K328" t="s" s="0">
        <v>7388</v>
      </c>
      <c r="L328" t="s" s="0">
        <v>7389</v>
      </c>
      <c r="M328" t="s" s="0">
        <v>7390</v>
      </c>
      <c r="N328" t="s" s="0">
        <v>4870</v>
      </c>
      <c r="O328" t="s" s="0">
        <v>7391</v>
      </c>
      <c r="P328" t="s" s="0">
        <v>7389</v>
      </c>
      <c r="Q328" t="s" s="0">
        <v>90</v>
      </c>
      <c r="R328" t="s" s="0">
        <v>81</v>
      </c>
      <c r="S328" t="s" s="0">
        <v>81</v>
      </c>
      <c r="T328" t="s" s="0">
        <v>81</v>
      </c>
      <c r="U328" t="s" s="0">
        <v>81</v>
      </c>
      <c r="V328" t="s" s="0">
        <v>7392</v>
      </c>
      <c r="W328" t="s" s="0">
        <v>1466</v>
      </c>
      <c r="X328" t="s" s="0">
        <v>81</v>
      </c>
      <c r="Y328" t="s" s="0">
        <v>81</v>
      </c>
      <c r="Z328" t="s" s="0">
        <v>93</v>
      </c>
      <c r="AA328" t="s" s="0">
        <v>196</v>
      </c>
      <c r="AB328" t="s" s="0">
        <v>81</v>
      </c>
      <c r="AC328" t="s" s="0">
        <v>81</v>
      </c>
      <c r="AD328" t="s" s="0">
        <v>81</v>
      </c>
      <c r="AE328" t="s" s="0">
        <v>81</v>
      </c>
      <c r="AF328" t="s" s="0">
        <v>81</v>
      </c>
      <c r="AG328" t="s" s="0">
        <v>7393</v>
      </c>
      <c r="AH328" t="s" s="0">
        <v>81</v>
      </c>
      <c r="AI328" t="s" s="0">
        <v>7394</v>
      </c>
      <c r="AJ328" t="s" s="0">
        <v>81</v>
      </c>
      <c r="AK328" t="s" s="0">
        <v>81</v>
      </c>
      <c r="AL328" t="s" s="0">
        <v>445</v>
      </c>
      <c r="AM328" t="s" s="0">
        <v>77</v>
      </c>
      <c r="AN328" t="s" s="0">
        <v>77</v>
      </c>
      <c r="AO328" t="s" s="0">
        <v>77</v>
      </c>
      <c r="AP328" t="s" s="0">
        <v>77</v>
      </c>
      <c r="AQ328" t="s" s="0">
        <v>499</v>
      </c>
      <c r="AR328" t="s" s="0">
        <v>500</v>
      </c>
      <c r="AS328" t="s" s="0">
        <v>501</v>
      </c>
      <c r="AT328" t="s" s="0">
        <v>1469</v>
      </c>
      <c r="AU328" t="s" s="0">
        <v>1470</v>
      </c>
      <c r="AV328" t="s" s="0">
        <v>81</v>
      </c>
      <c r="AW328" t="s" s="0">
        <v>1471</v>
      </c>
      <c r="AX328" t="s" s="0">
        <v>1472</v>
      </c>
      <c r="AY328" t="s" s="0">
        <v>81</v>
      </c>
      <c r="AZ328" t="s" s="0">
        <v>144</v>
      </c>
      <c r="BA328" t="s" s="0">
        <v>81</v>
      </c>
      <c r="BB328" t="s" s="0">
        <v>81</v>
      </c>
      <c r="BC328" t="s" s="0">
        <v>81</v>
      </c>
      <c r="BD328" t="s" s="0">
        <v>81</v>
      </c>
      <c r="BE328" t="s" s="0">
        <v>81</v>
      </c>
      <c r="BF328" t="s" s="0">
        <v>81</v>
      </c>
      <c r="BG328" t="s" s="0">
        <v>81</v>
      </c>
      <c r="BH328" t="s" s="0">
        <v>81</v>
      </c>
      <c r="BI328" t="s" s="0">
        <v>81</v>
      </c>
      <c r="BJ328" t="s" s="0">
        <v>7395</v>
      </c>
      <c r="BK328" t="s" s="651">
        <f>HYPERLINK("http://dx.doi.org/10.1007/s00405-026-10264-2","http://dx.doi.org/10.1007/s00405-026-10264-2")</f>
        <v>7396</v>
      </c>
      <c r="BL328" t="s" s="0">
        <v>81</v>
      </c>
      <c r="BM328" t="s" s="0">
        <v>209</v>
      </c>
      <c r="BN328" t="s" s="0">
        <v>328</v>
      </c>
      <c r="BO328" t="s" s="0">
        <v>1478</v>
      </c>
      <c r="BP328" t="s" s="0">
        <v>1478</v>
      </c>
      <c r="BQ328" t="s" s="0">
        <v>7397</v>
      </c>
      <c r="BR328" t="s" s="0">
        <v>7398</v>
      </c>
      <c r="BS328" t="s" s="0">
        <v>7399</v>
      </c>
      <c r="BT328" t="s" s="652">
        <f>HYPERLINK("https://www.webofscience.com/wos/woscc/full-record/WOS:001752606800001","View Record in Web of Science")</f>
        <v>120</v>
      </c>
      <c r="BU328" t="s" s="0">
        <v>306</v>
      </c>
      <c r="BV328" t="s" s="0">
        <v>81</v>
      </c>
      <c r="BW328" t="s" s="0">
        <v>81</v>
      </c>
      <c r="BX328" t="s" s="0">
        <v>122</v>
      </c>
    </row>
    <row r="329">
      <c r="A329" t="s" s="0">
        <v>77</v>
      </c>
      <c r="B329" t="s" s="0">
        <v>77</v>
      </c>
      <c r="C329" t="s" s="0">
        <v>77</v>
      </c>
      <c r="D329" t="s" s="0">
        <v>77</v>
      </c>
      <c r="E329" t="s" s="0">
        <v>7400</v>
      </c>
      <c r="F329" t="s" s="0">
        <v>7401</v>
      </c>
      <c r="G329" t="s" s="0">
        <v>7402</v>
      </c>
      <c r="H329" t="s" s="0">
        <v>81</v>
      </c>
      <c r="I329" t="s" s="0">
        <v>218</v>
      </c>
      <c r="J329" t="s" s="0">
        <v>7403</v>
      </c>
      <c r="K329" t="s" s="0">
        <v>7404</v>
      </c>
      <c r="L329" t="s" s="0">
        <v>81</v>
      </c>
      <c r="M329" t="s" s="0">
        <v>81</v>
      </c>
      <c r="N329" t="s" s="0">
        <v>7405</v>
      </c>
      <c r="O329" t="s" s="0">
        <v>7406</v>
      </c>
      <c r="P329" t="s" s="0">
        <v>7407</v>
      </c>
      <c r="Q329" t="s" s="0">
        <v>90</v>
      </c>
      <c r="R329" t="s" s="0">
        <v>81</v>
      </c>
      <c r="S329" t="s" s="0">
        <v>81</v>
      </c>
      <c r="T329" t="s" s="0">
        <v>81</v>
      </c>
      <c r="U329" t="s" s="0">
        <v>81</v>
      </c>
      <c r="V329" t="s" s="0">
        <v>7408</v>
      </c>
      <c r="W329" t="s" s="0">
        <v>3742</v>
      </c>
      <c r="X329" t="s" s="0">
        <v>81</v>
      </c>
      <c r="Y329" t="s" s="0">
        <v>81</v>
      </c>
      <c r="Z329" t="s" s="0">
        <v>93</v>
      </c>
      <c r="AA329" t="s" s="0">
        <v>94</v>
      </c>
      <c r="AB329" t="s" s="0">
        <v>81</v>
      </c>
      <c r="AC329" t="s" s="0">
        <v>81</v>
      </c>
      <c r="AD329" t="s" s="0">
        <v>81</v>
      </c>
      <c r="AE329" t="s" s="0">
        <v>81</v>
      </c>
      <c r="AF329" t="s" s="0">
        <v>81</v>
      </c>
      <c r="AG329" t="s" s="0">
        <v>7409</v>
      </c>
      <c r="AH329" t="s" s="0">
        <v>81</v>
      </c>
      <c r="AI329" t="s" s="0">
        <v>7410</v>
      </c>
      <c r="AJ329" t="s" s="0">
        <v>7411</v>
      </c>
      <c r="AK329" t="s" s="0">
        <v>81</v>
      </c>
      <c r="AL329" t="s" s="0">
        <v>445</v>
      </c>
      <c r="AM329" t="s" s="0">
        <v>100</v>
      </c>
      <c r="AN329" t="s" s="0">
        <v>100</v>
      </c>
      <c r="AO329" t="s" s="0">
        <v>169</v>
      </c>
      <c r="AP329" t="s" s="0">
        <v>319</v>
      </c>
      <c r="AQ329" t="s" s="0">
        <v>6729</v>
      </c>
      <c r="AR329" t="s" s="0">
        <v>322</v>
      </c>
      <c r="AS329" t="s" s="0">
        <v>6730</v>
      </c>
      <c r="AT329" t="s" s="0">
        <v>7412</v>
      </c>
      <c r="AU329" t="s" s="0">
        <v>7413</v>
      </c>
      <c r="AV329" t="s" s="0">
        <v>81</v>
      </c>
      <c r="AW329" t="s" s="0">
        <v>3742</v>
      </c>
      <c r="AX329" t="s" s="0">
        <v>7414</v>
      </c>
      <c r="AY329" t="s" s="0">
        <v>7415</v>
      </c>
      <c r="AZ329" t="s" s="0">
        <v>592</v>
      </c>
      <c r="BA329" t="s" s="0">
        <v>320</v>
      </c>
      <c r="BB329" t="s" s="0">
        <v>99</v>
      </c>
      <c r="BC329" t="s" s="0">
        <v>81</v>
      </c>
      <c r="BD329" t="s" s="0">
        <v>81</v>
      </c>
      <c r="BE329" t="s" s="0">
        <v>81</v>
      </c>
      <c r="BF329" t="s" s="0">
        <v>81</v>
      </c>
      <c r="BG329" t="s" s="0">
        <v>7416</v>
      </c>
      <c r="BH329" t="s" s="0">
        <v>7417</v>
      </c>
      <c r="BI329" t="s" s="0">
        <v>81</v>
      </c>
      <c r="BJ329" t="s" s="0">
        <v>7418</v>
      </c>
      <c r="BK329" t="s" s="653">
        <f>HYPERLINK("http://dx.doi.org/10.1515/dx-2024-0095","http://dx.doi.org/10.1515/dx-2024-0095")</f>
        <v>7419</v>
      </c>
      <c r="BL329" t="s" s="0">
        <v>81</v>
      </c>
      <c r="BM329" t="s" s="0">
        <v>7420</v>
      </c>
      <c r="BN329" t="s" s="0">
        <v>99</v>
      </c>
      <c r="BO329" t="s" s="0">
        <v>149</v>
      </c>
      <c r="BP329" t="s" s="0">
        <v>150</v>
      </c>
      <c r="BQ329" t="s" s="0">
        <v>7421</v>
      </c>
      <c r="BR329" t="s" s="0">
        <v>7422</v>
      </c>
      <c r="BS329" t="s" s="0">
        <v>7423</v>
      </c>
      <c r="BT329" t="s" s="654">
        <f>HYPERLINK("https://www.webofscience.com/wos/woscc/full-record/WOS:001268771800001","View Record in Web of Science")</f>
        <v>120</v>
      </c>
      <c r="BU329" t="s" s="0">
        <v>81</v>
      </c>
      <c r="BV329" t="s" s="0">
        <v>81</v>
      </c>
      <c r="BW329" t="s" s="0">
        <v>81</v>
      </c>
      <c r="BX329" t="s" s="0">
        <v>122</v>
      </c>
    </row>
    <row r="330">
      <c r="A330" t="s" s="0">
        <v>77</v>
      </c>
      <c r="B330" t="s" s="0">
        <v>77</v>
      </c>
      <c r="C330" t="s" s="0">
        <v>77</v>
      </c>
      <c r="D330" t="s" s="0">
        <v>77</v>
      </c>
      <c r="E330" t="s" s="0">
        <v>7424</v>
      </c>
      <c r="F330" t="s" s="0">
        <v>7425</v>
      </c>
      <c r="G330" t="s" s="0">
        <v>7426</v>
      </c>
      <c r="H330" t="s" s="0">
        <v>81</v>
      </c>
      <c r="I330" t="s" s="0">
        <v>218</v>
      </c>
      <c r="J330" t="s" s="0">
        <v>7427</v>
      </c>
      <c r="K330" t="s" s="0">
        <v>7428</v>
      </c>
      <c r="L330" t="s" s="0">
        <v>7429</v>
      </c>
      <c r="M330" t="s" s="0">
        <v>7430</v>
      </c>
      <c r="N330" t="s" s="0">
        <v>7431</v>
      </c>
      <c r="O330" t="s" s="0">
        <v>7432</v>
      </c>
      <c r="P330" t="s" s="0">
        <v>7433</v>
      </c>
      <c r="Q330" t="s" s="0">
        <v>90</v>
      </c>
      <c r="R330" t="s" s="0">
        <v>81</v>
      </c>
      <c r="S330" t="s" s="0">
        <v>81</v>
      </c>
      <c r="T330" t="s" s="0">
        <v>81</v>
      </c>
      <c r="U330" t="s" s="0">
        <v>81</v>
      </c>
      <c r="V330" t="s" s="0">
        <v>7434</v>
      </c>
      <c r="W330" t="s" s="0">
        <v>1818</v>
      </c>
      <c r="X330" t="s" s="0">
        <v>81</v>
      </c>
      <c r="Y330" t="s" s="0">
        <v>81</v>
      </c>
      <c r="Z330" t="s" s="0">
        <v>93</v>
      </c>
      <c r="AA330" t="s" s="0">
        <v>94</v>
      </c>
      <c r="AB330" t="s" s="0">
        <v>81</v>
      </c>
      <c r="AC330" t="s" s="0">
        <v>81</v>
      </c>
      <c r="AD330" t="s" s="0">
        <v>81</v>
      </c>
      <c r="AE330" t="s" s="0">
        <v>81</v>
      </c>
      <c r="AF330" t="s" s="0">
        <v>81</v>
      </c>
      <c r="AG330" t="s" s="0">
        <v>81</v>
      </c>
      <c r="AH330" t="s" s="0">
        <v>81</v>
      </c>
      <c r="AI330" t="s" s="0">
        <v>7435</v>
      </c>
      <c r="AJ330" t="s" s="0">
        <v>7436</v>
      </c>
      <c r="AK330" t="s" s="0">
        <v>81</v>
      </c>
      <c r="AL330" t="s" s="0">
        <v>352</v>
      </c>
      <c r="AM330" t="s" s="0">
        <v>210</v>
      </c>
      <c r="AN330" t="s" s="0">
        <v>328</v>
      </c>
      <c r="AO330" t="s" s="0">
        <v>77</v>
      </c>
      <c r="AP330" t="s" s="0">
        <v>554</v>
      </c>
      <c r="AQ330" t="s" s="0">
        <v>1178</v>
      </c>
      <c r="AR330" t="s" s="0">
        <v>1179</v>
      </c>
      <c r="AS330" t="s" s="0">
        <v>1180</v>
      </c>
      <c r="AT330" t="s" s="0">
        <v>1820</v>
      </c>
      <c r="AU330" t="s" s="0">
        <v>81</v>
      </c>
      <c r="AV330" t="s" s="0">
        <v>81</v>
      </c>
      <c r="AW330" t="s" s="0">
        <v>1821</v>
      </c>
      <c r="AX330" t="s" s="0">
        <v>1822</v>
      </c>
      <c r="AY330" t="s" s="0">
        <v>1062</v>
      </c>
      <c r="AZ330" t="s" s="0">
        <v>110</v>
      </c>
      <c r="BA330" t="s" s="0">
        <v>328</v>
      </c>
      <c r="BB330" t="s" s="0">
        <v>81</v>
      </c>
      <c r="BC330" t="s" s="0">
        <v>81</v>
      </c>
      <c r="BD330" t="s" s="0">
        <v>81</v>
      </c>
      <c r="BE330" t="s" s="0">
        <v>81</v>
      </c>
      <c r="BF330" t="s" s="0">
        <v>81</v>
      </c>
      <c r="BG330" t="s" s="0">
        <v>81</v>
      </c>
      <c r="BH330" t="s" s="0">
        <v>81</v>
      </c>
      <c r="BI330" t="s" s="0">
        <v>7437</v>
      </c>
      <c r="BJ330" t="s" s="0">
        <v>7438</v>
      </c>
      <c r="BK330" t="s" s="655">
        <f>HYPERLINK("http://dx.doi.org/10.1200/CCI-24-00323","http://dx.doi.org/10.1200/CCI-24-00323")</f>
        <v>7439</v>
      </c>
      <c r="BL330" t="s" s="0">
        <v>81</v>
      </c>
      <c r="BM330" t="s" s="0">
        <v>81</v>
      </c>
      <c r="BN330" t="s" s="0">
        <v>328</v>
      </c>
      <c r="BO330" t="s" s="0">
        <v>1433</v>
      </c>
      <c r="BP330" t="s" s="0">
        <v>1433</v>
      </c>
      <c r="BQ330" t="s" s="0">
        <v>7440</v>
      </c>
      <c r="BR330" t="s" s="0">
        <v>7441</v>
      </c>
      <c r="BS330" t="s" s="0">
        <v>7442</v>
      </c>
      <c r="BT330" t="s" s="656">
        <f>HYPERLINK("https://www.webofscience.com/wos/woscc/full-record/WOS:001481800000001","View Record in Web of Science")</f>
        <v>120</v>
      </c>
      <c r="BU330" t="s" s="0">
        <v>81</v>
      </c>
      <c r="BV330" t="s" s="0">
        <v>81</v>
      </c>
      <c r="BW330" t="s" s="0">
        <v>81</v>
      </c>
      <c r="BX330" t="s" s="0">
        <v>122</v>
      </c>
    </row>
    <row r="331">
      <c r="A331" t="s" s="0">
        <v>77</v>
      </c>
      <c r="B331" t="s" s="0">
        <v>77</v>
      </c>
      <c r="C331" t="s" s="0">
        <v>77</v>
      </c>
      <c r="D331" t="s" s="0">
        <v>77</v>
      </c>
      <c r="E331" t="s" s="0">
        <v>7443</v>
      </c>
      <c r="F331" t="s" s="0">
        <v>7444</v>
      </c>
      <c r="G331" t="s" s="0">
        <v>7445</v>
      </c>
      <c r="H331" t="s" s="0">
        <v>81</v>
      </c>
      <c r="I331" t="s" s="0">
        <v>568</v>
      </c>
      <c r="J331" t="s" s="0">
        <v>7446</v>
      </c>
      <c r="K331" t="s" s="0">
        <v>7447</v>
      </c>
      <c r="L331" t="s" s="0">
        <v>81</v>
      </c>
      <c r="M331" t="s" s="0">
        <v>81</v>
      </c>
      <c r="N331" t="s" s="0">
        <v>81</v>
      </c>
      <c r="O331" t="s" s="0">
        <v>7448</v>
      </c>
      <c r="P331" t="s" s="0">
        <v>7449</v>
      </c>
      <c r="Q331" t="s" s="0">
        <v>90</v>
      </c>
      <c r="R331" t="s" s="0">
        <v>81</v>
      </c>
      <c r="S331" t="s" s="0">
        <v>81</v>
      </c>
      <c r="T331" t="s" s="0">
        <v>81</v>
      </c>
      <c r="U331" t="s" s="0">
        <v>81</v>
      </c>
      <c r="V331" t="s" s="0">
        <v>7450</v>
      </c>
      <c r="W331" t="s" s="0">
        <v>7451</v>
      </c>
      <c r="X331" t="s" s="0">
        <v>81</v>
      </c>
      <c r="Y331" t="s" s="0">
        <v>81</v>
      </c>
      <c r="Z331" t="s" s="0">
        <v>93</v>
      </c>
      <c r="AA331" t="s" s="0">
        <v>94</v>
      </c>
      <c r="AB331" t="s" s="0">
        <v>81</v>
      </c>
      <c r="AC331" t="s" s="0">
        <v>81</v>
      </c>
      <c r="AD331" t="s" s="0">
        <v>81</v>
      </c>
      <c r="AE331" t="s" s="0">
        <v>81</v>
      </c>
      <c r="AF331" t="s" s="0">
        <v>81</v>
      </c>
      <c r="AG331" t="s" s="0">
        <v>81</v>
      </c>
      <c r="AH331" t="s" s="0">
        <v>7452</v>
      </c>
      <c r="AI331" t="s" s="0">
        <v>7453</v>
      </c>
      <c r="AJ331" t="s" s="0">
        <v>7454</v>
      </c>
      <c r="AK331" t="s" s="0">
        <v>81</v>
      </c>
      <c r="AL331" t="s" s="0">
        <v>1772</v>
      </c>
      <c r="AM331" t="s" s="0">
        <v>77</v>
      </c>
      <c r="AN331" t="s" s="0">
        <v>77</v>
      </c>
      <c r="AO331" t="s" s="0">
        <v>554</v>
      </c>
      <c r="AP331" t="s" s="0">
        <v>554</v>
      </c>
      <c r="AQ331" t="s" s="0">
        <v>7455</v>
      </c>
      <c r="AR331" t="s" s="0">
        <v>7456</v>
      </c>
      <c r="AS331" t="s" s="0">
        <v>7457</v>
      </c>
      <c r="AT331" t="s" s="0">
        <v>7458</v>
      </c>
      <c r="AU331" t="s" s="0">
        <v>7459</v>
      </c>
      <c r="AV331" t="s" s="0">
        <v>81</v>
      </c>
      <c r="AW331" t="s" s="0">
        <v>7460</v>
      </c>
      <c r="AX331" t="s" s="0">
        <v>7461</v>
      </c>
      <c r="AY331" t="s" s="0">
        <v>177</v>
      </c>
      <c r="AZ331" t="s" s="0">
        <v>144</v>
      </c>
      <c r="BA331" t="s" s="0">
        <v>168</v>
      </c>
      <c r="BB331" t="s" s="0">
        <v>554</v>
      </c>
      <c r="BC331" t="s" s="0">
        <v>81</v>
      </c>
      <c r="BD331" t="s" s="0">
        <v>81</v>
      </c>
      <c r="BE331" t="s" s="0">
        <v>81</v>
      </c>
      <c r="BF331" t="s" s="0">
        <v>81</v>
      </c>
      <c r="BG331" t="s" s="0">
        <v>7462</v>
      </c>
      <c r="BH331" t="s" s="0">
        <v>7463</v>
      </c>
      <c r="BI331" t="s" s="0">
        <v>81</v>
      </c>
      <c r="BJ331" t="s" s="0">
        <v>7464</v>
      </c>
      <c r="BK331" t="s" s="657">
        <f>HYPERLINK("http://dx.doi.org/10.1044/2025_AJSLP-25-00262","http://dx.doi.org/10.1044/2025_AJSLP-25-00262")</f>
        <v>7465</v>
      </c>
      <c r="BL331" t="s" s="0">
        <v>81</v>
      </c>
      <c r="BM331" t="s" s="0">
        <v>81</v>
      </c>
      <c r="BN331" t="s" s="0">
        <v>352</v>
      </c>
      <c r="BO331" t="s" s="0">
        <v>7466</v>
      </c>
      <c r="BP331" t="s" s="0">
        <v>7466</v>
      </c>
      <c r="BQ331" t="s" s="0">
        <v>7467</v>
      </c>
      <c r="BR331" t="s" s="0">
        <v>7468</v>
      </c>
      <c r="BS331" t="s" s="0">
        <v>7469</v>
      </c>
      <c r="BT331" t="s" s="658">
        <f>HYPERLINK("https://www.webofscience.com/wos/woscc/full-record/WOS:001717978800001","View Record in Web of Science")</f>
        <v>120</v>
      </c>
      <c r="BU331" t="s" s="0">
        <v>81</v>
      </c>
      <c r="BV331" t="s" s="0">
        <v>81</v>
      </c>
      <c r="BW331" t="s" s="0">
        <v>81</v>
      </c>
      <c r="BX331" t="s" s="0">
        <v>122</v>
      </c>
    </row>
    <row r="332">
      <c r="A332" t="s" s="0">
        <v>169</v>
      </c>
      <c r="B332" t="s" s="0">
        <v>77</v>
      </c>
      <c r="C332" t="s" s="0">
        <v>77</v>
      </c>
      <c r="D332" t="s" s="0">
        <v>77</v>
      </c>
      <c r="E332" t="s" s="0">
        <v>7470</v>
      </c>
      <c r="F332" t="s" s="0">
        <v>7471</v>
      </c>
      <c r="G332" t="s" s="0">
        <v>7472</v>
      </c>
      <c r="H332" t="s" s="0">
        <v>81</v>
      </c>
      <c r="I332" t="s" s="0">
        <v>218</v>
      </c>
      <c r="J332" t="s" s="0">
        <v>7473</v>
      </c>
      <c r="K332" t="s" s="0">
        <v>7474</v>
      </c>
      <c r="L332" t="s" s="0">
        <v>81</v>
      </c>
      <c r="M332" t="s" s="0">
        <v>81</v>
      </c>
      <c r="N332" t="s" s="0">
        <v>81</v>
      </c>
      <c r="O332" t="s" s="0">
        <v>7475</v>
      </c>
      <c r="P332" t="s" s="0">
        <v>81</v>
      </c>
      <c r="Q332" t="s" s="0">
        <v>90</v>
      </c>
      <c r="R332" t="s" s="0">
        <v>81</v>
      </c>
      <c r="S332" t="s" s="0">
        <v>81</v>
      </c>
      <c r="T332" t="s" s="0">
        <v>81</v>
      </c>
      <c r="U332" t="s" s="0">
        <v>81</v>
      </c>
      <c r="V332" t="s" s="0">
        <v>7476</v>
      </c>
      <c r="W332" t="s" s="0">
        <v>524</v>
      </c>
      <c r="X332" t="s" s="0">
        <v>81</v>
      </c>
      <c r="Y332" t="s" s="0">
        <v>81</v>
      </c>
      <c r="Z332" t="s" s="0">
        <v>93</v>
      </c>
      <c r="AA332" t="s" s="0">
        <v>94</v>
      </c>
      <c r="AB332" t="s" s="0">
        <v>81</v>
      </c>
      <c r="AC332" t="s" s="0">
        <v>81</v>
      </c>
      <c r="AD332" t="s" s="0">
        <v>81</v>
      </c>
      <c r="AE332" t="s" s="0">
        <v>81</v>
      </c>
      <c r="AF332" t="s" s="0">
        <v>81</v>
      </c>
      <c r="AG332" t="s" s="0">
        <v>7477</v>
      </c>
      <c r="AH332" t="s" s="0">
        <v>81</v>
      </c>
      <c r="AI332" t="s" s="0">
        <v>7478</v>
      </c>
      <c r="AJ332" t="s" s="0">
        <v>81</v>
      </c>
      <c r="AK332" t="s" s="0">
        <v>81</v>
      </c>
      <c r="AL332" t="s" s="0">
        <v>239</v>
      </c>
      <c r="AM332" t="s" s="0">
        <v>101</v>
      </c>
      <c r="AN332" t="s" s="0">
        <v>100</v>
      </c>
      <c r="AO332" t="s" s="0">
        <v>77</v>
      </c>
      <c r="AP332" t="s" s="0">
        <v>210</v>
      </c>
      <c r="AQ332" t="s" s="0">
        <v>527</v>
      </c>
      <c r="AR332" t="s" s="0">
        <v>528</v>
      </c>
      <c r="AS332" t="s" s="0">
        <v>529</v>
      </c>
      <c r="AT332" t="s" s="0">
        <v>81</v>
      </c>
      <c r="AU332" t="s" s="0">
        <v>530</v>
      </c>
      <c r="AV332" t="s" s="0">
        <v>81</v>
      </c>
      <c r="AW332" t="s" s="0">
        <v>524</v>
      </c>
      <c r="AX332" t="s" s="0">
        <v>531</v>
      </c>
      <c r="AY332" t="s" s="0">
        <v>1855</v>
      </c>
      <c r="AZ332" t="s" s="0">
        <v>110</v>
      </c>
      <c r="BA332" t="s" s="0">
        <v>210</v>
      </c>
      <c r="BB332" t="s" s="0">
        <v>101</v>
      </c>
      <c r="BC332" t="s" s="0">
        <v>81</v>
      </c>
      <c r="BD332" t="s" s="0">
        <v>81</v>
      </c>
      <c r="BE332" t="s" s="0">
        <v>81</v>
      </c>
      <c r="BF332" t="s" s="0">
        <v>81</v>
      </c>
      <c r="BG332" t="s" s="0">
        <v>81</v>
      </c>
      <c r="BH332" t="s" s="0">
        <v>81</v>
      </c>
      <c r="BI332" t="s" s="0">
        <v>7479</v>
      </c>
      <c r="BJ332" t="s" s="0">
        <v>7480</v>
      </c>
      <c r="BK332" t="s" s="659">
        <f>HYPERLINK("http://dx.doi.org/10.1093/jamiaopen/ooaf054","http://dx.doi.org/10.1093/jamiaopen/ooaf054")</f>
        <v>7481</v>
      </c>
      <c r="BL332" t="s" s="0">
        <v>81</v>
      </c>
      <c r="BM332" t="s" s="0">
        <v>81</v>
      </c>
      <c r="BN332" t="s" s="0">
        <v>320</v>
      </c>
      <c r="BO332" t="s" s="0">
        <v>116</v>
      </c>
      <c r="BP332" t="s" s="0">
        <v>116</v>
      </c>
      <c r="BQ332" t="s" s="0">
        <v>7482</v>
      </c>
      <c r="BR332" t="s" s="0">
        <v>7483</v>
      </c>
      <c r="BS332" t="s" s="0">
        <v>7484</v>
      </c>
      <c r="BT332" t="s" s="660">
        <f>HYPERLINK("https://www.webofscience.com/wos/woscc/full-record/WOS:001508800500001","View Record in Web of Science")</f>
        <v>120</v>
      </c>
      <c r="BU332" t="s" s="0">
        <v>121</v>
      </c>
      <c r="BV332" t="s" s="0">
        <v>81</v>
      </c>
      <c r="BW332" t="s" s="0">
        <v>81</v>
      </c>
      <c r="BX332" t="s" s="0">
        <v>122</v>
      </c>
    </row>
    <row r="333">
      <c r="A333" t="s" s="0">
        <v>77</v>
      </c>
      <c r="B333" t="s" s="0">
        <v>77</v>
      </c>
      <c r="C333" t="s" s="0">
        <v>169</v>
      </c>
      <c r="D333" t="s" s="0">
        <v>77</v>
      </c>
      <c r="E333" t="s" s="0">
        <v>7485</v>
      </c>
      <c r="F333" t="s" s="0">
        <v>7486</v>
      </c>
      <c r="G333" t="s" s="0">
        <v>7487</v>
      </c>
      <c r="H333" t="s" s="0">
        <v>81</v>
      </c>
      <c r="I333" t="s" s="0">
        <v>82</v>
      </c>
      <c r="J333" t="s" s="0">
        <v>7488</v>
      </c>
      <c r="K333" t="s" s="0">
        <v>81</v>
      </c>
      <c r="L333" t="s" s="0">
        <v>7489</v>
      </c>
      <c r="M333" t="s" s="0">
        <v>7489</v>
      </c>
      <c r="N333" t="s" s="0">
        <v>7490</v>
      </c>
      <c r="O333" t="s" s="0">
        <v>7491</v>
      </c>
      <c r="P333" t="s" s="0">
        <v>7492</v>
      </c>
      <c r="Q333" t="s" s="0">
        <v>90</v>
      </c>
      <c r="R333" t="s" s="0">
        <v>81</v>
      </c>
      <c r="S333" t="s" s="0">
        <v>81</v>
      </c>
      <c r="T333" t="s" s="0">
        <v>81</v>
      </c>
      <c r="U333" t="s" s="0">
        <v>81</v>
      </c>
      <c r="V333" t="s" s="0">
        <v>7493</v>
      </c>
      <c r="W333" t="s" s="0">
        <v>7494</v>
      </c>
      <c r="X333" t="s" s="0">
        <v>81</v>
      </c>
      <c r="Y333" t="s" s="0">
        <v>81</v>
      </c>
      <c r="Z333" t="s" s="0">
        <v>93</v>
      </c>
      <c r="AA333" t="s" s="0">
        <v>94</v>
      </c>
      <c r="AB333" t="s" s="0">
        <v>81</v>
      </c>
      <c r="AC333" t="s" s="0">
        <v>81</v>
      </c>
      <c r="AD333" t="s" s="0">
        <v>81</v>
      </c>
      <c r="AE333" t="s" s="0">
        <v>81</v>
      </c>
      <c r="AF333" t="s" s="0">
        <v>81</v>
      </c>
      <c r="AG333" t="s" s="0">
        <v>7495</v>
      </c>
      <c r="AH333" t="s" s="0">
        <v>81</v>
      </c>
      <c r="AI333" t="s" s="0">
        <v>7496</v>
      </c>
      <c r="AJ333" t="s" s="0">
        <v>7497</v>
      </c>
      <c r="AK333" t="s" s="0">
        <v>81</v>
      </c>
      <c r="AL333" t="s" s="0">
        <v>1106</v>
      </c>
      <c r="AM333" t="s" s="0">
        <v>328</v>
      </c>
      <c r="AN333" t="s" s="0">
        <v>145</v>
      </c>
      <c r="AO333" t="s" s="0">
        <v>386</v>
      </c>
      <c r="AP333" t="s" s="0">
        <v>386</v>
      </c>
      <c r="AQ333" t="s" s="0">
        <v>200</v>
      </c>
      <c r="AR333" t="s" s="0">
        <v>201</v>
      </c>
      <c r="AS333" t="s" s="0">
        <v>202</v>
      </c>
      <c r="AT333" t="s" s="0">
        <v>7498</v>
      </c>
      <c r="AU333" t="s" s="0">
        <v>81</v>
      </c>
      <c r="AV333" t="s" s="0">
        <v>81</v>
      </c>
      <c r="AW333" t="s" s="0">
        <v>7494</v>
      </c>
      <c r="AX333" t="s" s="0">
        <v>7499</v>
      </c>
      <c r="AY333" t="s" s="0">
        <v>209</v>
      </c>
      <c r="AZ333" t="s" s="0">
        <v>144</v>
      </c>
      <c r="BA333" t="s" s="0">
        <v>265</v>
      </c>
      <c r="BB333" t="s" s="0">
        <v>99</v>
      </c>
      <c r="BC333" t="s" s="0">
        <v>81</v>
      </c>
      <c r="BD333" t="s" s="0">
        <v>81</v>
      </c>
      <c r="BE333" t="s" s="0">
        <v>81</v>
      </c>
      <c r="BF333" t="s" s="0">
        <v>81</v>
      </c>
      <c r="BG333" t="s" s="0">
        <v>81</v>
      </c>
      <c r="BH333" t="s" s="0">
        <v>81</v>
      </c>
      <c r="BI333" t="s" s="0">
        <v>7500</v>
      </c>
      <c r="BJ333" t="s" s="0">
        <v>7501</v>
      </c>
      <c r="BK333" t="s" s="661">
        <f>HYPERLINK("http://dx.doi.org/10.1136/bmjopen-2025-112695","http://dx.doi.org/10.1136/bmjopen-2025-112695")</f>
        <v>7502</v>
      </c>
      <c r="BL333" t="s" s="0">
        <v>81</v>
      </c>
      <c r="BM333" t="s" s="0">
        <v>81</v>
      </c>
      <c r="BN333" t="s" s="0">
        <v>115</v>
      </c>
      <c r="BO333" t="s" s="0">
        <v>149</v>
      </c>
      <c r="BP333" t="s" s="0">
        <v>150</v>
      </c>
      <c r="BQ333" t="s" s="0">
        <v>7503</v>
      </c>
      <c r="BR333" t="s" s="0">
        <v>7504</v>
      </c>
      <c r="BS333" t="s" s="0">
        <v>7505</v>
      </c>
      <c r="BT333" t="s" s="662">
        <f>HYPERLINK("https://www.webofscience.com/wos/woscc/full-record/WOS:001755845100001","View Record in Web of Science")</f>
        <v>120</v>
      </c>
      <c r="BU333" t="s" s="0">
        <v>121</v>
      </c>
      <c r="BV333" t="s" s="0">
        <v>81</v>
      </c>
      <c r="BW333" t="s" s="0">
        <v>81</v>
      </c>
      <c r="BX333" t="s" s="0">
        <v>122</v>
      </c>
    </row>
    <row r="334">
      <c r="A334" t="s" s="0">
        <v>77</v>
      </c>
      <c r="B334" t="s" s="0">
        <v>77</v>
      </c>
      <c r="C334" t="s" s="0">
        <v>169</v>
      </c>
      <c r="D334" t="s" s="0">
        <v>77</v>
      </c>
      <c r="E334" t="s" s="0">
        <v>7506</v>
      </c>
      <c r="F334" t="s" s="0">
        <v>7507</v>
      </c>
      <c r="G334" t="s" s="0">
        <v>7508</v>
      </c>
      <c r="H334" t="s" s="0">
        <v>81</v>
      </c>
      <c r="I334" t="s" s="0">
        <v>218</v>
      </c>
      <c r="J334" t="s" s="0">
        <v>7509</v>
      </c>
      <c r="K334" t="s" s="0">
        <v>7510</v>
      </c>
      <c r="L334" t="s" s="0">
        <v>7511</v>
      </c>
      <c r="M334" t="s" s="0">
        <v>7512</v>
      </c>
      <c r="N334" t="s" s="0">
        <v>7513</v>
      </c>
      <c r="O334" t="s" s="0">
        <v>7514</v>
      </c>
      <c r="P334" t="s" s="0">
        <v>7515</v>
      </c>
      <c r="Q334" t="s" s="0">
        <v>90</v>
      </c>
      <c r="R334" t="s" s="0">
        <v>81</v>
      </c>
      <c r="S334" t="s" s="0">
        <v>81</v>
      </c>
      <c r="T334" t="s" s="0">
        <v>81</v>
      </c>
      <c r="U334" t="s" s="0">
        <v>81</v>
      </c>
      <c r="V334" t="s" s="0">
        <v>7516</v>
      </c>
      <c r="W334" t="s" s="0">
        <v>524</v>
      </c>
      <c r="X334" t="s" s="0">
        <v>81</v>
      </c>
      <c r="Y334" t="s" s="0">
        <v>81</v>
      </c>
      <c r="Z334" t="s" s="0">
        <v>93</v>
      </c>
      <c r="AA334" t="s" s="0">
        <v>94</v>
      </c>
      <c r="AB334" t="s" s="0">
        <v>81</v>
      </c>
      <c r="AC334" t="s" s="0">
        <v>81</v>
      </c>
      <c r="AD334" t="s" s="0">
        <v>81</v>
      </c>
      <c r="AE334" t="s" s="0">
        <v>81</v>
      </c>
      <c r="AF334" t="s" s="0">
        <v>81</v>
      </c>
      <c r="AG334" t="s" s="0">
        <v>7517</v>
      </c>
      <c r="AH334" t="s" s="0">
        <v>81</v>
      </c>
      <c r="AI334" t="s" s="0">
        <v>7518</v>
      </c>
      <c r="AJ334" t="s" s="0">
        <v>81</v>
      </c>
      <c r="AK334" t="s" s="0">
        <v>81</v>
      </c>
      <c r="AL334" t="s" s="0">
        <v>944</v>
      </c>
      <c r="AM334" t="s" s="0">
        <v>210</v>
      </c>
      <c r="AN334" t="s" s="0">
        <v>328</v>
      </c>
      <c r="AO334" t="s" s="0">
        <v>169</v>
      </c>
      <c r="AP334" t="s" s="0">
        <v>100</v>
      </c>
      <c r="AQ334" t="s" s="0">
        <v>527</v>
      </c>
      <c r="AR334" t="s" s="0">
        <v>528</v>
      </c>
      <c r="AS334" t="s" s="0">
        <v>529</v>
      </c>
      <c r="AT334" t="s" s="0">
        <v>81</v>
      </c>
      <c r="AU334" t="s" s="0">
        <v>530</v>
      </c>
      <c r="AV334" t="s" s="0">
        <v>81</v>
      </c>
      <c r="AW334" t="s" s="0">
        <v>524</v>
      </c>
      <c r="AX334" t="s" s="0">
        <v>531</v>
      </c>
      <c r="AY334" t="s" s="0">
        <v>238</v>
      </c>
      <c r="AZ334" t="s" s="0">
        <v>110</v>
      </c>
      <c r="BA334" t="s" s="0">
        <v>210</v>
      </c>
      <c r="BB334" t="s" s="0">
        <v>100</v>
      </c>
      <c r="BC334" t="s" s="0">
        <v>81</v>
      </c>
      <c r="BD334" t="s" s="0">
        <v>81</v>
      </c>
      <c r="BE334" t="s" s="0">
        <v>81</v>
      </c>
      <c r="BF334" t="s" s="0">
        <v>81</v>
      </c>
      <c r="BG334" t="s" s="0">
        <v>81</v>
      </c>
      <c r="BH334" t="s" s="0">
        <v>81</v>
      </c>
      <c r="BI334" t="s" s="0">
        <v>7519</v>
      </c>
      <c r="BJ334" t="s" s="0">
        <v>7520</v>
      </c>
      <c r="BK334" t="s" s="663">
        <f>HYPERLINK("http://dx.doi.org/10.1093/jamiaopen/ooaf097","http://dx.doi.org/10.1093/jamiaopen/ooaf097")</f>
        <v>7521</v>
      </c>
      <c r="BL334" t="s" s="0">
        <v>81</v>
      </c>
      <c r="BM334" t="s" s="0">
        <v>81</v>
      </c>
      <c r="BN334" t="s" s="0">
        <v>320</v>
      </c>
      <c r="BO334" t="s" s="0">
        <v>116</v>
      </c>
      <c r="BP334" t="s" s="0">
        <v>116</v>
      </c>
      <c r="BQ334" t="s" s="0">
        <v>7522</v>
      </c>
      <c r="BR334" t="s" s="0">
        <v>7523</v>
      </c>
      <c r="BS334" t="s" s="0">
        <v>7524</v>
      </c>
      <c r="BT334" t="s" s="664">
        <f>HYPERLINK("https://www.webofscience.com/wos/woscc/full-record/WOS:001565346200001","View Record in Web of Science")</f>
        <v>120</v>
      </c>
      <c r="BU334" t="s" s="0">
        <v>121</v>
      </c>
      <c r="BV334" t="s" s="0">
        <v>81</v>
      </c>
      <c r="BW334" t="s" s="0">
        <v>81</v>
      </c>
      <c r="BX334" t="s" s="0">
        <v>122</v>
      </c>
    </row>
    <row r="335">
      <c r="A335" t="s" s="0">
        <v>77</v>
      </c>
      <c r="B335" t="s" s="0">
        <v>77</v>
      </c>
      <c r="C335" t="s" s="0">
        <v>77</v>
      </c>
      <c r="D335" t="s" s="0">
        <v>77</v>
      </c>
      <c r="E335" t="s" s="0">
        <v>7525</v>
      </c>
      <c r="F335" t="s" s="0">
        <v>7526</v>
      </c>
      <c r="G335" t="s" s="0">
        <v>7527</v>
      </c>
      <c r="H335" t="s" s="0">
        <v>81</v>
      </c>
      <c r="I335" t="s" s="0">
        <v>82</v>
      </c>
      <c r="J335" t="s" s="0">
        <v>7528</v>
      </c>
      <c r="K335" t="s" s="0">
        <v>7529</v>
      </c>
      <c r="L335" t="s" s="0">
        <v>81</v>
      </c>
      <c r="M335" t="s" s="0">
        <v>81</v>
      </c>
      <c r="N335" t="s" s="0">
        <v>81</v>
      </c>
      <c r="O335" t="s" s="0">
        <v>7530</v>
      </c>
      <c r="P335" t="s" s="0">
        <v>7531</v>
      </c>
      <c r="Q335" t="s" s="0">
        <v>90</v>
      </c>
      <c r="R335" t="s" s="0">
        <v>81</v>
      </c>
      <c r="S335" t="s" s="0">
        <v>81</v>
      </c>
      <c r="T335" t="s" s="0">
        <v>81</v>
      </c>
      <c r="U335" t="s" s="0">
        <v>81</v>
      </c>
      <c r="V335" t="s" s="0">
        <v>7532</v>
      </c>
      <c r="W335" t="s" s="0">
        <v>2973</v>
      </c>
      <c r="X335" t="s" s="0">
        <v>81</v>
      </c>
      <c r="Y335" t="s" s="0">
        <v>81</v>
      </c>
      <c r="Z335" t="s" s="0">
        <v>93</v>
      </c>
      <c r="AA335" t="s" s="0">
        <v>94</v>
      </c>
      <c r="AB335" t="s" s="0">
        <v>81</v>
      </c>
      <c r="AC335" t="s" s="0">
        <v>81</v>
      </c>
      <c r="AD335" t="s" s="0">
        <v>81</v>
      </c>
      <c r="AE335" t="s" s="0">
        <v>81</v>
      </c>
      <c r="AF335" t="s" s="0">
        <v>81</v>
      </c>
      <c r="AG335" t="s" s="0">
        <v>7533</v>
      </c>
      <c r="AH335" t="s" s="0">
        <v>7534</v>
      </c>
      <c r="AI335" t="s" s="0">
        <v>7535</v>
      </c>
      <c r="AJ335" t="s" s="0">
        <v>7536</v>
      </c>
      <c r="AK335" t="s" s="0">
        <v>81</v>
      </c>
      <c r="AL335" t="s" s="0">
        <v>287</v>
      </c>
      <c r="AM335" t="s" s="0">
        <v>77</v>
      </c>
      <c r="AN335" t="s" s="0">
        <v>77</v>
      </c>
      <c r="AO335" t="s" s="0">
        <v>77</v>
      </c>
      <c r="AP335" t="s" s="0">
        <v>77</v>
      </c>
      <c r="AQ335" t="s" s="0">
        <v>2567</v>
      </c>
      <c r="AR335" t="s" s="0">
        <v>2568</v>
      </c>
      <c r="AS335" t="s" s="0">
        <v>2569</v>
      </c>
      <c r="AT335" t="s" s="0">
        <v>2977</v>
      </c>
      <c r="AU335" t="s" s="0">
        <v>81</v>
      </c>
      <c r="AV335" t="s" s="0">
        <v>81</v>
      </c>
      <c r="AW335" t="s" s="0">
        <v>2978</v>
      </c>
      <c r="AX335" t="s" s="0">
        <v>2979</v>
      </c>
      <c r="AY335" t="s" s="0">
        <v>295</v>
      </c>
      <c r="AZ335" t="s" s="0">
        <v>144</v>
      </c>
      <c r="BA335" t="s" s="0">
        <v>946</v>
      </c>
      <c r="BB335" t="s" s="0">
        <v>7537</v>
      </c>
      <c r="BC335" t="s" s="0">
        <v>81</v>
      </c>
      <c r="BD335" t="s" s="0">
        <v>81</v>
      </c>
      <c r="BE335" t="s" s="0">
        <v>81</v>
      </c>
      <c r="BF335" t="s" s="0">
        <v>81</v>
      </c>
      <c r="BG335" t="s" s="0">
        <v>7538</v>
      </c>
      <c r="BH335" t="s" s="0">
        <v>7539</v>
      </c>
      <c r="BI335" t="s" s="0">
        <v>81</v>
      </c>
      <c r="BJ335" t="s" s="0">
        <v>7540</v>
      </c>
      <c r="BK335" t="s" s="665">
        <f>HYPERLINK("http://dx.doi.org/10.1055/a-2876-0998","http://dx.doi.org/10.1055/a-2876-0998")</f>
        <v>7541</v>
      </c>
      <c r="BL335" t="s" s="0">
        <v>81</v>
      </c>
      <c r="BM335" t="s" s="0">
        <v>81</v>
      </c>
      <c r="BN335" t="s" s="0">
        <v>210</v>
      </c>
      <c r="BO335" t="s" s="0">
        <v>244</v>
      </c>
      <c r="BP335" t="s" s="0">
        <v>244</v>
      </c>
      <c r="BQ335" t="s" s="0">
        <v>7542</v>
      </c>
      <c r="BR335" t="s" s="0">
        <v>7543</v>
      </c>
      <c r="BS335" t="s" s="0">
        <v>7544</v>
      </c>
      <c r="BT335" t="s" s="666">
        <f>HYPERLINK("https://www.webofscience.com/wos/woscc/full-record/WOS:001793626100003","View Record in Web of Science")</f>
        <v>120</v>
      </c>
      <c r="BU335" t="s" s="0">
        <v>805</v>
      </c>
      <c r="BV335" t="s" s="0">
        <v>81</v>
      </c>
      <c r="BW335" t="s" s="0">
        <v>81</v>
      </c>
      <c r="BX335" t="s" s="0">
        <v>122</v>
      </c>
    </row>
    <row r="336">
      <c r="A336" t="s" s="0">
        <v>77</v>
      </c>
      <c r="B336" t="s" s="0">
        <v>77</v>
      </c>
      <c r="C336" t="s" s="0">
        <v>77</v>
      </c>
      <c r="D336" t="s" s="0">
        <v>77</v>
      </c>
      <c r="E336" t="s" s="0">
        <v>7545</v>
      </c>
      <c r="F336" t="s" s="0">
        <v>7546</v>
      </c>
      <c r="G336" t="s" s="0">
        <v>7547</v>
      </c>
      <c r="H336" t="s" s="0">
        <v>81</v>
      </c>
      <c r="I336" t="s" s="0">
        <v>218</v>
      </c>
      <c r="J336" t="s" s="0">
        <v>7548</v>
      </c>
      <c r="K336" t="s" s="0">
        <v>7549</v>
      </c>
      <c r="L336" t="s" s="0">
        <v>81</v>
      </c>
      <c r="M336" t="s" s="0">
        <v>81</v>
      </c>
      <c r="N336" t="s" s="0">
        <v>81</v>
      </c>
      <c r="O336" t="s" s="0">
        <v>7550</v>
      </c>
      <c r="P336" t="s" s="0">
        <v>7551</v>
      </c>
      <c r="Q336" t="s" s="0">
        <v>90</v>
      </c>
      <c r="R336" t="s" s="0">
        <v>81</v>
      </c>
      <c r="S336" t="s" s="0">
        <v>81</v>
      </c>
      <c r="T336" t="s" s="0">
        <v>81</v>
      </c>
      <c r="U336" t="s" s="0">
        <v>81</v>
      </c>
      <c r="V336" t="s" s="0">
        <v>7552</v>
      </c>
      <c r="W336" t="s" s="0">
        <v>1202</v>
      </c>
      <c r="X336" t="s" s="0">
        <v>81</v>
      </c>
      <c r="Y336" t="s" s="0">
        <v>81</v>
      </c>
      <c r="Z336" t="s" s="0">
        <v>93</v>
      </c>
      <c r="AA336" t="s" s="0">
        <v>94</v>
      </c>
      <c r="AB336" t="s" s="0">
        <v>81</v>
      </c>
      <c r="AC336" t="s" s="0">
        <v>81</v>
      </c>
      <c r="AD336" t="s" s="0">
        <v>81</v>
      </c>
      <c r="AE336" t="s" s="0">
        <v>81</v>
      </c>
      <c r="AF336" t="s" s="0">
        <v>81</v>
      </c>
      <c r="AG336" t="s" s="0">
        <v>7553</v>
      </c>
      <c r="AH336" t="s" s="0">
        <v>81</v>
      </c>
      <c r="AI336" t="s" s="0">
        <v>81</v>
      </c>
      <c r="AJ336" t="s" s="0">
        <v>81</v>
      </c>
      <c r="AK336" t="s" s="0">
        <v>81</v>
      </c>
      <c r="AL336" t="s" s="0">
        <v>1543</v>
      </c>
      <c r="AM336" t="s" s="0">
        <v>77</v>
      </c>
      <c r="AN336" t="s" s="0">
        <v>77</v>
      </c>
      <c r="AO336" t="s" s="0">
        <v>169</v>
      </c>
      <c r="AP336" t="s" s="0">
        <v>169</v>
      </c>
      <c r="AQ336" t="s" s="0">
        <v>1204</v>
      </c>
      <c r="AR336" t="s" s="0">
        <v>1205</v>
      </c>
      <c r="AS336" t="s" s="0">
        <v>1206</v>
      </c>
      <c r="AT336" t="s" s="0">
        <v>81</v>
      </c>
      <c r="AU336" t="s" s="0">
        <v>1207</v>
      </c>
      <c r="AV336" t="s" s="0">
        <v>81</v>
      </c>
      <c r="AW336" t="s" s="0">
        <v>1208</v>
      </c>
      <c r="AX336" t="s" s="0">
        <v>1209</v>
      </c>
      <c r="AY336" t="s" s="0">
        <v>7554</v>
      </c>
      <c r="AZ336" t="s" s="0">
        <v>144</v>
      </c>
      <c r="BA336" t="s" s="0">
        <v>328</v>
      </c>
      <c r="BB336" t="s" s="0">
        <v>81</v>
      </c>
      <c r="BC336" t="s" s="0">
        <v>81</v>
      </c>
      <c r="BD336" t="s" s="0">
        <v>81</v>
      </c>
      <c r="BE336" t="s" s="0">
        <v>81</v>
      </c>
      <c r="BF336" t="s" s="0">
        <v>81</v>
      </c>
      <c r="BG336" t="s" s="0">
        <v>81</v>
      </c>
      <c r="BH336" t="s" s="0">
        <v>81</v>
      </c>
      <c r="BI336" t="s" s="0">
        <v>3391</v>
      </c>
      <c r="BJ336" t="s" s="0">
        <v>7555</v>
      </c>
      <c r="BK336" t="s" s="667">
        <f>HYPERLINK("http://dx.doi.org/10.21037/jmai-2025-1-251","http://dx.doi.org/10.21037/jmai-2025-1-251")</f>
        <v>7556</v>
      </c>
      <c r="BL336" t="s" s="0">
        <v>81</v>
      </c>
      <c r="BM336" t="s" s="0">
        <v>81</v>
      </c>
      <c r="BN336" t="s" s="0">
        <v>265</v>
      </c>
      <c r="BO336" t="s" s="0">
        <v>1213</v>
      </c>
      <c r="BP336" t="s" s="0">
        <v>673</v>
      </c>
      <c r="BQ336" t="s" s="0">
        <v>7557</v>
      </c>
      <c r="BR336" t="s" s="0">
        <v>81</v>
      </c>
      <c r="BS336" t="s" s="0">
        <v>7558</v>
      </c>
      <c r="BT336" t="s" s="668">
        <f>HYPERLINK("https://www.webofscience.com/wos/woscc/full-record/WOS:001824464500005","View Record in Web of Science")</f>
        <v>120</v>
      </c>
      <c r="BU336" t="s" s="0">
        <v>1216</v>
      </c>
      <c r="BV336" t="s" s="0">
        <v>81</v>
      </c>
      <c r="BW336" t="s" s="0">
        <v>81</v>
      </c>
      <c r="BX336" t="s" s="0">
        <v>122</v>
      </c>
    </row>
    <row r="337">
      <c r="A337" t="s" s="0">
        <v>169</v>
      </c>
      <c r="B337" t="s" s="0">
        <v>77</v>
      </c>
      <c r="C337" t="s" s="0">
        <v>169</v>
      </c>
      <c r="D337" t="s" s="0">
        <v>77</v>
      </c>
      <c r="E337" t="s" s="0">
        <v>7559</v>
      </c>
      <c r="F337" t="s" s="0">
        <v>7560</v>
      </c>
      <c r="G337" t="s" s="0">
        <v>7561</v>
      </c>
      <c r="H337" t="s" s="0">
        <v>81</v>
      </c>
      <c r="I337" t="s" s="0">
        <v>568</v>
      </c>
      <c r="J337" t="s" s="0">
        <v>7562</v>
      </c>
      <c r="K337" t="s" s="0">
        <v>7563</v>
      </c>
      <c r="L337" t="s" s="0">
        <v>7564</v>
      </c>
      <c r="M337" t="s" s="0">
        <v>7565</v>
      </c>
      <c r="N337" t="s" s="0">
        <v>7566</v>
      </c>
      <c r="O337" t="s" s="0">
        <v>7567</v>
      </c>
      <c r="P337" t="s" s="0">
        <v>7568</v>
      </c>
      <c r="Q337" t="s" s="0">
        <v>90</v>
      </c>
      <c r="R337" t="s" s="0">
        <v>81</v>
      </c>
      <c r="S337" t="s" s="0">
        <v>81</v>
      </c>
      <c r="T337" t="s" s="0">
        <v>81</v>
      </c>
      <c r="U337" t="s" s="0">
        <v>81</v>
      </c>
      <c r="V337" t="s" s="0">
        <v>7569</v>
      </c>
      <c r="W337" t="s" s="0">
        <v>3957</v>
      </c>
      <c r="X337" t="s" s="0">
        <v>81</v>
      </c>
      <c r="Y337" t="s" s="0">
        <v>81</v>
      </c>
      <c r="Z337" t="s" s="0">
        <v>93</v>
      </c>
      <c r="AA337" t="s" s="0">
        <v>94</v>
      </c>
      <c r="AB337" t="s" s="0">
        <v>81</v>
      </c>
      <c r="AC337" t="s" s="0">
        <v>81</v>
      </c>
      <c r="AD337" t="s" s="0">
        <v>81</v>
      </c>
      <c r="AE337" t="s" s="0">
        <v>81</v>
      </c>
      <c r="AF337" t="s" s="0">
        <v>81</v>
      </c>
      <c r="AG337" t="s" s="0">
        <v>7570</v>
      </c>
      <c r="AH337" t="s" s="0">
        <v>7571</v>
      </c>
      <c r="AI337" t="s" s="0">
        <v>7572</v>
      </c>
      <c r="AJ337" t="s" s="0">
        <v>81</v>
      </c>
      <c r="AK337" t="s" s="0">
        <v>81</v>
      </c>
      <c r="AL337" t="s" s="0">
        <v>968</v>
      </c>
      <c r="AM337" t="s" s="0">
        <v>100</v>
      </c>
      <c r="AN337" t="s" s="0">
        <v>452</v>
      </c>
      <c r="AO337" t="s" s="0">
        <v>554</v>
      </c>
      <c r="AP337" t="s" s="0">
        <v>301</v>
      </c>
      <c r="AQ337" t="s" s="0">
        <v>353</v>
      </c>
      <c r="AR337" t="s" s="0">
        <v>354</v>
      </c>
      <c r="AS337" t="s" s="0">
        <v>355</v>
      </c>
      <c r="AT337" t="s" s="0">
        <v>3960</v>
      </c>
      <c r="AU337" t="s" s="0">
        <v>81</v>
      </c>
      <c r="AV337" t="s" s="0">
        <v>81</v>
      </c>
      <c r="AW337" t="s" s="0">
        <v>3961</v>
      </c>
      <c r="AX337" t="s" s="0">
        <v>3962</v>
      </c>
      <c r="AY337" t="s" s="0">
        <v>7573</v>
      </c>
      <c r="AZ337" t="s" s="0">
        <v>592</v>
      </c>
      <c r="BA337" t="s" s="0">
        <v>145</v>
      </c>
      <c r="BB337" t="s" s="0">
        <v>81</v>
      </c>
      <c r="BC337" t="s" s="0">
        <v>81</v>
      </c>
      <c r="BD337" t="s" s="0">
        <v>81</v>
      </c>
      <c r="BE337" t="s" s="0">
        <v>81</v>
      </c>
      <c r="BF337" t="s" s="0">
        <v>81</v>
      </c>
      <c r="BG337" t="s" s="0">
        <v>81</v>
      </c>
      <c r="BH337" t="s" s="0">
        <v>81</v>
      </c>
      <c r="BI337" t="s" s="0">
        <v>7574</v>
      </c>
      <c r="BJ337" t="s" s="0">
        <v>7575</v>
      </c>
      <c r="BK337" t="s" s="669">
        <f>HYPERLINK("http://dx.doi.org/10.3389/fpsyt.2024.1437075","http://dx.doi.org/10.3389/fpsyt.2024.1437075")</f>
        <v>7576</v>
      </c>
      <c r="BL337" t="s" s="0">
        <v>81</v>
      </c>
      <c r="BM337" t="s" s="0">
        <v>81</v>
      </c>
      <c r="BN337" t="s" s="0">
        <v>320</v>
      </c>
      <c r="BO337" t="s" s="0">
        <v>598</v>
      </c>
      <c r="BP337" t="s" s="0">
        <v>598</v>
      </c>
      <c r="BQ337" t="s" s="0">
        <v>7577</v>
      </c>
      <c r="BR337" t="s" s="0">
        <v>7578</v>
      </c>
      <c r="BS337" t="s" s="0">
        <v>7579</v>
      </c>
      <c r="BT337" t="s" s="670">
        <f>HYPERLINK("https://www.webofscience.com/wos/woscc/full-record/WOS:001334238100001","View Record in Web of Science")</f>
        <v>120</v>
      </c>
      <c r="BU337" t="s" s="0">
        <v>121</v>
      </c>
      <c r="BV337" t="s" s="0">
        <v>81</v>
      </c>
      <c r="BW337" t="s" s="0">
        <v>81</v>
      </c>
      <c r="BX337" t="s" s="0">
        <v>122</v>
      </c>
    </row>
    <row r="338">
      <c r="A338" t="s" s="0">
        <v>77</v>
      </c>
      <c r="B338" t="s" s="0">
        <v>77</v>
      </c>
      <c r="C338" t="s" s="0">
        <v>77</v>
      </c>
      <c r="D338" t="s" s="0">
        <v>77</v>
      </c>
      <c r="E338" t="s" s="0">
        <v>7580</v>
      </c>
      <c r="F338" t="s" s="0">
        <v>7581</v>
      </c>
      <c r="G338" t="s" s="0">
        <v>7582</v>
      </c>
      <c r="H338" t="s" s="0">
        <v>81</v>
      </c>
      <c r="I338" t="s" s="0">
        <v>82</v>
      </c>
      <c r="J338" t="s" s="0">
        <v>7583</v>
      </c>
      <c r="K338" t="s" s="0">
        <v>7584</v>
      </c>
      <c r="L338" t="s" s="0">
        <v>81</v>
      </c>
      <c r="M338" t="s" s="0">
        <v>81</v>
      </c>
      <c r="N338" t="s" s="0">
        <v>81</v>
      </c>
      <c r="O338" t="s" s="0">
        <v>7585</v>
      </c>
      <c r="P338" t="s" s="0">
        <v>7586</v>
      </c>
      <c r="Q338" t="s" s="0">
        <v>90</v>
      </c>
      <c r="R338" t="s" s="0">
        <v>81</v>
      </c>
      <c r="S338" t="s" s="0">
        <v>81</v>
      </c>
      <c r="T338" t="s" s="0">
        <v>81</v>
      </c>
      <c r="U338" t="s" s="0">
        <v>81</v>
      </c>
      <c r="V338" t="s" s="0">
        <v>7587</v>
      </c>
      <c r="W338" t="s" s="0">
        <v>92</v>
      </c>
      <c r="X338" t="s" s="0">
        <v>81</v>
      </c>
      <c r="Y338" t="s" s="0">
        <v>81</v>
      </c>
      <c r="Z338" t="s" s="0">
        <v>93</v>
      </c>
      <c r="AA338" t="s" s="0">
        <v>94</v>
      </c>
      <c r="AB338" t="s" s="0">
        <v>81</v>
      </c>
      <c r="AC338" t="s" s="0">
        <v>81</v>
      </c>
      <c r="AD338" t="s" s="0">
        <v>81</v>
      </c>
      <c r="AE338" t="s" s="0">
        <v>81</v>
      </c>
      <c r="AF338" t="s" s="0">
        <v>81</v>
      </c>
      <c r="AG338" t="s" s="0">
        <v>7588</v>
      </c>
      <c r="AH338" t="s" s="0">
        <v>81</v>
      </c>
      <c r="AI338" t="s" s="0">
        <v>7589</v>
      </c>
      <c r="AJ338" t="s" s="0">
        <v>7590</v>
      </c>
      <c r="AK338" t="s" s="0">
        <v>81</v>
      </c>
      <c r="AL338" t="s" s="0">
        <v>1543</v>
      </c>
      <c r="AM338" t="s" s="0">
        <v>100</v>
      </c>
      <c r="AN338" t="s" s="0">
        <v>452</v>
      </c>
      <c r="AO338" t="s" s="0">
        <v>386</v>
      </c>
      <c r="AP338" t="s" s="0">
        <v>210</v>
      </c>
      <c r="AQ338" t="s" s="0">
        <v>103</v>
      </c>
      <c r="AR338" t="s" s="0">
        <v>104</v>
      </c>
      <c r="AS338" t="s" s="0">
        <v>105</v>
      </c>
      <c r="AT338" t="s" s="0">
        <v>1405</v>
      </c>
      <c r="AU338" t="s" s="0">
        <v>106</v>
      </c>
      <c r="AV338" t="s" s="0">
        <v>81</v>
      </c>
      <c r="AW338" t="s" s="0">
        <v>107</v>
      </c>
      <c r="AX338" t="s" s="0">
        <v>108</v>
      </c>
      <c r="AY338" t="s" s="0">
        <v>7591</v>
      </c>
      <c r="AZ338" t="s" s="0">
        <v>110</v>
      </c>
      <c r="BA338" t="s" s="0">
        <v>111</v>
      </c>
      <c r="BB338" t="s" s="0">
        <v>81</v>
      </c>
      <c r="BC338" t="s" s="0">
        <v>81</v>
      </c>
      <c r="BD338" t="s" s="0">
        <v>81</v>
      </c>
      <c r="BE338" t="s" s="0">
        <v>81</v>
      </c>
      <c r="BF338" t="s" s="0">
        <v>81</v>
      </c>
      <c r="BG338" t="s" s="0">
        <v>81</v>
      </c>
      <c r="BH338" t="s" s="0">
        <v>81</v>
      </c>
      <c r="BI338" t="s" s="0">
        <v>7592</v>
      </c>
      <c r="BJ338" t="s" s="0">
        <v>7593</v>
      </c>
      <c r="BK338" t="s" s="671">
        <f>HYPERLINK("http://dx.doi.org/10.2196/76598","http://dx.doi.org/10.2196/76598")</f>
        <v>7594</v>
      </c>
      <c r="BL338" t="s" s="0">
        <v>81</v>
      </c>
      <c r="BM338" t="s" s="0">
        <v>81</v>
      </c>
      <c r="BN338" t="s" s="0">
        <v>115</v>
      </c>
      <c r="BO338" t="s" s="0">
        <v>116</v>
      </c>
      <c r="BP338" t="s" s="0">
        <v>116</v>
      </c>
      <c r="BQ338" t="s" s="0">
        <v>7595</v>
      </c>
      <c r="BR338" t="s" s="0">
        <v>7596</v>
      </c>
      <c r="BS338" t="s" s="0">
        <v>7597</v>
      </c>
      <c r="BT338" t="s" s="672">
        <f>HYPERLINK("https://www.webofscience.com/wos/woscc/full-record/WOS:001632694900005","View Record in Web of Science")</f>
        <v>120</v>
      </c>
      <c r="BU338" t="s" s="0">
        <v>121</v>
      </c>
      <c r="BV338" t="s" s="0">
        <v>81</v>
      </c>
      <c r="BW338" t="s" s="0">
        <v>81</v>
      </c>
      <c r="BX338" t="s" s="0">
        <v>122</v>
      </c>
    </row>
    <row r="339">
      <c r="A339" t="s" s="0">
        <v>77</v>
      </c>
      <c r="B339" t="s" s="0">
        <v>77</v>
      </c>
      <c r="C339" t="s" s="0">
        <v>77</v>
      </c>
      <c r="D339" t="s" s="0">
        <v>77</v>
      </c>
      <c r="E339" t="s" s="0">
        <v>7598</v>
      </c>
      <c r="F339" t="s" s="0">
        <v>7599</v>
      </c>
      <c r="G339" t="s" s="0">
        <v>7600</v>
      </c>
      <c r="H339" t="s" s="0">
        <v>81</v>
      </c>
      <c r="I339" t="s" s="0">
        <v>218</v>
      </c>
      <c r="J339" t="s" s="0">
        <v>7601</v>
      </c>
      <c r="K339" t="s" s="0">
        <v>7602</v>
      </c>
      <c r="L339" t="s" s="0">
        <v>81</v>
      </c>
      <c r="M339" t="s" s="0">
        <v>81</v>
      </c>
      <c r="N339" t="s" s="0">
        <v>81</v>
      </c>
      <c r="O339" t="s" s="0">
        <v>7603</v>
      </c>
      <c r="P339" t="s" s="0">
        <v>7604</v>
      </c>
      <c r="Q339" t="s" s="0">
        <v>90</v>
      </c>
      <c r="R339" t="s" s="0">
        <v>81</v>
      </c>
      <c r="S339" t="s" s="0">
        <v>81</v>
      </c>
      <c r="T339" t="s" s="0">
        <v>81</v>
      </c>
      <c r="U339" t="s" s="0">
        <v>81</v>
      </c>
      <c r="V339" t="s" s="0">
        <v>7605</v>
      </c>
      <c r="W339" t="s" s="0">
        <v>7606</v>
      </c>
      <c r="X339" t="s" s="0">
        <v>81</v>
      </c>
      <c r="Y339" t="s" s="0">
        <v>81</v>
      </c>
      <c r="Z339" t="s" s="0">
        <v>93</v>
      </c>
      <c r="AA339" t="s" s="0">
        <v>94</v>
      </c>
      <c r="AB339" t="s" s="0">
        <v>81</v>
      </c>
      <c r="AC339" t="s" s="0">
        <v>81</v>
      </c>
      <c r="AD339" t="s" s="0">
        <v>81</v>
      </c>
      <c r="AE339" t="s" s="0">
        <v>81</v>
      </c>
      <c r="AF339" t="s" s="0">
        <v>81</v>
      </c>
      <c r="AG339" t="s" s="0">
        <v>7607</v>
      </c>
      <c r="AH339" t="s" s="0">
        <v>81</v>
      </c>
      <c r="AI339" t="s" s="0">
        <v>81</v>
      </c>
      <c r="AJ339" t="s" s="0">
        <v>81</v>
      </c>
      <c r="AK339" t="s" s="0">
        <v>81</v>
      </c>
      <c r="AL339" t="s" s="0">
        <v>145</v>
      </c>
      <c r="AM339" t="s" s="0">
        <v>99</v>
      </c>
      <c r="AN339" t="s" s="0">
        <v>99</v>
      </c>
      <c r="AO339" t="s" s="0">
        <v>210</v>
      </c>
      <c r="AP339" t="s" s="0">
        <v>111</v>
      </c>
      <c r="AQ339" t="s" s="0">
        <v>7608</v>
      </c>
      <c r="AR339" t="s" s="0">
        <v>7609</v>
      </c>
      <c r="AS339" t="s" s="0">
        <v>7610</v>
      </c>
      <c r="AT339" t="s" s="0">
        <v>7611</v>
      </c>
      <c r="AU339" t="s" s="0">
        <v>7612</v>
      </c>
      <c r="AV339" t="s" s="0">
        <v>81</v>
      </c>
      <c r="AW339" t="s" s="0">
        <v>7613</v>
      </c>
      <c r="AX339" t="s" s="0">
        <v>7614</v>
      </c>
      <c r="AY339" t="s" s="0">
        <v>7615</v>
      </c>
      <c r="AZ339" t="s" s="0">
        <v>110</v>
      </c>
      <c r="BA339" t="s" s="0">
        <v>210</v>
      </c>
      <c r="BB339" t="s" s="0">
        <v>101</v>
      </c>
      <c r="BC339" t="s" s="0">
        <v>81</v>
      </c>
      <c r="BD339" t="s" s="0">
        <v>81</v>
      </c>
      <c r="BE339" t="s" s="0">
        <v>81</v>
      </c>
      <c r="BF339" t="s" s="0">
        <v>81</v>
      </c>
      <c r="BG339" t="s" s="0">
        <v>7616</v>
      </c>
      <c r="BH339" t="s" s="0">
        <v>7617</v>
      </c>
      <c r="BI339" t="s" s="0">
        <v>81</v>
      </c>
      <c r="BJ339" t="s" s="0">
        <v>7618</v>
      </c>
      <c r="BK339" t="s" s="673">
        <f>HYPERLINK("http://dx.doi.org/10.31662/jmaj.2024-0375","http://dx.doi.org/10.31662/jmaj.2024-0375")</f>
        <v>7619</v>
      </c>
      <c r="BL339" t="s" s="0">
        <v>81</v>
      </c>
      <c r="BM339" t="s" s="0">
        <v>1056</v>
      </c>
      <c r="BN339" t="s" s="0">
        <v>452</v>
      </c>
      <c r="BO339" t="s" s="0">
        <v>149</v>
      </c>
      <c r="BP339" t="s" s="0">
        <v>150</v>
      </c>
      <c r="BQ339" t="s" s="0">
        <v>7620</v>
      </c>
      <c r="BR339" t="s" s="0">
        <v>7621</v>
      </c>
      <c r="BS339" t="s" s="0">
        <v>7622</v>
      </c>
      <c r="BT339" t="s" s="674">
        <f>HYPERLINK("https://www.webofscience.com/wos/woscc/full-record/WOS:001524178500001","View Record in Web of Science")</f>
        <v>120</v>
      </c>
      <c r="BU339" t="s" s="0">
        <v>121</v>
      </c>
      <c r="BV339" t="s" s="0">
        <v>81</v>
      </c>
      <c r="BW339" t="s" s="0">
        <v>81</v>
      </c>
      <c r="BX339" t="s" s="0">
        <v>122</v>
      </c>
    </row>
    <row r="340">
      <c r="A340" t="s" s="0">
        <v>77</v>
      </c>
      <c r="B340" t="s" s="0">
        <v>77</v>
      </c>
      <c r="C340" t="s" s="0">
        <v>77</v>
      </c>
      <c r="D340" t="s" s="0">
        <v>77</v>
      </c>
      <c r="E340" t="s" s="0">
        <v>7623</v>
      </c>
      <c r="F340" t="s" s="0">
        <v>7624</v>
      </c>
      <c r="G340" t="s" s="0">
        <v>7625</v>
      </c>
      <c r="H340" t="s" s="0">
        <v>81</v>
      </c>
      <c r="I340" t="s" s="0">
        <v>218</v>
      </c>
      <c r="J340" t="s" s="0">
        <v>81</v>
      </c>
      <c r="K340" t="s" s="0">
        <v>7626</v>
      </c>
      <c r="L340" t="s" s="0">
        <v>81</v>
      </c>
      <c r="M340" t="s" s="0">
        <v>81</v>
      </c>
      <c r="N340" t="s" s="0">
        <v>81</v>
      </c>
      <c r="O340" t="s" s="0">
        <v>81</v>
      </c>
      <c r="P340" t="s" s="0">
        <v>81</v>
      </c>
      <c r="Q340" t="s" s="0">
        <v>90</v>
      </c>
      <c r="R340" t="s" s="0">
        <v>81</v>
      </c>
      <c r="S340" t="s" s="0">
        <v>81</v>
      </c>
      <c r="T340" t="s" s="0">
        <v>81</v>
      </c>
      <c r="U340" t="s" s="0">
        <v>81</v>
      </c>
      <c r="V340" t="s" s="0">
        <v>7627</v>
      </c>
      <c r="W340" t="s" s="0">
        <v>7628</v>
      </c>
      <c r="X340" t="s" s="0">
        <v>81</v>
      </c>
      <c r="Y340" t="s" s="0">
        <v>81</v>
      </c>
      <c r="Z340" t="s" s="0">
        <v>93</v>
      </c>
      <c r="AA340" t="s" s="0">
        <v>196</v>
      </c>
      <c r="AB340" t="s" s="0">
        <v>81</v>
      </c>
      <c r="AC340" t="s" s="0">
        <v>81</v>
      </c>
      <c r="AD340" t="s" s="0">
        <v>81</v>
      </c>
      <c r="AE340" t="s" s="0">
        <v>81</v>
      </c>
      <c r="AF340" t="s" s="0">
        <v>81</v>
      </c>
      <c r="AG340" t="s" s="0">
        <v>7629</v>
      </c>
      <c r="AH340" t="s" s="0">
        <v>7630</v>
      </c>
      <c r="AI340" t="s" s="0">
        <v>81</v>
      </c>
      <c r="AJ340" t="s" s="0">
        <v>81</v>
      </c>
      <c r="AK340" t="s" s="0">
        <v>81</v>
      </c>
      <c r="AL340" t="s" s="0">
        <v>553</v>
      </c>
      <c r="AM340" t="s" s="0">
        <v>77</v>
      </c>
      <c r="AN340" t="s" s="0">
        <v>77</v>
      </c>
      <c r="AO340" t="s" s="0">
        <v>77</v>
      </c>
      <c r="AP340" t="s" s="0">
        <v>77</v>
      </c>
      <c r="AQ340" t="s" s="0">
        <v>7631</v>
      </c>
      <c r="AR340" t="s" s="0">
        <v>995</v>
      </c>
      <c r="AS340" t="s" s="0">
        <v>7632</v>
      </c>
      <c r="AT340" t="s" s="0">
        <v>7633</v>
      </c>
      <c r="AU340" t="s" s="0">
        <v>7634</v>
      </c>
      <c r="AV340" t="s" s="0">
        <v>81</v>
      </c>
      <c r="AW340" t="s" s="0">
        <v>7635</v>
      </c>
      <c r="AX340" t="s" s="0">
        <v>7636</v>
      </c>
      <c r="AY340" t="s" s="0">
        <v>81</v>
      </c>
      <c r="AZ340" t="s" s="0">
        <v>144</v>
      </c>
      <c r="BA340" t="s" s="0">
        <v>81</v>
      </c>
      <c r="BB340" t="s" s="0">
        <v>81</v>
      </c>
      <c r="BC340" t="s" s="0">
        <v>81</v>
      </c>
      <c r="BD340" t="s" s="0">
        <v>81</v>
      </c>
      <c r="BE340" t="s" s="0">
        <v>81</v>
      </c>
      <c r="BF340" t="s" s="0">
        <v>81</v>
      </c>
      <c r="BG340" t="s" s="0">
        <v>81</v>
      </c>
      <c r="BH340" t="s" s="0">
        <v>81</v>
      </c>
      <c r="BI340" t="s" s="0">
        <v>81</v>
      </c>
      <c r="BJ340" t="s" s="0">
        <v>7637</v>
      </c>
      <c r="BK340" t="s" s="675">
        <f>HYPERLINK("http://dx.doi.org/10.1080/02508281.2026.2705480","http://dx.doi.org/10.1080/02508281.2026.2705480")</f>
        <v>7638</v>
      </c>
      <c r="BL340" t="s" s="0">
        <v>81</v>
      </c>
      <c r="BM340" t="s" s="0">
        <v>3047</v>
      </c>
      <c r="BN340" t="s" s="0">
        <v>145</v>
      </c>
      <c r="BO340" t="s" s="0">
        <v>7639</v>
      </c>
      <c r="BP340" t="s" s="0">
        <v>7640</v>
      </c>
      <c r="BQ340" t="s" s="0">
        <v>7641</v>
      </c>
      <c r="BR340" t="s" s="0">
        <v>81</v>
      </c>
      <c r="BS340" t="s" s="0">
        <v>7642</v>
      </c>
      <c r="BT340" t="s" s="676">
        <f>HYPERLINK("https://www.webofscience.com/wos/woscc/full-record/WOS:001838326300001","View Record in Web of Science")</f>
        <v>120</v>
      </c>
      <c r="BU340" t="s" s="0">
        <v>81</v>
      </c>
      <c r="BV340" t="s" s="0">
        <v>81</v>
      </c>
      <c r="BW340" t="s" s="0">
        <v>81</v>
      </c>
      <c r="BX340" t="s" s="0">
        <v>122</v>
      </c>
    </row>
    <row r="341">
      <c r="A341" t="s" s="0">
        <v>77</v>
      </c>
      <c r="B341" t="s" s="0">
        <v>77</v>
      </c>
      <c r="C341" t="s" s="0">
        <v>77</v>
      </c>
      <c r="D341" t="s" s="0">
        <v>77</v>
      </c>
      <c r="E341" t="s" s="0">
        <v>7643</v>
      </c>
      <c r="F341" t="s" s="0">
        <v>7644</v>
      </c>
      <c r="G341" t="s" s="0">
        <v>7645</v>
      </c>
      <c r="H341" t="s" s="0">
        <v>81</v>
      </c>
      <c r="I341" t="s" s="0">
        <v>82</v>
      </c>
      <c r="J341" t="s" s="0">
        <v>7646</v>
      </c>
      <c r="K341" t="s" s="0">
        <v>7647</v>
      </c>
      <c r="L341" t="s" s="0">
        <v>7648</v>
      </c>
      <c r="M341" t="s" s="0">
        <v>7649</v>
      </c>
      <c r="N341" t="s" s="0">
        <v>7650</v>
      </c>
      <c r="O341" t="s" s="0">
        <v>7651</v>
      </c>
      <c r="P341" t="s" s="0">
        <v>7652</v>
      </c>
      <c r="Q341" t="s" s="0">
        <v>90</v>
      </c>
      <c r="R341" t="s" s="0">
        <v>81</v>
      </c>
      <c r="S341" t="s" s="0">
        <v>81</v>
      </c>
      <c r="T341" t="s" s="0">
        <v>81</v>
      </c>
      <c r="U341" t="s" s="0">
        <v>81</v>
      </c>
      <c r="V341" t="s" s="0">
        <v>7653</v>
      </c>
      <c r="W341" t="s" s="0">
        <v>4260</v>
      </c>
      <c r="X341" t="s" s="0">
        <v>81</v>
      </c>
      <c r="Y341" t="s" s="0">
        <v>81</v>
      </c>
      <c r="Z341" t="s" s="0">
        <v>93</v>
      </c>
      <c r="AA341" t="s" s="0">
        <v>196</v>
      </c>
      <c r="AB341" t="s" s="0">
        <v>81</v>
      </c>
      <c r="AC341" t="s" s="0">
        <v>81</v>
      </c>
      <c r="AD341" t="s" s="0">
        <v>81</v>
      </c>
      <c r="AE341" t="s" s="0">
        <v>81</v>
      </c>
      <c r="AF341" t="s" s="0">
        <v>81</v>
      </c>
      <c r="AG341" t="s" s="0">
        <v>7654</v>
      </c>
      <c r="AH341" t="s" s="0">
        <v>81</v>
      </c>
      <c r="AI341" t="s" s="0">
        <v>7655</v>
      </c>
      <c r="AJ341" t="s" s="0">
        <v>81</v>
      </c>
      <c r="AK341" t="s" s="0">
        <v>81</v>
      </c>
      <c r="AL341" t="s" s="0">
        <v>1799</v>
      </c>
      <c r="AM341" t="s" s="0">
        <v>169</v>
      </c>
      <c r="AN341" t="s" s="0">
        <v>169</v>
      </c>
      <c r="AO341" t="s" s="0">
        <v>77</v>
      </c>
      <c r="AP341" t="s" s="0">
        <v>77</v>
      </c>
      <c r="AQ341" t="s" s="0">
        <v>1544</v>
      </c>
      <c r="AR341" t="s" s="0">
        <v>1545</v>
      </c>
      <c r="AS341" t="s" s="0">
        <v>1546</v>
      </c>
      <c r="AT341" t="s" s="0">
        <v>4263</v>
      </c>
      <c r="AU341" t="s" s="0">
        <v>4264</v>
      </c>
      <c r="AV341" t="s" s="0">
        <v>81</v>
      </c>
      <c r="AW341" t="s" s="0">
        <v>4265</v>
      </c>
      <c r="AX341" t="s" s="0">
        <v>4266</v>
      </c>
      <c r="AY341" t="s" s="0">
        <v>81</v>
      </c>
      <c r="AZ341" t="s" s="0">
        <v>144</v>
      </c>
      <c r="BA341" t="s" s="0">
        <v>81</v>
      </c>
      <c r="BB341" t="s" s="0">
        <v>81</v>
      </c>
      <c r="BC341" t="s" s="0">
        <v>81</v>
      </c>
      <c r="BD341" t="s" s="0">
        <v>81</v>
      </c>
      <c r="BE341" t="s" s="0">
        <v>81</v>
      </c>
      <c r="BF341" t="s" s="0">
        <v>81</v>
      </c>
      <c r="BG341" t="s" s="0">
        <v>81</v>
      </c>
      <c r="BH341" t="s" s="0">
        <v>81</v>
      </c>
      <c r="BI341" t="s" s="0">
        <v>81</v>
      </c>
      <c r="BJ341" t="s" s="0">
        <v>7656</v>
      </c>
      <c r="BK341" t="s" s="677">
        <f>HYPERLINK("http://dx.doi.org/10.1002/ca.70177","http://dx.doi.org/10.1002/ca.70177")</f>
        <v>7657</v>
      </c>
      <c r="BL341" t="s" s="0">
        <v>81</v>
      </c>
      <c r="BM341" t="s" s="0">
        <v>143</v>
      </c>
      <c r="BN341" t="s" s="0">
        <v>360</v>
      </c>
      <c r="BO341" t="s" s="0">
        <v>4269</v>
      </c>
      <c r="BP341" t="s" s="0">
        <v>4269</v>
      </c>
      <c r="BQ341" t="s" s="0">
        <v>7658</v>
      </c>
      <c r="BR341" t="s" s="0">
        <v>7659</v>
      </c>
      <c r="BS341" t="s" s="0">
        <v>7660</v>
      </c>
      <c r="BT341" t="s" s="678">
        <f>HYPERLINK("https://www.webofscience.com/wos/woscc/full-record/WOS:001810755900001","View Record in Web of Science")</f>
        <v>120</v>
      </c>
      <c r="BU341" t="s" s="0">
        <v>81</v>
      </c>
      <c r="BV341" t="s" s="0">
        <v>81</v>
      </c>
      <c r="BW341" t="s" s="0">
        <v>81</v>
      </c>
      <c r="BX341" t="s" s="0">
        <v>122</v>
      </c>
    </row>
    <row r="342">
      <c r="A342" t="s" s="0">
        <v>77</v>
      </c>
      <c r="B342" t="s" s="0">
        <v>77</v>
      </c>
      <c r="C342" t="s" s="0">
        <v>554</v>
      </c>
      <c r="D342" t="s" s="0">
        <v>77</v>
      </c>
      <c r="E342" t="s" s="0">
        <v>7661</v>
      </c>
      <c r="F342" t="s" s="0">
        <v>7662</v>
      </c>
      <c r="G342" t="s" s="0">
        <v>7663</v>
      </c>
      <c r="H342" t="s" s="0">
        <v>81</v>
      </c>
      <c r="I342" t="s" s="0">
        <v>82</v>
      </c>
      <c r="J342" t="s" s="0">
        <v>7664</v>
      </c>
      <c r="K342" t="s" s="0">
        <v>7665</v>
      </c>
      <c r="L342" t="s" s="0">
        <v>7666</v>
      </c>
      <c r="M342" t="s" s="0">
        <v>7667</v>
      </c>
      <c r="N342" t="s" s="0">
        <v>7668</v>
      </c>
      <c r="O342" t="s" s="0">
        <v>7669</v>
      </c>
      <c r="P342" t="s" s="0">
        <v>7670</v>
      </c>
      <c r="Q342" t="s" s="0">
        <v>90</v>
      </c>
      <c r="R342" t="s" s="0">
        <v>81</v>
      </c>
      <c r="S342" t="s" s="0">
        <v>81</v>
      </c>
      <c r="T342" t="s" s="0">
        <v>81</v>
      </c>
      <c r="U342" t="s" s="0">
        <v>81</v>
      </c>
      <c r="V342" t="s" s="0">
        <v>7671</v>
      </c>
      <c r="W342" t="s" s="0">
        <v>7672</v>
      </c>
      <c r="X342" t="s" s="0">
        <v>81</v>
      </c>
      <c r="Y342" t="s" s="0">
        <v>81</v>
      </c>
      <c r="Z342" t="s" s="0">
        <v>93</v>
      </c>
      <c r="AA342" t="s" s="0">
        <v>94</v>
      </c>
      <c r="AB342" t="s" s="0">
        <v>81</v>
      </c>
      <c r="AC342" t="s" s="0">
        <v>81</v>
      </c>
      <c r="AD342" t="s" s="0">
        <v>81</v>
      </c>
      <c r="AE342" t="s" s="0">
        <v>81</v>
      </c>
      <c r="AF342" t="s" s="0">
        <v>81</v>
      </c>
      <c r="AG342" t="s" s="0">
        <v>7673</v>
      </c>
      <c r="AH342" t="s" s="0">
        <v>81</v>
      </c>
      <c r="AI342" t="s" s="0">
        <v>7674</v>
      </c>
      <c r="AJ342" t="s" s="0">
        <v>81</v>
      </c>
      <c r="AK342" t="s" s="0">
        <v>81</v>
      </c>
      <c r="AL342" t="s" s="0">
        <v>1106</v>
      </c>
      <c r="AM342" t="s" s="0">
        <v>1232</v>
      </c>
      <c r="AN342" t="s" s="0">
        <v>637</v>
      </c>
      <c r="AO342" t="s" s="0">
        <v>445</v>
      </c>
      <c r="AP342" t="s" s="0">
        <v>7675</v>
      </c>
      <c r="AQ342" t="s" s="0">
        <v>712</v>
      </c>
      <c r="AR342" t="s" s="0">
        <v>500</v>
      </c>
      <c r="AS342" t="s" s="0">
        <v>3042</v>
      </c>
      <c r="AT342" t="s" s="0">
        <v>81</v>
      </c>
      <c r="AU342" t="s" s="0">
        <v>7676</v>
      </c>
      <c r="AV342" t="s" s="0">
        <v>81</v>
      </c>
      <c r="AW342" t="s" s="0">
        <v>7677</v>
      </c>
      <c r="AX342" t="s" s="0">
        <v>7678</v>
      </c>
      <c r="AY342" t="s" s="0">
        <v>7679</v>
      </c>
      <c r="AZ342" t="s" s="0">
        <v>592</v>
      </c>
      <c r="BA342" t="s" s="0">
        <v>115</v>
      </c>
      <c r="BB342" t="s" s="0">
        <v>99</v>
      </c>
      <c r="BC342" t="s" s="0">
        <v>81</v>
      </c>
      <c r="BD342" t="s" s="0">
        <v>81</v>
      </c>
      <c r="BE342" t="s" s="0">
        <v>81</v>
      </c>
      <c r="BF342" t="s" s="0">
        <v>81</v>
      </c>
      <c r="BG342" t="s" s="0">
        <v>81</v>
      </c>
      <c r="BH342" t="s" s="0">
        <v>81</v>
      </c>
      <c r="BI342" t="s" s="0">
        <v>7680</v>
      </c>
      <c r="BJ342" t="s" s="0">
        <v>7681</v>
      </c>
      <c r="BK342" t="s" s="679">
        <f>HYPERLINK("http://dx.doi.org/10.1016/j.apjo.2024.100091","http://dx.doi.org/10.1016/j.apjo.2024.100091")</f>
        <v>7682</v>
      </c>
      <c r="BL342" t="s" s="0">
        <v>81</v>
      </c>
      <c r="BM342" t="s" s="0">
        <v>591</v>
      </c>
      <c r="BN342" t="s" s="0">
        <v>452</v>
      </c>
      <c r="BO342" t="s" s="0">
        <v>211</v>
      </c>
      <c r="BP342" t="s" s="0">
        <v>211</v>
      </c>
      <c r="BQ342" t="s" s="0">
        <v>7683</v>
      </c>
      <c r="BR342" t="s" s="0">
        <v>7684</v>
      </c>
      <c r="BS342" t="s" s="0">
        <v>7685</v>
      </c>
      <c r="BT342" t="s" s="680">
        <f>HYPERLINK("https://www.webofscience.com/wos/woscc/full-record/WOS:001309019100001","View Record in Web of Science")</f>
        <v>120</v>
      </c>
      <c r="BU342" t="s" s="0">
        <v>1216</v>
      </c>
      <c r="BV342" t="s" s="0">
        <v>81</v>
      </c>
      <c r="BW342" t="s" s="0">
        <v>81</v>
      </c>
      <c r="BX342" t="s" s="0">
        <v>122</v>
      </c>
    </row>
    <row r="343">
      <c r="A343" t="s" s="0">
        <v>77</v>
      </c>
      <c r="B343" t="s" s="0">
        <v>77</v>
      </c>
      <c r="C343" t="s" s="0">
        <v>210</v>
      </c>
      <c r="D343" t="s" s="0">
        <v>452</v>
      </c>
      <c r="E343" t="s" s="0">
        <v>7686</v>
      </c>
      <c r="F343" t="s" s="0">
        <v>7687</v>
      </c>
      <c r="G343" t="s" s="0">
        <v>7688</v>
      </c>
      <c r="H343" t="s" s="0">
        <v>81</v>
      </c>
      <c r="I343" t="s" s="0">
        <v>82</v>
      </c>
      <c r="J343" t="s" s="0">
        <v>7689</v>
      </c>
      <c r="K343" t="s" s="0">
        <v>7690</v>
      </c>
      <c r="L343" t="s" s="0">
        <v>7691</v>
      </c>
      <c r="M343" t="s" s="0">
        <v>7692</v>
      </c>
      <c r="N343" t="s" s="0">
        <v>7693</v>
      </c>
      <c r="O343" t="s" s="0">
        <v>7694</v>
      </c>
      <c r="P343" t="s" s="0">
        <v>7695</v>
      </c>
      <c r="Q343" t="s" s="0">
        <v>90</v>
      </c>
      <c r="R343" t="s" s="0">
        <v>81</v>
      </c>
      <c r="S343" t="s" s="0">
        <v>81</v>
      </c>
      <c r="T343" t="s" s="0">
        <v>81</v>
      </c>
      <c r="U343" t="s" s="0">
        <v>81</v>
      </c>
      <c r="V343" t="s" s="0">
        <v>7696</v>
      </c>
      <c r="W343" t="s" s="0">
        <v>7697</v>
      </c>
      <c r="X343" t="s" s="0">
        <v>81</v>
      </c>
      <c r="Y343" t="s" s="0">
        <v>81</v>
      </c>
      <c r="Z343" t="s" s="0">
        <v>93</v>
      </c>
      <c r="AA343" t="s" s="0">
        <v>94</v>
      </c>
      <c r="AB343" t="s" s="0">
        <v>81</v>
      </c>
      <c r="AC343" t="s" s="0">
        <v>81</v>
      </c>
      <c r="AD343" t="s" s="0">
        <v>81</v>
      </c>
      <c r="AE343" t="s" s="0">
        <v>81</v>
      </c>
      <c r="AF343" t="s" s="0">
        <v>81</v>
      </c>
      <c r="AG343" t="s" s="0">
        <v>7698</v>
      </c>
      <c r="AH343" t="s" s="0">
        <v>81</v>
      </c>
      <c r="AI343" t="s" s="0">
        <v>81</v>
      </c>
      <c r="AJ343" t="s" s="0">
        <v>81</v>
      </c>
      <c r="AK343" t="s" s="0">
        <v>81</v>
      </c>
      <c r="AL343" t="s" s="0">
        <v>210</v>
      </c>
      <c r="AM343" t="s" s="0">
        <v>1580</v>
      </c>
      <c r="AN343" t="s" s="0">
        <v>1275</v>
      </c>
      <c r="AO343" t="s" s="0">
        <v>452</v>
      </c>
      <c r="AP343" t="s" s="0">
        <v>7699</v>
      </c>
      <c r="AQ343" t="s" s="0">
        <v>1544</v>
      </c>
      <c r="AR343" t="s" s="0">
        <v>1545</v>
      </c>
      <c r="AS343" t="s" s="0">
        <v>1546</v>
      </c>
      <c r="AT343" t="s" s="0">
        <v>7700</v>
      </c>
      <c r="AU343" t="s" s="0">
        <v>7701</v>
      </c>
      <c r="AV343" t="s" s="0">
        <v>81</v>
      </c>
      <c r="AW343" t="s" s="0">
        <v>7702</v>
      </c>
      <c r="AX343" t="s" s="0">
        <v>7703</v>
      </c>
      <c r="AY343" t="s" s="0">
        <v>718</v>
      </c>
      <c r="AZ343" t="s" s="0">
        <v>629</v>
      </c>
      <c r="BA343" t="s" s="0">
        <v>168</v>
      </c>
      <c r="BB343" t="s" s="0">
        <v>100</v>
      </c>
      <c r="BC343" t="s" s="0">
        <v>81</v>
      </c>
      <c r="BD343" t="s" s="0">
        <v>81</v>
      </c>
      <c r="BE343" t="s" s="0">
        <v>81</v>
      </c>
      <c r="BF343" t="s" s="0">
        <v>81</v>
      </c>
      <c r="BG343" t="s" s="0">
        <v>7704</v>
      </c>
      <c r="BH343" t="s" s="0">
        <v>7705</v>
      </c>
      <c r="BI343" t="s" s="0">
        <v>81</v>
      </c>
      <c r="BJ343" t="s" s="0">
        <v>7706</v>
      </c>
      <c r="BK343" t="s" s="681">
        <f>HYPERLINK("http://dx.doi.org/10.1111/1742-6723.14233","http://dx.doi.org/10.1111/1742-6723.14233")</f>
        <v>7707</v>
      </c>
      <c r="BL343" t="s" s="0">
        <v>81</v>
      </c>
      <c r="BM343" t="s" s="0">
        <v>7708</v>
      </c>
      <c r="BN343" t="s" s="0">
        <v>101</v>
      </c>
      <c r="BO343" t="s" s="0">
        <v>5069</v>
      </c>
      <c r="BP343" t="s" s="0">
        <v>5069</v>
      </c>
      <c r="BQ343" t="s" s="0">
        <v>7709</v>
      </c>
      <c r="BR343" t="s" s="0">
        <v>7710</v>
      </c>
      <c r="BS343" t="s" s="0">
        <v>7711</v>
      </c>
      <c r="BT343" t="s" s="682">
        <f>HYPERLINK("https://www.webofscience.com/wos/woscc/full-record/WOS:000982008800001","View Record in Web of Science")</f>
        <v>120</v>
      </c>
      <c r="BU343" t="s" s="0">
        <v>186</v>
      </c>
      <c r="BV343" t="s" s="0">
        <v>81</v>
      </c>
      <c r="BW343" t="s" s="0">
        <v>81</v>
      </c>
      <c r="BX343" t="s" s="0">
        <v>122</v>
      </c>
    </row>
    <row r="344">
      <c r="A344" t="s" s="0">
        <v>169</v>
      </c>
      <c r="B344" t="s" s="0">
        <v>77</v>
      </c>
      <c r="C344" t="s" s="0">
        <v>554</v>
      </c>
      <c r="D344" t="s" s="0">
        <v>77</v>
      </c>
      <c r="E344" t="s" s="0">
        <v>7712</v>
      </c>
      <c r="F344" t="s" s="0">
        <v>7713</v>
      </c>
      <c r="G344" t="s" s="0">
        <v>7714</v>
      </c>
      <c r="H344" t="s" s="0">
        <v>81</v>
      </c>
      <c r="I344" t="s" s="0">
        <v>218</v>
      </c>
      <c r="J344" t="s" s="0">
        <v>7715</v>
      </c>
      <c r="K344" t="s" s="0">
        <v>7716</v>
      </c>
      <c r="L344" t="s" s="0">
        <v>7717</v>
      </c>
      <c r="M344" t="s" s="0">
        <v>7717</v>
      </c>
      <c r="N344" t="s" s="0">
        <v>7718</v>
      </c>
      <c r="O344" t="s" s="0">
        <v>7719</v>
      </c>
      <c r="P344" t="s" s="0">
        <v>7720</v>
      </c>
      <c r="Q344" t="s" s="0">
        <v>90</v>
      </c>
      <c r="R344" t="s" s="0">
        <v>81</v>
      </c>
      <c r="S344" t="s" s="0">
        <v>81</v>
      </c>
      <c r="T344" t="s" s="0">
        <v>81</v>
      </c>
      <c r="U344" t="s" s="0">
        <v>81</v>
      </c>
      <c r="V344" t="s" s="0">
        <v>7721</v>
      </c>
      <c r="W344" t="s" s="0">
        <v>7722</v>
      </c>
      <c r="X344" t="s" s="0">
        <v>81</v>
      </c>
      <c r="Y344" t="s" s="0">
        <v>81</v>
      </c>
      <c r="Z344" t="s" s="0">
        <v>93</v>
      </c>
      <c r="AA344" t="s" s="0">
        <v>94</v>
      </c>
      <c r="AB344" t="s" s="0">
        <v>81</v>
      </c>
      <c r="AC344" t="s" s="0">
        <v>81</v>
      </c>
      <c r="AD344" t="s" s="0">
        <v>81</v>
      </c>
      <c r="AE344" t="s" s="0">
        <v>81</v>
      </c>
      <c r="AF344" t="s" s="0">
        <v>81</v>
      </c>
      <c r="AG344" t="s" s="0">
        <v>7723</v>
      </c>
      <c r="AH344" t="s" s="0">
        <v>7724</v>
      </c>
      <c r="AI344" t="s" s="0">
        <v>7725</v>
      </c>
      <c r="AJ344" t="s" s="0">
        <v>81</v>
      </c>
      <c r="AK344" t="s" s="0">
        <v>81</v>
      </c>
      <c r="AL344" t="s" s="0">
        <v>445</v>
      </c>
      <c r="AM344" t="s" s="0">
        <v>526</v>
      </c>
      <c r="AN344" t="s" s="0">
        <v>438</v>
      </c>
      <c r="AO344" t="s" s="0">
        <v>554</v>
      </c>
      <c r="AP344" t="s" s="0">
        <v>261</v>
      </c>
      <c r="AQ344" t="s" s="0">
        <v>1380</v>
      </c>
      <c r="AR344" t="s" s="0">
        <v>201</v>
      </c>
      <c r="AS344" t="s" s="0">
        <v>3233</v>
      </c>
      <c r="AT344" t="s" s="0">
        <v>81</v>
      </c>
      <c r="AU344" t="s" s="0">
        <v>7726</v>
      </c>
      <c r="AV344" t="s" s="0">
        <v>81</v>
      </c>
      <c r="AW344" t="s" s="0">
        <v>7727</v>
      </c>
      <c r="AX344" t="s" s="0">
        <v>7728</v>
      </c>
      <c r="AY344" t="s" s="0">
        <v>3531</v>
      </c>
      <c r="AZ344" t="s" s="0">
        <v>110</v>
      </c>
      <c r="BA344" t="s" s="0">
        <v>1118</v>
      </c>
      <c r="BB344" t="s" s="0">
        <v>169</v>
      </c>
      <c r="BC344" t="s" s="0">
        <v>81</v>
      </c>
      <c r="BD344" t="s" s="0">
        <v>81</v>
      </c>
      <c r="BE344" t="s" s="0">
        <v>81</v>
      </c>
      <c r="BF344" t="s" s="0">
        <v>81</v>
      </c>
      <c r="BG344" t="s" s="0">
        <v>81</v>
      </c>
      <c r="BH344" t="s" s="0">
        <v>81</v>
      </c>
      <c r="BI344" t="s" s="0">
        <v>1772</v>
      </c>
      <c r="BJ344" t="s" s="0">
        <v>7729</v>
      </c>
      <c r="BK344" t="s" s="683">
        <f>HYPERLINK("http://dx.doi.org/10.1186/s13104-025-07157-8","http://dx.doi.org/10.1186/s13104-025-07157-8")</f>
        <v>7730</v>
      </c>
      <c r="BL344" t="s" s="0">
        <v>81</v>
      </c>
      <c r="BM344" t="s" s="0">
        <v>81</v>
      </c>
      <c r="BN344" t="s" s="0">
        <v>100</v>
      </c>
      <c r="BO344" t="s" s="0">
        <v>7731</v>
      </c>
      <c r="BP344" t="s" s="0">
        <v>7732</v>
      </c>
      <c r="BQ344" t="s" s="0">
        <v>7733</v>
      </c>
      <c r="BR344" t="s" s="0">
        <v>7734</v>
      </c>
      <c r="BS344" t="s" s="0">
        <v>7735</v>
      </c>
      <c r="BT344" t="s" s="684">
        <f>HYPERLINK("https://www.webofscience.com/wos/woscc/full-record/WOS:001429199300001","View Record in Web of Science")</f>
        <v>120</v>
      </c>
      <c r="BU344" t="s" s="0">
        <v>121</v>
      </c>
      <c r="BV344" t="s" s="0">
        <v>81</v>
      </c>
      <c r="BW344" t="s" s="0">
        <v>81</v>
      </c>
      <c r="BX344" t="s" s="0">
        <v>122</v>
      </c>
    </row>
    <row r="345">
      <c r="A345" t="s" s="0">
        <v>77</v>
      </c>
      <c r="B345" t="s" s="0">
        <v>77</v>
      </c>
      <c r="C345" t="s" s="0">
        <v>77</v>
      </c>
      <c r="D345" t="s" s="0">
        <v>77</v>
      </c>
      <c r="E345" t="s" s="0">
        <v>7736</v>
      </c>
      <c r="F345" t="s" s="0">
        <v>7737</v>
      </c>
      <c r="G345" t="s" s="0">
        <v>7738</v>
      </c>
      <c r="H345" t="s" s="0">
        <v>81</v>
      </c>
      <c r="I345" t="s" s="0">
        <v>82</v>
      </c>
      <c r="J345" t="s" s="0">
        <v>7739</v>
      </c>
      <c r="K345" t="s" s="0">
        <v>7740</v>
      </c>
      <c r="L345" t="s" s="0">
        <v>81</v>
      </c>
      <c r="M345" t="s" s="0">
        <v>81</v>
      </c>
      <c r="N345" t="s" s="0">
        <v>81</v>
      </c>
      <c r="O345" t="s" s="0">
        <v>7741</v>
      </c>
      <c r="P345" t="s" s="0">
        <v>7742</v>
      </c>
      <c r="Q345" t="s" s="0">
        <v>90</v>
      </c>
      <c r="R345" t="s" s="0">
        <v>81</v>
      </c>
      <c r="S345" t="s" s="0">
        <v>81</v>
      </c>
      <c r="T345" t="s" s="0">
        <v>81</v>
      </c>
      <c r="U345" t="s" s="0">
        <v>81</v>
      </c>
      <c r="V345" t="s" s="0">
        <v>7743</v>
      </c>
      <c r="W345" t="s" s="0">
        <v>7744</v>
      </c>
      <c r="X345" t="s" s="0">
        <v>81</v>
      </c>
      <c r="Y345" t="s" s="0">
        <v>81</v>
      </c>
      <c r="Z345" t="s" s="0">
        <v>93</v>
      </c>
      <c r="AA345" t="s" s="0">
        <v>94</v>
      </c>
      <c r="AB345" t="s" s="0">
        <v>81</v>
      </c>
      <c r="AC345" t="s" s="0">
        <v>81</v>
      </c>
      <c r="AD345" t="s" s="0">
        <v>81</v>
      </c>
      <c r="AE345" t="s" s="0">
        <v>81</v>
      </c>
      <c r="AF345" t="s" s="0">
        <v>81</v>
      </c>
      <c r="AG345" t="s" s="0">
        <v>81</v>
      </c>
      <c r="AH345" t="s" s="0">
        <v>81</v>
      </c>
      <c r="AI345" t="s" s="0">
        <v>81</v>
      </c>
      <c r="AJ345" t="s" s="0">
        <v>7745</v>
      </c>
      <c r="AK345" t="s" s="0">
        <v>81</v>
      </c>
      <c r="AL345" t="s" s="0">
        <v>199</v>
      </c>
      <c r="AM345" t="s" s="0">
        <v>77</v>
      </c>
      <c r="AN345" t="s" s="0">
        <v>77</v>
      </c>
      <c r="AO345" t="s" s="0">
        <v>77</v>
      </c>
      <c r="AP345" t="s" s="0">
        <v>101</v>
      </c>
      <c r="AQ345" t="s" s="0">
        <v>712</v>
      </c>
      <c r="AR345" t="s" s="0">
        <v>500</v>
      </c>
      <c r="AS345" t="s" s="0">
        <v>713</v>
      </c>
      <c r="AT345" t="s" s="0">
        <v>7746</v>
      </c>
      <c r="AU345" t="s" s="0">
        <v>81</v>
      </c>
      <c r="AV345" t="s" s="0">
        <v>81</v>
      </c>
      <c r="AW345" t="s" s="0">
        <v>7747</v>
      </c>
      <c r="AX345" t="s" s="0">
        <v>7748</v>
      </c>
      <c r="AY345" t="s" s="0">
        <v>7749</v>
      </c>
      <c r="AZ345" t="s" s="0">
        <v>110</v>
      </c>
      <c r="BA345" t="s" s="0">
        <v>145</v>
      </c>
      <c r="BB345" t="s" s="0">
        <v>100</v>
      </c>
      <c r="BC345" t="s" s="0">
        <v>81</v>
      </c>
      <c r="BD345" t="s" s="0">
        <v>81</v>
      </c>
      <c r="BE345" t="s" s="0">
        <v>81</v>
      </c>
      <c r="BF345" t="s" s="0">
        <v>81</v>
      </c>
      <c r="BG345" t="s" s="0">
        <v>7750</v>
      </c>
      <c r="BH345" t="s" s="0">
        <v>7751</v>
      </c>
      <c r="BI345" t="s" s="0">
        <v>81</v>
      </c>
      <c r="BJ345" t="s" s="0">
        <v>7752</v>
      </c>
      <c r="BK345" t="s" s="685">
        <f>HYPERLINK("http://dx.doi.org/10.1016/j.prro.2025.02.006","http://dx.doi.org/10.1016/j.prro.2025.02.006")</f>
        <v>7753</v>
      </c>
      <c r="BL345" t="s" s="0">
        <v>81</v>
      </c>
      <c r="BM345" t="s" s="0">
        <v>81</v>
      </c>
      <c r="BN345" t="s" s="0">
        <v>210</v>
      </c>
      <c r="BO345" t="s" s="0">
        <v>4227</v>
      </c>
      <c r="BP345" t="s" s="0">
        <v>4227</v>
      </c>
      <c r="BQ345" t="s" s="0">
        <v>7754</v>
      </c>
      <c r="BR345" t="s" s="0">
        <v>7755</v>
      </c>
      <c r="BS345" t="s" s="0">
        <v>7756</v>
      </c>
      <c r="BT345" t="s" s="686">
        <f>HYPERLINK("https://www.webofscience.com/wos/woscc/full-record/WOS:001723595500001","View Record in Web of Science")</f>
        <v>120</v>
      </c>
      <c r="BU345" t="s" s="0">
        <v>81</v>
      </c>
      <c r="BV345" t="s" s="0">
        <v>81</v>
      </c>
      <c r="BW345" t="s" s="0">
        <v>81</v>
      </c>
      <c r="BX345" t="s" s="0">
        <v>122</v>
      </c>
    </row>
    <row r="346">
      <c r="A346" t="s" s="0">
        <v>77</v>
      </c>
      <c r="B346" t="s" s="0">
        <v>77</v>
      </c>
      <c r="C346" t="s" s="0">
        <v>77</v>
      </c>
      <c r="D346" t="s" s="0">
        <v>77</v>
      </c>
      <c r="E346" t="s" s="0">
        <v>7757</v>
      </c>
      <c r="F346" t="s" s="0">
        <v>7758</v>
      </c>
      <c r="G346" t="s" s="0">
        <v>7759</v>
      </c>
      <c r="H346" t="s" s="0">
        <v>81</v>
      </c>
      <c r="I346" t="s" s="0">
        <v>82</v>
      </c>
      <c r="J346" t="s" s="0">
        <v>7760</v>
      </c>
      <c r="K346" t="s" s="0">
        <v>7761</v>
      </c>
      <c r="L346" t="s" s="0">
        <v>7762</v>
      </c>
      <c r="M346" t="s" s="0">
        <v>7763</v>
      </c>
      <c r="N346" t="s" s="0">
        <v>7764</v>
      </c>
      <c r="O346" t="s" s="0">
        <v>7765</v>
      </c>
      <c r="P346" t="s" s="0">
        <v>7766</v>
      </c>
      <c r="Q346" t="s" s="0">
        <v>90</v>
      </c>
      <c r="R346" t="s" s="0">
        <v>81</v>
      </c>
      <c r="S346" t="s" s="0">
        <v>81</v>
      </c>
      <c r="T346" t="s" s="0">
        <v>81</v>
      </c>
      <c r="U346" t="s" s="0">
        <v>81</v>
      </c>
      <c r="V346" t="s" s="0">
        <v>7767</v>
      </c>
      <c r="W346" t="s" s="0">
        <v>4444</v>
      </c>
      <c r="X346" t="s" s="0">
        <v>81</v>
      </c>
      <c r="Y346" t="s" s="0">
        <v>81</v>
      </c>
      <c r="Z346" t="s" s="0">
        <v>93</v>
      </c>
      <c r="AA346" t="s" s="0">
        <v>94</v>
      </c>
      <c r="AB346" t="s" s="0">
        <v>81</v>
      </c>
      <c r="AC346" t="s" s="0">
        <v>81</v>
      </c>
      <c r="AD346" t="s" s="0">
        <v>81</v>
      </c>
      <c r="AE346" t="s" s="0">
        <v>81</v>
      </c>
      <c r="AF346" t="s" s="0">
        <v>81</v>
      </c>
      <c r="AG346" t="s" s="0">
        <v>7768</v>
      </c>
      <c r="AH346" t="s" s="0">
        <v>7769</v>
      </c>
      <c r="AI346" t="s" s="0">
        <v>81</v>
      </c>
      <c r="AJ346" t="s" s="0">
        <v>81</v>
      </c>
      <c r="AK346" t="s" s="0">
        <v>81</v>
      </c>
      <c r="AL346" t="s" s="0">
        <v>797</v>
      </c>
      <c r="AM346" t="s" s="0">
        <v>77</v>
      </c>
      <c r="AN346" t="s" s="0">
        <v>77</v>
      </c>
      <c r="AO346" t="s" s="0">
        <v>101</v>
      </c>
      <c r="AP346" t="s" s="0">
        <v>101</v>
      </c>
      <c r="AQ346" t="s" s="0">
        <v>3637</v>
      </c>
      <c r="AR346" t="s" s="0">
        <v>528</v>
      </c>
      <c r="AS346" t="s" s="0">
        <v>3638</v>
      </c>
      <c r="AT346" t="s" s="0">
        <v>4447</v>
      </c>
      <c r="AU346" t="s" s="0">
        <v>4448</v>
      </c>
      <c r="AV346" t="s" s="0">
        <v>81</v>
      </c>
      <c r="AW346" t="s" s="0">
        <v>4449</v>
      </c>
      <c r="AX346" t="s" s="0">
        <v>4450</v>
      </c>
      <c r="AY346" t="s" s="0">
        <v>3149</v>
      </c>
      <c r="AZ346" t="s" s="0">
        <v>144</v>
      </c>
      <c r="BA346" t="s" s="0">
        <v>4451</v>
      </c>
      <c r="BB346" t="s" s="0">
        <v>81</v>
      </c>
      <c r="BC346" t="s" s="0">
        <v>81</v>
      </c>
      <c r="BD346" t="s" s="0">
        <v>81</v>
      </c>
      <c r="BE346" t="s" s="0">
        <v>81</v>
      </c>
      <c r="BF346" t="s" s="0">
        <v>81</v>
      </c>
      <c r="BG346" t="s" s="0">
        <v>81</v>
      </c>
      <c r="BH346" t="s" s="0">
        <v>81</v>
      </c>
      <c r="BI346" t="s" s="0">
        <v>7770</v>
      </c>
      <c r="BJ346" t="s" s="0">
        <v>7771</v>
      </c>
      <c r="BK346" t="s" s="687">
        <f>HYPERLINK("http://dx.doi.org/10.1016/j.eswa.2026.131988","http://dx.doi.org/10.1016/j.eswa.2026.131988")</f>
        <v>7772</v>
      </c>
      <c r="BL346" t="s" s="0">
        <v>81</v>
      </c>
      <c r="BM346" t="s" s="0">
        <v>177</v>
      </c>
      <c r="BN346" t="s" s="0">
        <v>438</v>
      </c>
      <c r="BO346" t="s" s="0">
        <v>4455</v>
      </c>
      <c r="BP346" t="s" s="0">
        <v>4456</v>
      </c>
      <c r="BQ346" t="s" s="0">
        <v>7773</v>
      </c>
      <c r="BR346" t="s" s="0">
        <v>81</v>
      </c>
      <c r="BS346" t="s" s="0">
        <v>7774</v>
      </c>
      <c r="BT346" t="s" s="688">
        <f>HYPERLINK("https://www.webofscience.com/wos/woscc/full-record/WOS:001719348700001","View Record in Web of Science")</f>
        <v>120</v>
      </c>
      <c r="BU346" t="s" s="0">
        <v>306</v>
      </c>
      <c r="BV346" t="s" s="0">
        <v>81</v>
      </c>
      <c r="BW346" t="s" s="0">
        <v>81</v>
      </c>
      <c r="BX346" t="s" s="0">
        <v>122</v>
      </c>
    </row>
    <row r="347">
      <c r="A347" t="s" s="0">
        <v>77</v>
      </c>
      <c r="B347" t="s" s="0">
        <v>77</v>
      </c>
      <c r="C347" t="s" s="0">
        <v>77</v>
      </c>
      <c r="D347" t="s" s="0">
        <v>77</v>
      </c>
      <c r="E347" t="s" s="0">
        <v>7775</v>
      </c>
      <c r="F347" t="s" s="0">
        <v>7776</v>
      </c>
      <c r="G347" t="s" s="0">
        <v>7777</v>
      </c>
      <c r="H347" t="s" s="0">
        <v>81</v>
      </c>
      <c r="I347" t="s" s="0">
        <v>82</v>
      </c>
      <c r="J347" t="s" s="0">
        <v>7778</v>
      </c>
      <c r="K347" t="s" s="0">
        <v>7779</v>
      </c>
      <c r="L347" t="s" s="0">
        <v>7780</v>
      </c>
      <c r="M347" t="s" s="0">
        <v>7780</v>
      </c>
      <c r="N347" t="s" s="0">
        <v>7781</v>
      </c>
      <c r="O347" t="s" s="0">
        <v>7782</v>
      </c>
      <c r="P347" t="s" s="0">
        <v>7783</v>
      </c>
      <c r="Q347" t="s" s="0">
        <v>90</v>
      </c>
      <c r="R347" t="s" s="0">
        <v>81</v>
      </c>
      <c r="S347" t="s" s="0">
        <v>81</v>
      </c>
      <c r="T347" t="s" s="0">
        <v>81</v>
      </c>
      <c r="U347" t="s" s="0">
        <v>81</v>
      </c>
      <c r="V347" t="s" s="0">
        <v>7784</v>
      </c>
      <c r="W347" t="s" s="0">
        <v>7785</v>
      </c>
      <c r="X347" t="s" s="0">
        <v>81</v>
      </c>
      <c r="Y347" t="s" s="0">
        <v>81</v>
      </c>
      <c r="Z347" t="s" s="0">
        <v>93</v>
      </c>
      <c r="AA347" t="s" s="0">
        <v>94</v>
      </c>
      <c r="AB347" t="s" s="0">
        <v>81</v>
      </c>
      <c r="AC347" t="s" s="0">
        <v>81</v>
      </c>
      <c r="AD347" t="s" s="0">
        <v>81</v>
      </c>
      <c r="AE347" t="s" s="0">
        <v>81</v>
      </c>
      <c r="AF347" t="s" s="0">
        <v>81</v>
      </c>
      <c r="AG347" t="s" s="0">
        <v>7786</v>
      </c>
      <c r="AH347" t="s" s="0">
        <v>7787</v>
      </c>
      <c r="AI347" t="s" s="0">
        <v>7788</v>
      </c>
      <c r="AJ347" t="s" s="0">
        <v>7789</v>
      </c>
      <c r="AK347" t="s" s="0">
        <v>81</v>
      </c>
      <c r="AL347" t="s" s="0">
        <v>671</v>
      </c>
      <c r="AM347" t="s" s="0">
        <v>77</v>
      </c>
      <c r="AN347" t="s" s="0">
        <v>77</v>
      </c>
      <c r="AO347" t="s" s="0">
        <v>169</v>
      </c>
      <c r="AP347" t="s" s="0">
        <v>169</v>
      </c>
      <c r="AQ347" t="s" s="0">
        <v>712</v>
      </c>
      <c r="AR347" t="s" s="0">
        <v>500</v>
      </c>
      <c r="AS347" t="s" s="0">
        <v>713</v>
      </c>
      <c r="AT347" t="s" s="0">
        <v>7790</v>
      </c>
      <c r="AU347" t="s" s="0">
        <v>7791</v>
      </c>
      <c r="AV347" t="s" s="0">
        <v>81</v>
      </c>
      <c r="AW347" t="s" s="0">
        <v>7785</v>
      </c>
      <c r="AX347" t="s" s="0">
        <v>7792</v>
      </c>
      <c r="AY347" t="s" s="0">
        <v>532</v>
      </c>
      <c r="AZ347" t="s" s="0">
        <v>144</v>
      </c>
      <c r="BA347" t="s" s="0">
        <v>7793</v>
      </c>
      <c r="BB347" t="s" s="0">
        <v>81</v>
      </c>
      <c r="BC347" t="s" s="0">
        <v>81</v>
      </c>
      <c r="BD347" t="s" s="0">
        <v>81</v>
      </c>
      <c r="BE347" t="s" s="0">
        <v>81</v>
      </c>
      <c r="BF347" t="s" s="0">
        <v>81</v>
      </c>
      <c r="BG347" t="s" s="0">
        <v>81</v>
      </c>
      <c r="BH347" t="s" s="0">
        <v>81</v>
      </c>
      <c r="BI347" t="s" s="0">
        <v>7794</v>
      </c>
      <c r="BJ347" t="s" s="0">
        <v>7795</v>
      </c>
      <c r="BK347" t="s" s="689">
        <f>HYPERLINK("http://dx.doi.org/10.1016/j.bone.2026.117841","http://dx.doi.org/10.1016/j.bone.2026.117841")</f>
        <v>7796</v>
      </c>
      <c r="BL347" t="s" s="0">
        <v>81</v>
      </c>
      <c r="BM347" t="s" s="0">
        <v>81</v>
      </c>
      <c r="BN347" t="s" s="0">
        <v>360</v>
      </c>
      <c r="BO347" t="s" s="0">
        <v>5888</v>
      </c>
      <c r="BP347" t="s" s="0">
        <v>5888</v>
      </c>
      <c r="BQ347" t="s" s="0">
        <v>7797</v>
      </c>
      <c r="BR347" t="s" s="0">
        <v>7798</v>
      </c>
      <c r="BS347" t="s" s="0">
        <v>7799</v>
      </c>
      <c r="BT347" t="s" s="690">
        <f>HYPERLINK("https://www.webofscience.com/wos/woscc/full-record/WOS:001715184400001","View Record in Web of Science")</f>
        <v>120</v>
      </c>
      <c r="BU347" t="s" s="0">
        <v>306</v>
      </c>
      <c r="BV347" t="s" s="0">
        <v>81</v>
      </c>
      <c r="BW347" t="s" s="0">
        <v>81</v>
      </c>
      <c r="BX347" t="s" s="0">
        <v>122</v>
      </c>
    </row>
    <row r="348">
      <c r="A348" t="s" s="0">
        <v>77</v>
      </c>
      <c r="B348" t="s" s="0">
        <v>77</v>
      </c>
      <c r="C348" t="s" s="0">
        <v>554</v>
      </c>
      <c r="D348" t="s" s="0">
        <v>77</v>
      </c>
      <c r="E348" t="s" s="0">
        <v>7800</v>
      </c>
      <c r="F348" t="s" s="0">
        <v>7801</v>
      </c>
      <c r="G348" t="s" s="0">
        <v>7802</v>
      </c>
      <c r="H348" t="s" s="0">
        <v>81</v>
      </c>
      <c r="I348" t="s" s="0">
        <v>218</v>
      </c>
      <c r="J348" t="s" s="0">
        <v>7803</v>
      </c>
      <c r="K348" t="s" s="0">
        <v>7804</v>
      </c>
      <c r="L348" t="s" s="0">
        <v>81</v>
      </c>
      <c r="M348" t="s" s="0">
        <v>81</v>
      </c>
      <c r="N348" t="s" s="0">
        <v>81</v>
      </c>
      <c r="O348" t="s" s="0">
        <v>7805</v>
      </c>
      <c r="P348" t="s" s="0">
        <v>7806</v>
      </c>
      <c r="Q348" t="s" s="0">
        <v>90</v>
      </c>
      <c r="R348" t="s" s="0">
        <v>81</v>
      </c>
      <c r="S348" t="s" s="0">
        <v>81</v>
      </c>
      <c r="T348" t="s" s="0">
        <v>81</v>
      </c>
      <c r="U348" t="s" s="0">
        <v>81</v>
      </c>
      <c r="V348" t="s" s="0">
        <v>7807</v>
      </c>
      <c r="W348" t="s" s="0">
        <v>817</v>
      </c>
      <c r="X348" t="s" s="0">
        <v>81</v>
      </c>
      <c r="Y348" t="s" s="0">
        <v>81</v>
      </c>
      <c r="Z348" t="s" s="0">
        <v>93</v>
      </c>
      <c r="AA348" t="s" s="0">
        <v>94</v>
      </c>
      <c r="AB348" t="s" s="0">
        <v>81</v>
      </c>
      <c r="AC348" t="s" s="0">
        <v>81</v>
      </c>
      <c r="AD348" t="s" s="0">
        <v>81</v>
      </c>
      <c r="AE348" t="s" s="0">
        <v>81</v>
      </c>
      <c r="AF348" t="s" s="0">
        <v>81</v>
      </c>
      <c r="AG348" t="s" s="0">
        <v>81</v>
      </c>
      <c r="AH348" t="s" s="0">
        <v>7808</v>
      </c>
      <c r="AI348" t="s" s="0">
        <v>7809</v>
      </c>
      <c r="AJ348" t="s" s="0">
        <v>7810</v>
      </c>
      <c r="AK348" t="s" s="0">
        <v>81</v>
      </c>
      <c r="AL348" t="s" s="0">
        <v>261</v>
      </c>
      <c r="AM348" t="s" s="0">
        <v>445</v>
      </c>
      <c r="AN348" t="s" s="0">
        <v>319</v>
      </c>
      <c r="AO348" t="s" s="0">
        <v>169</v>
      </c>
      <c r="AP348" t="s" s="0">
        <v>328</v>
      </c>
      <c r="AQ348" t="s" s="0">
        <v>821</v>
      </c>
      <c r="AR348" t="s" s="0">
        <v>822</v>
      </c>
      <c r="AS348" t="s" s="0">
        <v>823</v>
      </c>
      <c r="AT348" t="s" s="0">
        <v>81</v>
      </c>
      <c r="AU348" t="s" s="0">
        <v>824</v>
      </c>
      <c r="AV348" t="s" s="0">
        <v>81</v>
      </c>
      <c r="AW348" t="s" s="0">
        <v>825</v>
      </c>
      <c r="AX348" t="s" s="0">
        <v>826</v>
      </c>
      <c r="AY348" t="s" s="0">
        <v>7811</v>
      </c>
      <c r="AZ348" t="s" s="0">
        <v>592</v>
      </c>
      <c r="BA348" t="s" s="0">
        <v>101</v>
      </c>
      <c r="BB348" t="s" s="0">
        <v>554</v>
      </c>
      <c r="BC348" t="s" s="0">
        <v>81</v>
      </c>
      <c r="BD348" t="s" s="0">
        <v>81</v>
      </c>
      <c r="BE348" t="s" s="0">
        <v>81</v>
      </c>
      <c r="BF348" t="s" s="0">
        <v>81</v>
      </c>
      <c r="BG348" t="s" s="0">
        <v>81</v>
      </c>
      <c r="BH348" t="s" s="0">
        <v>81</v>
      </c>
      <c r="BI348" t="s" s="0">
        <v>7812</v>
      </c>
      <c r="BJ348" t="s" s="0">
        <v>7813</v>
      </c>
      <c r="BK348" t="s" s="691">
        <f>HYPERLINK("http://dx.doi.org/10.1371/journal.pdig.0000349","http://dx.doi.org/10.1371/journal.pdig.0000349")</f>
        <v>7814</v>
      </c>
      <c r="BL348" t="s" s="0">
        <v>81</v>
      </c>
      <c r="BM348" t="s" s="0">
        <v>81</v>
      </c>
      <c r="BN348" t="s" s="0">
        <v>320</v>
      </c>
      <c r="BO348" t="s" s="0">
        <v>116</v>
      </c>
      <c r="BP348" t="s" s="0">
        <v>116</v>
      </c>
      <c r="BQ348" t="s" s="0">
        <v>7815</v>
      </c>
      <c r="BR348" t="s" s="0">
        <v>7816</v>
      </c>
      <c r="BS348" t="s" s="0">
        <v>7817</v>
      </c>
      <c r="BT348" t="s" s="692">
        <f>HYPERLINK("https://www.webofscience.com/wos/woscc/full-record/WOS:001417686800001","View Record in Web of Science")</f>
        <v>120</v>
      </c>
      <c r="BU348" t="s" s="0">
        <v>121</v>
      </c>
      <c r="BV348" t="s" s="0">
        <v>81</v>
      </c>
      <c r="BW348" t="s" s="0">
        <v>81</v>
      </c>
      <c r="BX348" t="s" s="0">
        <v>122</v>
      </c>
    </row>
    <row r="349">
      <c r="A349" t="s" s="0">
        <v>77</v>
      </c>
      <c r="B349" t="s" s="0">
        <v>77</v>
      </c>
      <c r="C349" t="s" s="0">
        <v>77</v>
      </c>
      <c r="D349" t="s" s="0">
        <v>77</v>
      </c>
      <c r="E349" t="s" s="0">
        <v>7818</v>
      </c>
      <c r="F349" t="s" s="0">
        <v>7819</v>
      </c>
      <c r="G349" t="s" s="0">
        <v>7820</v>
      </c>
      <c r="H349" t="s" s="0">
        <v>81</v>
      </c>
      <c r="I349" t="s" s="0">
        <v>82</v>
      </c>
      <c r="J349" t="s" s="0">
        <v>7821</v>
      </c>
      <c r="K349" t="s" s="0">
        <v>7822</v>
      </c>
      <c r="L349" t="s" s="0">
        <v>7823</v>
      </c>
      <c r="M349" t="s" s="0">
        <v>7824</v>
      </c>
      <c r="N349" t="s" s="0">
        <v>7825</v>
      </c>
      <c r="O349" t="s" s="0">
        <v>7826</v>
      </c>
      <c r="P349" t="s" s="0">
        <v>7827</v>
      </c>
      <c r="Q349" t="s" s="0">
        <v>90</v>
      </c>
      <c r="R349" t="s" s="0">
        <v>81</v>
      </c>
      <c r="S349" t="s" s="0">
        <v>81</v>
      </c>
      <c r="T349" t="s" s="0">
        <v>81</v>
      </c>
      <c r="U349" t="s" s="0">
        <v>81</v>
      </c>
      <c r="V349" t="s" s="0">
        <v>7828</v>
      </c>
      <c r="W349" t="s" s="0">
        <v>1102</v>
      </c>
      <c r="X349" t="s" s="0">
        <v>81</v>
      </c>
      <c r="Y349" t="s" s="0">
        <v>81</v>
      </c>
      <c r="Z349" t="s" s="0">
        <v>93</v>
      </c>
      <c r="AA349" t="s" s="0">
        <v>94</v>
      </c>
      <c r="AB349" t="s" s="0">
        <v>81</v>
      </c>
      <c r="AC349" t="s" s="0">
        <v>81</v>
      </c>
      <c r="AD349" t="s" s="0">
        <v>81</v>
      </c>
      <c r="AE349" t="s" s="0">
        <v>81</v>
      </c>
      <c r="AF349" t="s" s="0">
        <v>81</v>
      </c>
      <c r="AG349" t="s" s="0">
        <v>7829</v>
      </c>
      <c r="AH349" t="s" s="0">
        <v>81</v>
      </c>
      <c r="AI349" t="s" s="0">
        <v>7830</v>
      </c>
      <c r="AJ349" t="s" s="0">
        <v>7831</v>
      </c>
      <c r="AK349" t="s" s="0">
        <v>81</v>
      </c>
      <c r="AL349" t="s" s="0">
        <v>553</v>
      </c>
      <c r="AM349" t="s" s="0">
        <v>554</v>
      </c>
      <c r="AN349" t="s" s="0">
        <v>554</v>
      </c>
      <c r="AO349" t="s" s="0">
        <v>1232</v>
      </c>
      <c r="AP349" t="s" s="0">
        <v>1232</v>
      </c>
      <c r="AQ349" t="s" s="0">
        <v>288</v>
      </c>
      <c r="AR349" t="s" s="0">
        <v>289</v>
      </c>
      <c r="AS349" t="s" s="0">
        <v>290</v>
      </c>
      <c r="AT349" t="s" s="0">
        <v>1108</v>
      </c>
      <c r="AU349" t="s" s="0">
        <v>1109</v>
      </c>
      <c r="AV349" t="s" s="0">
        <v>81</v>
      </c>
      <c r="AW349" t="s" s="0">
        <v>1110</v>
      </c>
      <c r="AX349" t="s" s="0">
        <v>1111</v>
      </c>
      <c r="AY349" t="s" s="0">
        <v>7832</v>
      </c>
      <c r="AZ349" t="s" s="0">
        <v>144</v>
      </c>
      <c r="BA349" t="s" s="0">
        <v>7833</v>
      </c>
      <c r="BB349" t="s" s="0">
        <v>81</v>
      </c>
      <c r="BC349" t="s" s="0">
        <v>81</v>
      </c>
      <c r="BD349" t="s" s="0">
        <v>81</v>
      </c>
      <c r="BE349" t="s" s="0">
        <v>81</v>
      </c>
      <c r="BF349" t="s" s="0">
        <v>81</v>
      </c>
      <c r="BG349" t="s" s="0">
        <v>81</v>
      </c>
      <c r="BH349" t="s" s="0">
        <v>81</v>
      </c>
      <c r="BI349" t="s" s="0">
        <v>7834</v>
      </c>
      <c r="BJ349" t="s" s="0">
        <v>7835</v>
      </c>
      <c r="BK349" t="s" s="693">
        <f>HYPERLINK("http://dx.doi.org/10.1016/j.knosys.2026.115469","http://dx.doi.org/10.1016/j.knosys.2026.115469")</f>
        <v>7836</v>
      </c>
      <c r="BL349" t="s" s="0">
        <v>81</v>
      </c>
      <c r="BM349" t="s" s="0">
        <v>508</v>
      </c>
      <c r="BN349" t="s" s="0">
        <v>360</v>
      </c>
      <c r="BO349" t="s" s="0">
        <v>978</v>
      </c>
      <c r="BP349" t="s" s="0">
        <v>303</v>
      </c>
      <c r="BQ349" t="s" s="0">
        <v>7837</v>
      </c>
      <c r="BR349" t="s" s="0">
        <v>81</v>
      </c>
      <c r="BS349" t="s" s="0">
        <v>7838</v>
      </c>
      <c r="BT349" t="s" s="694">
        <f>HYPERLINK("https://www.webofscience.com/wos/woscc/full-record/WOS:001696294100001","View Record in Web of Science")</f>
        <v>120</v>
      </c>
      <c r="BU349" t="s" s="0">
        <v>306</v>
      </c>
      <c r="BV349" t="s" s="0">
        <v>81</v>
      </c>
      <c r="BW349" t="s" s="0">
        <v>81</v>
      </c>
      <c r="BX349" t="s" s="0">
        <v>122</v>
      </c>
    </row>
    <row r="350">
      <c r="A350" t="s" s="0">
        <v>77</v>
      </c>
      <c r="B350" t="s" s="0">
        <v>77</v>
      </c>
      <c r="C350" t="s" s="0">
        <v>169</v>
      </c>
      <c r="D350" t="s" s="0">
        <v>77</v>
      </c>
      <c r="E350" t="s" s="0">
        <v>7839</v>
      </c>
      <c r="F350" t="s" s="0">
        <v>7840</v>
      </c>
      <c r="G350" t="s" s="0">
        <v>7841</v>
      </c>
      <c r="H350" t="s" s="0">
        <v>81</v>
      </c>
      <c r="I350" t="s" s="0">
        <v>82</v>
      </c>
      <c r="J350" t="s" s="0">
        <v>7842</v>
      </c>
      <c r="K350" t="s" s="0">
        <v>7843</v>
      </c>
      <c r="L350" t="s" s="0">
        <v>7844</v>
      </c>
      <c r="M350" t="s" s="0">
        <v>7845</v>
      </c>
      <c r="N350" t="s" s="0">
        <v>7846</v>
      </c>
      <c r="O350" t="s" s="0">
        <v>7847</v>
      </c>
      <c r="P350" t="s" s="0">
        <v>7848</v>
      </c>
      <c r="Q350" t="s" s="0">
        <v>90</v>
      </c>
      <c r="R350" t="s" s="0">
        <v>81</v>
      </c>
      <c r="S350" t="s" s="0">
        <v>81</v>
      </c>
      <c r="T350" t="s" s="0">
        <v>81</v>
      </c>
      <c r="U350" t="s" s="0">
        <v>81</v>
      </c>
      <c r="V350" t="s" s="0">
        <v>7849</v>
      </c>
      <c r="W350" t="s" s="0">
        <v>2973</v>
      </c>
      <c r="X350" t="s" s="0">
        <v>81</v>
      </c>
      <c r="Y350" t="s" s="0">
        <v>81</v>
      </c>
      <c r="Z350" t="s" s="0">
        <v>93</v>
      </c>
      <c r="AA350" t="s" s="0">
        <v>94</v>
      </c>
      <c r="AB350" t="s" s="0">
        <v>81</v>
      </c>
      <c r="AC350" t="s" s="0">
        <v>81</v>
      </c>
      <c r="AD350" t="s" s="0">
        <v>81</v>
      </c>
      <c r="AE350" t="s" s="0">
        <v>81</v>
      </c>
      <c r="AF350" t="s" s="0">
        <v>81</v>
      </c>
      <c r="AG350" t="s" s="0">
        <v>7850</v>
      </c>
      <c r="AH350" t="s" s="0">
        <v>81</v>
      </c>
      <c r="AI350" t="s" s="0">
        <v>7851</v>
      </c>
      <c r="AJ350" t="s" s="0">
        <v>81</v>
      </c>
      <c r="AK350" t="s" s="0">
        <v>81</v>
      </c>
      <c r="AL350" t="s" s="0">
        <v>287</v>
      </c>
      <c r="AM350" t="s" s="0">
        <v>509</v>
      </c>
      <c r="AN350" t="s" s="0">
        <v>265</v>
      </c>
      <c r="AO350" t="s" s="0">
        <v>328</v>
      </c>
      <c r="AP350" t="s" s="0">
        <v>1106</v>
      </c>
      <c r="AQ350" t="s" s="0">
        <v>2567</v>
      </c>
      <c r="AR350" t="s" s="0">
        <v>2568</v>
      </c>
      <c r="AS350" t="s" s="0">
        <v>2569</v>
      </c>
      <c r="AT350" t="s" s="0">
        <v>2977</v>
      </c>
      <c r="AU350" t="s" s="0">
        <v>81</v>
      </c>
      <c r="AV350" t="s" s="0">
        <v>81</v>
      </c>
      <c r="AW350" t="s" s="0">
        <v>2978</v>
      </c>
      <c r="AX350" t="s" s="0">
        <v>2979</v>
      </c>
      <c r="AY350" t="s" s="0">
        <v>2953</v>
      </c>
      <c r="AZ350" t="s" s="0">
        <v>592</v>
      </c>
      <c r="BA350" t="s" s="0">
        <v>145</v>
      </c>
      <c r="BB350" t="s" s="0">
        <v>7852</v>
      </c>
      <c r="BC350" t="s" s="0">
        <v>81</v>
      </c>
      <c r="BD350" t="s" s="0">
        <v>81</v>
      </c>
      <c r="BE350" t="s" s="0">
        <v>81</v>
      </c>
      <c r="BF350" t="s" s="0">
        <v>81</v>
      </c>
      <c r="BG350" t="s" s="0">
        <v>7853</v>
      </c>
      <c r="BH350" t="s" s="0">
        <v>7854</v>
      </c>
      <c r="BI350" t="s" s="0">
        <v>81</v>
      </c>
      <c r="BJ350" t="s" s="0">
        <v>7855</v>
      </c>
      <c r="BK350" t="s" s="695">
        <f>HYPERLINK("http://dx.doi.org/10.1055/a-2373-3151","http://dx.doi.org/10.1055/a-2373-3151")</f>
        <v>7856</v>
      </c>
      <c r="BL350" t="s" s="0">
        <v>81</v>
      </c>
      <c r="BM350" t="s" s="0">
        <v>81</v>
      </c>
      <c r="BN350" t="s" s="0">
        <v>102</v>
      </c>
      <c r="BO350" t="s" s="0">
        <v>244</v>
      </c>
      <c r="BP350" t="s" s="0">
        <v>244</v>
      </c>
      <c r="BQ350" t="s" s="0">
        <v>7857</v>
      </c>
      <c r="BR350" t="s" s="0">
        <v>7858</v>
      </c>
      <c r="BS350" t="s" s="0">
        <v>7859</v>
      </c>
      <c r="BT350" t="s" s="696">
        <f>HYPERLINK("https://www.webofscience.com/wos/woscc/full-record/WOS:001334155700003","View Record in Web of Science")</f>
        <v>120</v>
      </c>
      <c r="BU350" t="s" s="0">
        <v>805</v>
      </c>
      <c r="BV350" t="s" s="0">
        <v>81</v>
      </c>
      <c r="BW350" t="s" s="0">
        <v>81</v>
      </c>
      <c r="BX350" t="s" s="0">
        <v>122</v>
      </c>
    </row>
    <row r="351">
      <c r="A351" t="s" s="0">
        <v>77</v>
      </c>
      <c r="B351" t="s" s="0">
        <v>77</v>
      </c>
      <c r="C351" t="s" s="0">
        <v>101</v>
      </c>
      <c r="D351" t="s" s="0">
        <v>77</v>
      </c>
      <c r="E351" t="s" s="0">
        <v>7860</v>
      </c>
      <c r="F351" t="s" s="0">
        <v>7861</v>
      </c>
      <c r="G351" t="s" s="0">
        <v>7862</v>
      </c>
      <c r="H351" t="s" s="0">
        <v>81</v>
      </c>
      <c r="I351" t="s" s="0">
        <v>218</v>
      </c>
      <c r="J351" t="s" s="0">
        <v>7863</v>
      </c>
      <c r="K351" t="s" s="0">
        <v>7864</v>
      </c>
      <c r="L351" t="s" s="0">
        <v>7865</v>
      </c>
      <c r="M351" t="s" s="0">
        <v>7865</v>
      </c>
      <c r="N351" t="s" s="0">
        <v>7866</v>
      </c>
      <c r="O351" t="s" s="0">
        <v>7867</v>
      </c>
      <c r="P351" t="s" s="0">
        <v>7868</v>
      </c>
      <c r="Q351" t="s" s="0">
        <v>90</v>
      </c>
      <c r="R351" t="s" s="0">
        <v>81</v>
      </c>
      <c r="S351" t="s" s="0">
        <v>81</v>
      </c>
      <c r="T351" t="s" s="0">
        <v>81</v>
      </c>
      <c r="U351" t="s" s="0">
        <v>81</v>
      </c>
      <c r="V351" t="s" s="0">
        <v>7869</v>
      </c>
      <c r="W351" t="s" s="0">
        <v>7870</v>
      </c>
      <c r="X351" t="s" s="0">
        <v>81</v>
      </c>
      <c r="Y351" t="s" s="0">
        <v>81</v>
      </c>
      <c r="Z351" t="s" s="0">
        <v>93</v>
      </c>
      <c r="AA351" t="s" s="0">
        <v>94</v>
      </c>
      <c r="AB351" t="s" s="0">
        <v>81</v>
      </c>
      <c r="AC351" t="s" s="0">
        <v>81</v>
      </c>
      <c r="AD351" t="s" s="0">
        <v>81</v>
      </c>
      <c r="AE351" t="s" s="0">
        <v>81</v>
      </c>
      <c r="AF351" t="s" s="0">
        <v>81</v>
      </c>
      <c r="AG351" t="s" s="0">
        <v>7871</v>
      </c>
      <c r="AH351" t="s" s="0">
        <v>7872</v>
      </c>
      <c r="AI351" t="s" s="0">
        <v>7873</v>
      </c>
      <c r="AJ351" t="s" s="0">
        <v>81</v>
      </c>
      <c r="AK351" t="s" s="0">
        <v>81</v>
      </c>
      <c r="AL351" t="s" s="0">
        <v>850</v>
      </c>
      <c r="AM351" t="s" s="0">
        <v>102</v>
      </c>
      <c r="AN351" t="s" s="0">
        <v>360</v>
      </c>
      <c r="AO351" t="s" s="0">
        <v>169</v>
      </c>
      <c r="AP351" t="s" s="0">
        <v>169</v>
      </c>
      <c r="AQ351" t="s" s="0">
        <v>137</v>
      </c>
      <c r="AR351" t="s" s="0">
        <v>138</v>
      </c>
      <c r="AS351" t="s" s="0">
        <v>139</v>
      </c>
      <c r="AT351" t="s" s="0">
        <v>81</v>
      </c>
      <c r="AU351" t="s" s="0">
        <v>7874</v>
      </c>
      <c r="AV351" t="s" s="0">
        <v>81</v>
      </c>
      <c r="AW351" t="s" s="0">
        <v>7870</v>
      </c>
      <c r="AX351" t="s" s="0">
        <v>7875</v>
      </c>
      <c r="AY351" t="s" s="0">
        <v>7876</v>
      </c>
      <c r="AZ351" t="s" s="0">
        <v>110</v>
      </c>
      <c r="BA351" t="s" s="0">
        <v>100</v>
      </c>
      <c r="BB351" t="s" s="0">
        <v>554</v>
      </c>
      <c r="BC351" t="s" s="0">
        <v>81</v>
      </c>
      <c r="BD351" t="s" s="0">
        <v>81</v>
      </c>
      <c r="BE351" t="s" s="0">
        <v>81</v>
      </c>
      <c r="BF351" t="s" s="0">
        <v>81</v>
      </c>
      <c r="BG351" t="s" s="0">
        <v>81</v>
      </c>
      <c r="BH351" t="s" s="0">
        <v>81</v>
      </c>
      <c r="BI351" t="s" s="0">
        <v>1118</v>
      </c>
      <c r="BJ351" t="s" s="0">
        <v>7877</v>
      </c>
      <c r="BK351" t="s" s="697">
        <f>HYPERLINK("http://dx.doi.org/10.3390/biomedinformatics5020018","http://dx.doi.org/10.3390/biomedinformatics5020018")</f>
        <v>7878</v>
      </c>
      <c r="BL351" t="s" s="0">
        <v>81</v>
      </c>
      <c r="BM351" t="s" s="0">
        <v>81</v>
      </c>
      <c r="BN351" t="s" s="0">
        <v>199</v>
      </c>
      <c r="BO351" t="s" s="0">
        <v>7879</v>
      </c>
      <c r="BP351" t="s" s="0">
        <v>7879</v>
      </c>
      <c r="BQ351" t="s" s="0">
        <v>7880</v>
      </c>
      <c r="BR351" t="s" s="0">
        <v>81</v>
      </c>
      <c r="BS351" t="s" s="0">
        <v>7881</v>
      </c>
      <c r="BT351" t="s" s="698">
        <f>HYPERLINK("https://www.webofscience.com/wos/woscc/full-record/WOS:001644262200001","View Record in Web of Science")</f>
        <v>120</v>
      </c>
      <c r="BU351" t="s" s="0">
        <v>121</v>
      </c>
      <c r="BV351" t="s" s="0">
        <v>81</v>
      </c>
      <c r="BW351" t="s" s="0">
        <v>81</v>
      </c>
      <c r="BX351" t="s" s="0">
        <v>122</v>
      </c>
    </row>
    <row r="352">
      <c r="A352" t="s" s="0">
        <v>77</v>
      </c>
      <c r="B352" t="s" s="0">
        <v>77</v>
      </c>
      <c r="C352" t="s" s="0">
        <v>77</v>
      </c>
      <c r="D352" t="s" s="0">
        <v>77</v>
      </c>
      <c r="E352" t="s" s="0">
        <v>7882</v>
      </c>
      <c r="F352" t="s" s="0">
        <v>7883</v>
      </c>
      <c r="G352" t="s" s="0">
        <v>7884</v>
      </c>
      <c r="H352" t="s" s="0">
        <v>81</v>
      </c>
      <c r="I352" t="s" s="0">
        <v>3425</v>
      </c>
      <c r="J352" t="s" s="0">
        <v>7885</v>
      </c>
      <c r="K352" t="s" s="0">
        <v>7886</v>
      </c>
      <c r="L352" t="s" s="0">
        <v>81</v>
      </c>
      <c r="M352" t="s" s="0">
        <v>81</v>
      </c>
      <c r="N352" t="s" s="0">
        <v>81</v>
      </c>
      <c r="O352" t="s" s="0">
        <v>7887</v>
      </c>
      <c r="P352" t="s" s="0">
        <v>7888</v>
      </c>
      <c r="Q352" t="s" s="0">
        <v>90</v>
      </c>
      <c r="R352" t="s" s="0">
        <v>81</v>
      </c>
      <c r="S352" t="s" s="0">
        <v>81</v>
      </c>
      <c r="T352" t="s" s="0">
        <v>81</v>
      </c>
      <c r="U352" t="s" s="0">
        <v>81</v>
      </c>
      <c r="V352" t="s" s="0">
        <v>7889</v>
      </c>
      <c r="W352" t="s" s="0">
        <v>7890</v>
      </c>
      <c r="X352" t="s" s="0">
        <v>81</v>
      </c>
      <c r="Y352" t="s" s="0">
        <v>81</v>
      </c>
      <c r="Z352" t="s" s="0">
        <v>93</v>
      </c>
      <c r="AA352" t="s" s="0">
        <v>94</v>
      </c>
      <c r="AB352" t="s" s="0">
        <v>81</v>
      </c>
      <c r="AC352" t="s" s="0">
        <v>81</v>
      </c>
      <c r="AD352" t="s" s="0">
        <v>81</v>
      </c>
      <c r="AE352" t="s" s="0">
        <v>81</v>
      </c>
      <c r="AF352" t="s" s="0">
        <v>81</v>
      </c>
      <c r="AG352" t="s" s="0">
        <v>7891</v>
      </c>
      <c r="AH352" t="s" s="0">
        <v>7892</v>
      </c>
      <c r="AI352" t="s" s="0">
        <v>7893</v>
      </c>
      <c r="AJ352" t="s" s="0">
        <v>7894</v>
      </c>
      <c r="AK352" t="s" s="0">
        <v>81</v>
      </c>
      <c r="AL352" t="s" s="0">
        <v>581</v>
      </c>
      <c r="AM352" t="s" s="0">
        <v>554</v>
      </c>
      <c r="AN352" t="s" s="0">
        <v>554</v>
      </c>
      <c r="AO352" t="s" s="0">
        <v>169</v>
      </c>
      <c r="AP352" t="s" s="0">
        <v>99</v>
      </c>
      <c r="AQ352" t="s" s="0">
        <v>712</v>
      </c>
      <c r="AR352" t="s" s="0">
        <v>500</v>
      </c>
      <c r="AS352" t="s" s="0">
        <v>713</v>
      </c>
      <c r="AT352" t="s" s="0">
        <v>7895</v>
      </c>
      <c r="AU352" t="s" s="0">
        <v>7896</v>
      </c>
      <c r="AV352" t="s" s="0">
        <v>81</v>
      </c>
      <c r="AW352" t="s" s="0">
        <v>7897</v>
      </c>
      <c r="AX352" t="s" s="0">
        <v>7898</v>
      </c>
      <c r="AY352" t="s" s="0">
        <v>801</v>
      </c>
      <c r="AZ352" t="s" s="0">
        <v>110</v>
      </c>
      <c r="BA352" t="s" s="0">
        <v>445</v>
      </c>
      <c r="BB352" t="s" s="0">
        <v>320</v>
      </c>
      <c r="BC352" t="s" s="0">
        <v>81</v>
      </c>
      <c r="BD352" t="s" s="0">
        <v>81</v>
      </c>
      <c r="BE352" t="s" s="0">
        <v>81</v>
      </c>
      <c r="BF352" t="s" s="0">
        <v>81</v>
      </c>
      <c r="BG352" t="s" s="0">
        <v>7899</v>
      </c>
      <c r="BH352" t="s" s="0">
        <v>7900</v>
      </c>
      <c r="BI352" t="s" s="0">
        <v>81</v>
      </c>
      <c r="BJ352" t="s" s="0">
        <v>7901</v>
      </c>
      <c r="BK352" t="s" s="699">
        <f>HYPERLINK("http://dx.doi.org/10.1016/j.sapharm.2025.06.107","http://dx.doi.org/10.1016/j.sapharm.2025.06.107")</f>
        <v>7902</v>
      </c>
      <c r="BL352" t="s" s="0">
        <v>81</v>
      </c>
      <c r="BM352" t="s" s="0">
        <v>666</v>
      </c>
      <c r="BN352" t="s" s="0">
        <v>386</v>
      </c>
      <c r="BO352" t="s" s="0">
        <v>7903</v>
      </c>
      <c r="BP352" t="s" s="0">
        <v>7903</v>
      </c>
      <c r="BQ352" t="s" s="0">
        <v>7904</v>
      </c>
      <c r="BR352" t="s" s="0">
        <v>7905</v>
      </c>
      <c r="BS352" t="s" s="0">
        <v>7906</v>
      </c>
      <c r="BT352" t="s" s="700">
        <f>HYPERLINK("https://www.webofscience.com/wos/woscc/full-record/WOS:001567895600007","View Record in Web of Science")</f>
        <v>120</v>
      </c>
      <c r="BU352" t="s" s="0">
        <v>306</v>
      </c>
      <c r="BV352" t="s" s="0">
        <v>81</v>
      </c>
      <c r="BW352" t="s" s="0">
        <v>81</v>
      </c>
      <c r="BX352" t="s" s="0">
        <v>122</v>
      </c>
    </row>
    <row r="353">
      <c r="A353" t="s" s="0">
        <v>77</v>
      </c>
      <c r="B353" t="s" s="0">
        <v>77</v>
      </c>
      <c r="C353" t="s" s="0">
        <v>101</v>
      </c>
      <c r="D353" t="s" s="0">
        <v>77</v>
      </c>
      <c r="E353" t="s" s="0">
        <v>7907</v>
      </c>
      <c r="F353" t="s" s="0">
        <v>7908</v>
      </c>
      <c r="G353" t="s" s="0">
        <v>7909</v>
      </c>
      <c r="H353" t="s" s="0">
        <v>81</v>
      </c>
      <c r="I353" t="s" s="0">
        <v>82</v>
      </c>
      <c r="J353" t="s" s="0">
        <v>7910</v>
      </c>
      <c r="K353" t="s" s="0">
        <v>7911</v>
      </c>
      <c r="L353" t="s" s="0">
        <v>7912</v>
      </c>
      <c r="M353" t="s" s="0">
        <v>7913</v>
      </c>
      <c r="N353" t="s" s="0">
        <v>7914</v>
      </c>
      <c r="O353" t="s" s="0">
        <v>7915</v>
      </c>
      <c r="P353" t="s" s="0">
        <v>7916</v>
      </c>
      <c r="Q353" t="s" s="0">
        <v>90</v>
      </c>
      <c r="R353" t="s" s="0">
        <v>81</v>
      </c>
      <c r="S353" t="s" s="0">
        <v>81</v>
      </c>
      <c r="T353" t="s" s="0">
        <v>81</v>
      </c>
      <c r="U353" t="s" s="0">
        <v>81</v>
      </c>
      <c r="V353" t="s" s="0">
        <v>7917</v>
      </c>
      <c r="W353" t="s" s="0">
        <v>7918</v>
      </c>
      <c r="X353" t="s" s="0">
        <v>81</v>
      </c>
      <c r="Y353" t="s" s="0">
        <v>81</v>
      </c>
      <c r="Z353" t="s" s="0">
        <v>93</v>
      </c>
      <c r="AA353" t="s" s="0">
        <v>94</v>
      </c>
      <c r="AB353" t="s" s="0">
        <v>81</v>
      </c>
      <c r="AC353" t="s" s="0">
        <v>81</v>
      </c>
      <c r="AD353" t="s" s="0">
        <v>81</v>
      </c>
      <c r="AE353" t="s" s="0">
        <v>81</v>
      </c>
      <c r="AF353" t="s" s="0">
        <v>81</v>
      </c>
      <c r="AG353" t="s" s="0">
        <v>81</v>
      </c>
      <c r="AH353" t="s" s="0">
        <v>81</v>
      </c>
      <c r="AI353" t="s" s="0">
        <v>7919</v>
      </c>
      <c r="AJ353" t="s" s="0">
        <v>7920</v>
      </c>
      <c r="AK353" t="s" s="0">
        <v>81</v>
      </c>
      <c r="AL353" t="s" s="0">
        <v>261</v>
      </c>
      <c r="AM353" t="s" s="0">
        <v>328</v>
      </c>
      <c r="AN353" t="s" s="0">
        <v>320</v>
      </c>
      <c r="AO353" t="s" s="0">
        <v>77</v>
      </c>
      <c r="AP353" t="s" s="0">
        <v>328</v>
      </c>
      <c r="AQ353" t="s" s="0">
        <v>7921</v>
      </c>
      <c r="AR353" t="s" s="0">
        <v>7922</v>
      </c>
      <c r="AS353" t="s" s="0">
        <v>7923</v>
      </c>
      <c r="AT353" t="s" s="0">
        <v>7924</v>
      </c>
      <c r="AU353" t="s" s="0">
        <v>7925</v>
      </c>
      <c r="AV353" t="s" s="0">
        <v>81</v>
      </c>
      <c r="AW353" t="s" s="0">
        <v>7926</v>
      </c>
      <c r="AX353" t="s" s="0">
        <v>7927</v>
      </c>
      <c r="AY353" t="s" s="0">
        <v>1357</v>
      </c>
      <c r="AZ353" t="s" s="0">
        <v>110</v>
      </c>
      <c r="BA353" t="s" s="0">
        <v>721</v>
      </c>
      <c r="BB353" t="s" s="0">
        <v>554</v>
      </c>
      <c r="BC353" t="s" s="0">
        <v>81</v>
      </c>
      <c r="BD353" t="s" s="0">
        <v>81</v>
      </c>
      <c r="BE353" t="s" s="0">
        <v>81</v>
      </c>
      <c r="BF353" t="s" s="0">
        <v>81</v>
      </c>
      <c r="BG353" t="s" s="0">
        <v>7928</v>
      </c>
      <c r="BH353" t="s" s="0">
        <v>720</v>
      </c>
      <c r="BI353" t="s" s="0">
        <v>81</v>
      </c>
      <c r="BJ353" t="s" s="0">
        <v>7929</v>
      </c>
      <c r="BK353" t="s" s="701">
        <f>HYPERLINK("http://dx.doi.org/10.5858/arpa.2024-0208-RA","http://dx.doi.org/10.5858/arpa.2024-0208-RA")</f>
        <v>7930</v>
      </c>
      <c r="BL353" t="s" s="0">
        <v>81</v>
      </c>
      <c r="BM353" t="s" s="0">
        <v>81</v>
      </c>
      <c r="BN353" t="s" s="0">
        <v>360</v>
      </c>
      <c r="BO353" t="s" s="0">
        <v>7931</v>
      </c>
      <c r="BP353" t="s" s="0">
        <v>7932</v>
      </c>
      <c r="BQ353" t="s" s="0">
        <v>7933</v>
      </c>
      <c r="BR353" t="s" s="0">
        <v>7934</v>
      </c>
      <c r="BS353" t="s" s="0">
        <v>7935</v>
      </c>
      <c r="BT353" t="s" s="702">
        <f>HYPERLINK("https://www.webofscience.com/wos/woscc/full-record/WOS:001416363100006","View Record in Web of Science")</f>
        <v>120</v>
      </c>
      <c r="BU353" t="s" s="0">
        <v>1216</v>
      </c>
      <c r="BV353" t="s" s="0">
        <v>81</v>
      </c>
      <c r="BW353" t="s" s="0">
        <v>81</v>
      </c>
      <c r="BX353" t="s" s="0">
        <v>122</v>
      </c>
    </row>
    <row r="354">
      <c r="A354" t="s" s="0">
        <v>77</v>
      </c>
      <c r="B354" t="s" s="0">
        <v>77</v>
      </c>
      <c r="C354" t="s" s="0">
        <v>77</v>
      </c>
      <c r="D354" t="s" s="0">
        <v>77</v>
      </c>
      <c r="E354" t="s" s="0">
        <v>7936</v>
      </c>
      <c r="F354" t="s" s="0">
        <v>7937</v>
      </c>
      <c r="G354" t="s" s="0">
        <v>7938</v>
      </c>
      <c r="H354" t="s" s="0">
        <v>81</v>
      </c>
      <c r="I354" t="s" s="0">
        <v>82</v>
      </c>
      <c r="J354" t="s" s="0">
        <v>7939</v>
      </c>
      <c r="K354" t="s" s="0">
        <v>7940</v>
      </c>
      <c r="L354" t="s" s="0">
        <v>7941</v>
      </c>
      <c r="M354" t="s" s="0">
        <v>7942</v>
      </c>
      <c r="N354" t="s" s="0">
        <v>7943</v>
      </c>
      <c r="O354" t="s" s="0">
        <v>7944</v>
      </c>
      <c r="P354" t="s" s="0">
        <v>7945</v>
      </c>
      <c r="Q354" t="s" s="0">
        <v>90</v>
      </c>
      <c r="R354" t="s" s="0">
        <v>81</v>
      </c>
      <c r="S354" t="s" s="0">
        <v>81</v>
      </c>
      <c r="T354" t="s" s="0">
        <v>81</v>
      </c>
      <c r="U354" t="s" s="0">
        <v>81</v>
      </c>
      <c r="V354" t="s" s="0">
        <v>7946</v>
      </c>
      <c r="W354" t="s" s="0">
        <v>92</v>
      </c>
      <c r="X354" t="s" s="0">
        <v>81</v>
      </c>
      <c r="Y354" t="s" s="0">
        <v>81</v>
      </c>
      <c r="Z354" t="s" s="0">
        <v>93</v>
      </c>
      <c r="AA354" t="s" s="0">
        <v>94</v>
      </c>
      <c r="AB354" t="s" s="0">
        <v>81</v>
      </c>
      <c r="AC354" t="s" s="0">
        <v>81</v>
      </c>
      <c r="AD354" t="s" s="0">
        <v>81</v>
      </c>
      <c r="AE354" t="s" s="0">
        <v>81</v>
      </c>
      <c r="AF354" t="s" s="0">
        <v>81</v>
      </c>
      <c r="AG354" t="s" s="0">
        <v>7947</v>
      </c>
      <c r="AH354" t="s" s="0">
        <v>7948</v>
      </c>
      <c r="AI354" t="s" s="0">
        <v>81</v>
      </c>
      <c r="AJ354" t="s" s="0">
        <v>7949</v>
      </c>
      <c r="AK354" t="s" s="0">
        <v>81</v>
      </c>
      <c r="AL354" t="s" s="0">
        <v>1106</v>
      </c>
      <c r="AM354" t="s" s="0">
        <v>77</v>
      </c>
      <c r="AN354" t="s" s="0">
        <v>77</v>
      </c>
      <c r="AO354" t="s" s="0">
        <v>77</v>
      </c>
      <c r="AP354" t="s" s="0">
        <v>77</v>
      </c>
      <c r="AQ354" t="s" s="0">
        <v>103</v>
      </c>
      <c r="AR354" t="s" s="0">
        <v>104</v>
      </c>
      <c r="AS354" t="s" s="0">
        <v>105</v>
      </c>
      <c r="AT354" t="s" s="0">
        <v>1405</v>
      </c>
      <c r="AU354" t="s" s="0">
        <v>106</v>
      </c>
      <c r="AV354" t="s" s="0">
        <v>81</v>
      </c>
      <c r="AW354" t="s" s="0">
        <v>107</v>
      </c>
      <c r="AX354" t="s" s="0">
        <v>108</v>
      </c>
      <c r="AY354" t="s" s="0">
        <v>7950</v>
      </c>
      <c r="AZ354" t="s" s="0">
        <v>144</v>
      </c>
      <c r="BA354" t="s" s="0">
        <v>637</v>
      </c>
      <c r="BB354" t="s" s="0">
        <v>81</v>
      </c>
      <c r="BC354" t="s" s="0">
        <v>81</v>
      </c>
      <c r="BD354" t="s" s="0">
        <v>81</v>
      </c>
      <c r="BE354" t="s" s="0">
        <v>81</v>
      </c>
      <c r="BF354" t="s" s="0">
        <v>81</v>
      </c>
      <c r="BG354" t="s" s="0">
        <v>81</v>
      </c>
      <c r="BH354" t="s" s="0">
        <v>81</v>
      </c>
      <c r="BI354" t="s" s="0">
        <v>7951</v>
      </c>
      <c r="BJ354" t="s" s="0">
        <v>7952</v>
      </c>
      <c r="BK354" t="s" s="703">
        <f>HYPERLINK("http://dx.doi.org/10.2196/95547","http://dx.doi.org/10.2196/95547")</f>
        <v>7953</v>
      </c>
      <c r="BL354" t="s" s="0">
        <v>81</v>
      </c>
      <c r="BM354" t="s" s="0">
        <v>81</v>
      </c>
      <c r="BN354" t="s" s="0">
        <v>526</v>
      </c>
      <c r="BO354" t="s" s="0">
        <v>116</v>
      </c>
      <c r="BP354" t="s" s="0">
        <v>116</v>
      </c>
      <c r="BQ354" t="s" s="0">
        <v>7954</v>
      </c>
      <c r="BR354" t="s" s="0">
        <v>7955</v>
      </c>
      <c r="BS354" t="s" s="0">
        <v>7956</v>
      </c>
      <c r="BT354" t="s" s="704">
        <f>HYPERLINK("https://www.webofscience.com/wos/woscc/full-record/WOS:001820891700001","View Record in Web of Science")</f>
        <v>120</v>
      </c>
      <c r="BU354" t="s" s="0">
        <v>121</v>
      </c>
      <c r="BV354" t="s" s="0">
        <v>81</v>
      </c>
      <c r="BW354" t="s" s="0">
        <v>81</v>
      </c>
      <c r="BX354" t="s" s="0">
        <v>122</v>
      </c>
    </row>
    <row r="355">
      <c r="A355" t="s" s="0">
        <v>77</v>
      </c>
      <c r="B355" t="s" s="0">
        <v>77</v>
      </c>
      <c r="C355" t="s" s="0">
        <v>77</v>
      </c>
      <c r="D355" t="s" s="0">
        <v>77</v>
      </c>
      <c r="E355" t="s" s="0">
        <v>7957</v>
      </c>
      <c r="F355" t="s" s="0">
        <v>7958</v>
      </c>
      <c r="G355" t="s" s="0">
        <v>7959</v>
      </c>
      <c r="H355" t="s" s="0">
        <v>81</v>
      </c>
      <c r="I355" t="s" s="0">
        <v>218</v>
      </c>
      <c r="J355" t="s" s="0">
        <v>7960</v>
      </c>
      <c r="K355" t="s" s="0">
        <v>7961</v>
      </c>
      <c r="L355" t="s" s="0">
        <v>7962</v>
      </c>
      <c r="M355" t="s" s="0">
        <v>7963</v>
      </c>
      <c r="N355" t="s" s="0">
        <v>7964</v>
      </c>
      <c r="O355" t="s" s="0">
        <v>7965</v>
      </c>
      <c r="P355" t="s" s="0">
        <v>7966</v>
      </c>
      <c r="Q355" t="s" s="0">
        <v>90</v>
      </c>
      <c r="R355" t="s" s="0">
        <v>81</v>
      </c>
      <c r="S355" t="s" s="0">
        <v>81</v>
      </c>
      <c r="T355" t="s" s="0">
        <v>81</v>
      </c>
      <c r="U355" t="s" s="0">
        <v>81</v>
      </c>
      <c r="V355" t="s" s="0">
        <v>7967</v>
      </c>
      <c r="W355" t="s" s="0">
        <v>7968</v>
      </c>
      <c r="X355" t="s" s="0">
        <v>81</v>
      </c>
      <c r="Y355" t="s" s="0">
        <v>81</v>
      </c>
      <c r="Z355" t="s" s="0">
        <v>93</v>
      </c>
      <c r="AA355" t="s" s="0">
        <v>94</v>
      </c>
      <c r="AB355" t="s" s="0">
        <v>81</v>
      </c>
      <c r="AC355" t="s" s="0">
        <v>81</v>
      </c>
      <c r="AD355" t="s" s="0">
        <v>81</v>
      </c>
      <c r="AE355" t="s" s="0">
        <v>81</v>
      </c>
      <c r="AF355" t="s" s="0">
        <v>81</v>
      </c>
      <c r="AG355" t="s" s="0">
        <v>7969</v>
      </c>
      <c r="AH355" t="s" s="0">
        <v>81</v>
      </c>
      <c r="AI355" t="s" s="0">
        <v>81</v>
      </c>
      <c r="AJ355" t="s" s="0">
        <v>81</v>
      </c>
      <c r="AK355" t="s" s="0">
        <v>81</v>
      </c>
      <c r="AL355" t="s" s="0">
        <v>239</v>
      </c>
      <c r="AM355" t="s" s="0">
        <v>77</v>
      </c>
      <c r="AN355" t="s" s="0">
        <v>77</v>
      </c>
      <c r="AO355" t="s" s="0">
        <v>77</v>
      </c>
      <c r="AP355" t="s" s="0">
        <v>77</v>
      </c>
      <c r="AQ355" t="s" s="0">
        <v>7970</v>
      </c>
      <c r="AR355" t="s" s="0">
        <v>7971</v>
      </c>
      <c r="AS355" t="s" s="0">
        <v>7972</v>
      </c>
      <c r="AT355" t="s" s="0">
        <v>7973</v>
      </c>
      <c r="AU355" t="s" s="0">
        <v>7974</v>
      </c>
      <c r="AV355" t="s" s="0">
        <v>81</v>
      </c>
      <c r="AW355" t="s" s="0">
        <v>7975</v>
      </c>
      <c r="AX355" t="s" s="0">
        <v>7976</v>
      </c>
      <c r="AY355" t="s" s="0">
        <v>144</v>
      </c>
      <c r="AZ355" t="s" s="0">
        <v>144</v>
      </c>
      <c r="BA355" t="s" s="0">
        <v>115</v>
      </c>
      <c r="BB355" t="s" s="0">
        <v>81</v>
      </c>
      <c r="BC355" t="s" s="0">
        <v>81</v>
      </c>
      <c r="BD355" t="s" s="0">
        <v>81</v>
      </c>
      <c r="BE355" t="s" s="0">
        <v>81</v>
      </c>
      <c r="BF355" t="s" s="0">
        <v>81</v>
      </c>
      <c r="BG355" t="s" s="0">
        <v>81</v>
      </c>
      <c r="BH355" t="s" s="0">
        <v>81</v>
      </c>
      <c r="BI355" t="s" s="0">
        <v>946</v>
      </c>
      <c r="BJ355" t="s" s="0">
        <v>7977</v>
      </c>
      <c r="BK355" t="s" s="705">
        <f>HYPERLINK("http://dx.doi.org/10.20517/2347-9264.2026.17","http://dx.doi.org/10.20517/2347-9264.2026.17")</f>
        <v>7978</v>
      </c>
      <c r="BL355" t="s" s="0">
        <v>81</v>
      </c>
      <c r="BM355" t="s" s="0">
        <v>81</v>
      </c>
      <c r="BN355" t="s" s="0">
        <v>946</v>
      </c>
      <c r="BO355" t="s" s="0">
        <v>3559</v>
      </c>
      <c r="BP355" t="s" s="0">
        <v>3559</v>
      </c>
      <c r="BQ355" t="s" s="0">
        <v>7979</v>
      </c>
      <c r="BR355" t="s" s="0">
        <v>81</v>
      </c>
      <c r="BS355" t="s" s="0">
        <v>7980</v>
      </c>
      <c r="BT355" t="s" s="706">
        <f>HYPERLINK("https://www.webofscience.com/wos/woscc/full-record/WOS:001785369700001","View Record in Web of Science")</f>
        <v>120</v>
      </c>
      <c r="BU355" t="s" s="0">
        <v>1216</v>
      </c>
      <c r="BV355" t="s" s="0">
        <v>81</v>
      </c>
      <c r="BW355" t="s" s="0">
        <v>81</v>
      </c>
      <c r="BX355" t="s" s="0">
        <v>122</v>
      </c>
    </row>
    <row r="356">
      <c r="A356" t="s" s="0">
        <v>77</v>
      </c>
      <c r="B356" t="s" s="0">
        <v>77</v>
      </c>
      <c r="C356" t="s" s="0">
        <v>77</v>
      </c>
      <c r="D356" t="s" s="0">
        <v>77</v>
      </c>
      <c r="E356" t="s" s="0">
        <v>7981</v>
      </c>
      <c r="F356" t="s" s="0">
        <v>7982</v>
      </c>
      <c r="G356" t="s" s="0">
        <v>7983</v>
      </c>
      <c r="H356" t="s" s="0">
        <v>81</v>
      </c>
      <c r="I356" t="s" s="0">
        <v>82</v>
      </c>
      <c r="J356" t="s" s="0">
        <v>7984</v>
      </c>
      <c r="K356" t="s" s="0">
        <v>7985</v>
      </c>
      <c r="L356" t="s" s="0">
        <v>81</v>
      </c>
      <c r="M356" t="s" s="0">
        <v>81</v>
      </c>
      <c r="N356" t="s" s="0">
        <v>81</v>
      </c>
      <c r="O356" t="s" s="0">
        <v>7986</v>
      </c>
      <c r="P356" t="s" s="0">
        <v>7987</v>
      </c>
      <c r="Q356" t="s" s="0">
        <v>90</v>
      </c>
      <c r="R356" t="s" s="0">
        <v>81</v>
      </c>
      <c r="S356" t="s" s="0">
        <v>81</v>
      </c>
      <c r="T356" t="s" s="0">
        <v>81</v>
      </c>
      <c r="U356" t="s" s="0">
        <v>81</v>
      </c>
      <c r="V356" t="s" s="0">
        <v>7988</v>
      </c>
      <c r="W356" t="s" s="0">
        <v>7989</v>
      </c>
      <c r="X356" t="s" s="0">
        <v>81</v>
      </c>
      <c r="Y356" t="s" s="0">
        <v>81</v>
      </c>
      <c r="Z356" t="s" s="0">
        <v>93</v>
      </c>
      <c r="AA356" t="s" s="0">
        <v>94</v>
      </c>
      <c r="AB356" t="s" s="0">
        <v>81</v>
      </c>
      <c r="AC356" t="s" s="0">
        <v>81</v>
      </c>
      <c r="AD356" t="s" s="0">
        <v>81</v>
      </c>
      <c r="AE356" t="s" s="0">
        <v>81</v>
      </c>
      <c r="AF356" t="s" s="0">
        <v>81</v>
      </c>
      <c r="AG356" t="s" s="0">
        <v>7990</v>
      </c>
      <c r="AH356" t="s" s="0">
        <v>81</v>
      </c>
      <c r="AI356" t="s" s="0">
        <v>7991</v>
      </c>
      <c r="AJ356" t="s" s="0">
        <v>81</v>
      </c>
      <c r="AK356" t="s" s="0">
        <v>81</v>
      </c>
      <c r="AL356" t="s" s="0">
        <v>328</v>
      </c>
      <c r="AM356" t="s" s="0">
        <v>169</v>
      </c>
      <c r="AN356" t="s" s="0">
        <v>169</v>
      </c>
      <c r="AO356" t="s" s="0">
        <v>77</v>
      </c>
      <c r="AP356" t="s" s="0">
        <v>77</v>
      </c>
      <c r="AQ356" t="s" s="0">
        <v>3435</v>
      </c>
      <c r="AR356" t="s" s="0">
        <v>3436</v>
      </c>
      <c r="AS356" t="s" s="0">
        <v>3437</v>
      </c>
      <c r="AT356" t="s" s="0">
        <v>7992</v>
      </c>
      <c r="AU356" t="s" s="0">
        <v>7993</v>
      </c>
      <c r="AV356" t="s" s="0">
        <v>81</v>
      </c>
      <c r="AW356" t="s" s="0">
        <v>7994</v>
      </c>
      <c r="AX356" t="s" s="0">
        <v>7995</v>
      </c>
      <c r="AY356" t="s" s="0">
        <v>209</v>
      </c>
      <c r="AZ356" t="s" s="0">
        <v>144</v>
      </c>
      <c r="BA356" t="s" s="0">
        <v>1496</v>
      </c>
      <c r="BB356" t="s" s="0">
        <v>81</v>
      </c>
      <c r="BC356" t="s" s="0">
        <v>81</v>
      </c>
      <c r="BD356" t="s" s="0">
        <v>81</v>
      </c>
      <c r="BE356" t="s" s="0">
        <v>81</v>
      </c>
      <c r="BF356" t="s" s="0">
        <v>81</v>
      </c>
      <c r="BG356" t="s" s="0">
        <v>81</v>
      </c>
      <c r="BH356" t="s" s="0">
        <v>81</v>
      </c>
      <c r="BI356" t="s" s="0">
        <v>7996</v>
      </c>
      <c r="BJ356" t="s" s="0">
        <v>7997</v>
      </c>
      <c r="BK356" t="s" s="707">
        <f>HYPERLINK("http://dx.doi.org/10.1016/j.ejmp.2026.105759","http://dx.doi.org/10.1016/j.ejmp.2026.105759")</f>
        <v>7998</v>
      </c>
      <c r="BL356" t="s" s="0">
        <v>81</v>
      </c>
      <c r="BM356" t="s" s="0">
        <v>81</v>
      </c>
      <c r="BN356" t="s" s="0">
        <v>328</v>
      </c>
      <c r="BO356" t="s" s="0">
        <v>182</v>
      </c>
      <c r="BP356" t="s" s="0">
        <v>182</v>
      </c>
      <c r="BQ356" t="s" s="0">
        <v>7999</v>
      </c>
      <c r="BR356" t="s" s="0">
        <v>8000</v>
      </c>
      <c r="BS356" t="s" s="0">
        <v>8001</v>
      </c>
      <c r="BT356" t="s" s="708">
        <f>HYPERLINK("https://www.webofscience.com/wos/woscc/full-record/WOS:001707130900001","View Record in Web of Science")</f>
        <v>120</v>
      </c>
      <c r="BU356" t="s" s="0">
        <v>81</v>
      </c>
      <c r="BV356" t="s" s="0">
        <v>81</v>
      </c>
      <c r="BW356" t="s" s="0">
        <v>81</v>
      </c>
      <c r="BX356" t="s" s="0">
        <v>122</v>
      </c>
    </row>
    <row r="357">
      <c r="A357" t="s" s="0">
        <v>77</v>
      </c>
      <c r="B357" t="s" s="0">
        <v>77</v>
      </c>
      <c r="C357" t="s" s="0">
        <v>77</v>
      </c>
      <c r="D357" t="s" s="0">
        <v>77</v>
      </c>
      <c r="E357" t="s" s="0">
        <v>8002</v>
      </c>
      <c r="F357" t="s" s="0">
        <v>8003</v>
      </c>
      <c r="G357" t="s" s="0">
        <v>8004</v>
      </c>
      <c r="H357" t="s" s="0">
        <v>81</v>
      </c>
      <c r="I357" t="s" s="0">
        <v>82</v>
      </c>
      <c r="J357" t="s" s="0">
        <v>8005</v>
      </c>
      <c r="K357" t="s" s="0">
        <v>8006</v>
      </c>
      <c r="L357" t="s" s="0">
        <v>81</v>
      </c>
      <c r="M357" t="s" s="0">
        <v>81</v>
      </c>
      <c r="N357" t="s" s="0">
        <v>81</v>
      </c>
      <c r="O357" t="s" s="0">
        <v>8007</v>
      </c>
      <c r="P357" t="s" s="0">
        <v>8008</v>
      </c>
      <c r="Q357" t="s" s="0">
        <v>90</v>
      </c>
      <c r="R357" t="s" s="0">
        <v>81</v>
      </c>
      <c r="S357" t="s" s="0">
        <v>81</v>
      </c>
      <c r="T357" t="s" s="0">
        <v>81</v>
      </c>
      <c r="U357" t="s" s="0">
        <v>81</v>
      </c>
      <c r="V357" t="s" s="0">
        <v>8009</v>
      </c>
      <c r="W357" t="s" s="0">
        <v>1466</v>
      </c>
      <c r="X357" t="s" s="0">
        <v>81</v>
      </c>
      <c r="Y357" t="s" s="0">
        <v>81</v>
      </c>
      <c r="Z357" t="s" s="0">
        <v>93</v>
      </c>
      <c r="AA357" t="s" s="0">
        <v>94</v>
      </c>
      <c r="AB357" t="s" s="0">
        <v>81</v>
      </c>
      <c r="AC357" t="s" s="0">
        <v>81</v>
      </c>
      <c r="AD357" t="s" s="0">
        <v>81</v>
      </c>
      <c r="AE357" t="s" s="0">
        <v>81</v>
      </c>
      <c r="AF357" t="s" s="0">
        <v>81</v>
      </c>
      <c r="AG357" t="s" s="0">
        <v>8010</v>
      </c>
      <c r="AH357" t="s" s="0">
        <v>8011</v>
      </c>
      <c r="AI357" t="s" s="0">
        <v>8012</v>
      </c>
      <c r="AJ357" t="s" s="0">
        <v>81</v>
      </c>
      <c r="AK357" t="s" s="0">
        <v>81</v>
      </c>
      <c r="AL357" t="s" s="0">
        <v>944</v>
      </c>
      <c r="AM357" t="s" s="0">
        <v>554</v>
      </c>
      <c r="AN357" t="s" s="0">
        <v>554</v>
      </c>
      <c r="AO357" t="s" s="0">
        <v>100</v>
      </c>
      <c r="AP357" t="s" s="0">
        <v>100</v>
      </c>
      <c r="AQ357" t="s" s="0">
        <v>499</v>
      </c>
      <c r="AR357" t="s" s="0">
        <v>500</v>
      </c>
      <c r="AS357" t="s" s="0">
        <v>501</v>
      </c>
      <c r="AT357" t="s" s="0">
        <v>1469</v>
      </c>
      <c r="AU357" t="s" s="0">
        <v>1470</v>
      </c>
      <c r="AV357" t="s" s="0">
        <v>81</v>
      </c>
      <c r="AW357" t="s" s="0">
        <v>1471</v>
      </c>
      <c r="AX357" t="s" s="0">
        <v>1472</v>
      </c>
      <c r="AY357" t="s" s="0">
        <v>209</v>
      </c>
      <c r="AZ357" t="s" s="0">
        <v>144</v>
      </c>
      <c r="BA357" t="s" s="0">
        <v>1473</v>
      </c>
      <c r="BB357" t="s" s="0">
        <v>99</v>
      </c>
      <c r="BC357" t="s" s="0">
        <v>81</v>
      </c>
      <c r="BD357" t="s" s="0">
        <v>81</v>
      </c>
      <c r="BE357" t="s" s="0">
        <v>81</v>
      </c>
      <c r="BF357" t="s" s="0">
        <v>81</v>
      </c>
      <c r="BG357" t="s" s="0">
        <v>8013</v>
      </c>
      <c r="BH357" t="s" s="0">
        <v>8014</v>
      </c>
      <c r="BI357" t="s" s="0">
        <v>81</v>
      </c>
      <c r="BJ357" t="s" s="0">
        <v>8015</v>
      </c>
      <c r="BK357" t="s" s="709">
        <f>HYPERLINK("http://dx.doi.org/10.1007/s00405-026-10040-2","http://dx.doi.org/10.1007/s00405-026-10040-2")</f>
        <v>8016</v>
      </c>
      <c r="BL357" t="s" s="0">
        <v>81</v>
      </c>
      <c r="BM357" t="s" s="0">
        <v>177</v>
      </c>
      <c r="BN357" t="s" s="0">
        <v>210</v>
      </c>
      <c r="BO357" t="s" s="0">
        <v>1478</v>
      </c>
      <c r="BP357" t="s" s="0">
        <v>1478</v>
      </c>
      <c r="BQ357" t="s" s="0">
        <v>8017</v>
      </c>
      <c r="BR357" t="s" s="0">
        <v>8018</v>
      </c>
      <c r="BS357" t="s" s="0">
        <v>8019</v>
      </c>
      <c r="BT357" t="s" s="710">
        <f>HYPERLINK("https://www.webofscience.com/wos/woscc/full-record/WOS:001716304200001","View Record in Web of Science")</f>
        <v>120</v>
      </c>
      <c r="BU357" t="s" s="0">
        <v>81</v>
      </c>
      <c r="BV357" t="s" s="0">
        <v>81</v>
      </c>
      <c r="BW357" t="s" s="0">
        <v>81</v>
      </c>
      <c r="BX357" t="s" s="0">
        <v>122</v>
      </c>
    </row>
    <row r="358">
      <c r="A358" t="s" s="0">
        <v>77</v>
      </c>
      <c r="B358" t="s" s="0">
        <v>77</v>
      </c>
      <c r="C358" t="s" s="0">
        <v>77</v>
      </c>
      <c r="D358" t="s" s="0">
        <v>77</v>
      </c>
      <c r="E358" t="s" s="0">
        <v>8020</v>
      </c>
      <c r="F358" t="s" s="0">
        <v>8021</v>
      </c>
      <c r="G358" t="s" s="0">
        <v>8022</v>
      </c>
      <c r="H358" t="s" s="0">
        <v>81</v>
      </c>
      <c r="I358" t="s" s="0">
        <v>218</v>
      </c>
      <c r="J358" t="s" s="0">
        <v>8023</v>
      </c>
      <c r="K358" t="s" s="0">
        <v>8024</v>
      </c>
      <c r="L358" t="s" s="0">
        <v>81</v>
      </c>
      <c r="M358" t="s" s="0">
        <v>81</v>
      </c>
      <c r="N358" t="s" s="0">
        <v>81</v>
      </c>
      <c r="O358" t="s" s="0">
        <v>8025</v>
      </c>
      <c r="P358" t="s" s="0">
        <v>8026</v>
      </c>
      <c r="Q358" t="s" s="0">
        <v>90</v>
      </c>
      <c r="R358" t="s" s="0">
        <v>81</v>
      </c>
      <c r="S358" t="s" s="0">
        <v>81</v>
      </c>
      <c r="T358" t="s" s="0">
        <v>81</v>
      </c>
      <c r="U358" t="s" s="0">
        <v>81</v>
      </c>
      <c r="V358" t="s" s="0">
        <v>8027</v>
      </c>
      <c r="W358" t="s" s="0">
        <v>8028</v>
      </c>
      <c r="X358" t="s" s="0">
        <v>81</v>
      </c>
      <c r="Y358" t="s" s="0">
        <v>81</v>
      </c>
      <c r="Z358" t="s" s="0">
        <v>93</v>
      </c>
      <c r="AA358" t="s" s="0">
        <v>94</v>
      </c>
      <c r="AB358" t="s" s="0">
        <v>81</v>
      </c>
      <c r="AC358" t="s" s="0">
        <v>81</v>
      </c>
      <c r="AD358" t="s" s="0">
        <v>81</v>
      </c>
      <c r="AE358" t="s" s="0">
        <v>81</v>
      </c>
      <c r="AF358" t="s" s="0">
        <v>81</v>
      </c>
      <c r="AG358" t="s" s="0">
        <v>8029</v>
      </c>
      <c r="AH358" t="s" s="0">
        <v>81</v>
      </c>
      <c r="AI358" t="s" s="0">
        <v>8030</v>
      </c>
      <c r="AJ358" t="s" s="0">
        <v>8031</v>
      </c>
      <c r="AK358" t="s" s="0">
        <v>81</v>
      </c>
      <c r="AL358" t="s" s="0">
        <v>168</v>
      </c>
      <c r="AM358" t="s" s="0">
        <v>77</v>
      </c>
      <c r="AN358" t="s" s="0">
        <v>77</v>
      </c>
      <c r="AO358" t="s" s="0">
        <v>100</v>
      </c>
      <c r="AP358" t="s" s="0">
        <v>360</v>
      </c>
      <c r="AQ358" t="s" s="0">
        <v>8032</v>
      </c>
      <c r="AR358" t="s" s="0">
        <v>8033</v>
      </c>
      <c r="AS358" t="s" s="0">
        <v>8034</v>
      </c>
      <c r="AT358" t="s" s="0">
        <v>81</v>
      </c>
      <c r="AU358" t="s" s="0">
        <v>8035</v>
      </c>
      <c r="AV358" t="s" s="0">
        <v>81</v>
      </c>
      <c r="AW358" t="s" s="0">
        <v>8036</v>
      </c>
      <c r="AX358" t="s" s="0">
        <v>8037</v>
      </c>
      <c r="AY358" t="s" s="0">
        <v>110</v>
      </c>
      <c r="AZ358" t="s" s="0">
        <v>110</v>
      </c>
      <c r="BA358" t="s" s="0">
        <v>452</v>
      </c>
      <c r="BB358" t="s" s="0">
        <v>99</v>
      </c>
      <c r="BC358" t="s" s="0">
        <v>81</v>
      </c>
      <c r="BD358" t="s" s="0">
        <v>81</v>
      </c>
      <c r="BE358" t="s" s="0">
        <v>81</v>
      </c>
      <c r="BF358" t="s" s="0">
        <v>81</v>
      </c>
      <c r="BG358" t="s" s="0">
        <v>81</v>
      </c>
      <c r="BH358" t="s" s="0">
        <v>81</v>
      </c>
      <c r="BI358" t="s" s="0">
        <v>8038</v>
      </c>
      <c r="BJ358" t="s" s="0">
        <v>8039</v>
      </c>
      <c r="BK358" t="s" s="711">
        <f>HYPERLINK("http://dx.doi.org/10.6018/edumed.676041","http://dx.doi.org/10.6018/edumed.676041")</f>
        <v>8040</v>
      </c>
      <c r="BL358" t="s" s="0">
        <v>81</v>
      </c>
      <c r="BM358" t="s" s="0">
        <v>81</v>
      </c>
      <c r="BN358" t="s" s="0">
        <v>145</v>
      </c>
      <c r="BO358" t="s" s="0">
        <v>2145</v>
      </c>
      <c r="BP358" t="s" s="0">
        <v>2146</v>
      </c>
      <c r="BQ358" t="s" s="0">
        <v>8041</v>
      </c>
      <c r="BR358" t="s" s="0">
        <v>81</v>
      </c>
      <c r="BS358" t="s" s="0">
        <v>8042</v>
      </c>
      <c r="BT358" t="s" s="712">
        <f>HYPERLINK("https://www.webofscience.com/wos/woscc/full-record/WOS:001656131800001","View Record in Web of Science")</f>
        <v>120</v>
      </c>
      <c r="BU358" t="s" s="0">
        <v>121</v>
      </c>
      <c r="BV358" t="s" s="0">
        <v>81</v>
      </c>
      <c r="BW358" t="s" s="0">
        <v>81</v>
      </c>
      <c r="BX358" t="s" s="0">
        <v>122</v>
      </c>
    </row>
    <row r="359">
      <c r="A359" t="s" s="0">
        <v>77</v>
      </c>
      <c r="B359" t="s" s="0">
        <v>77</v>
      </c>
      <c r="C359" t="s" s="0">
        <v>77</v>
      </c>
      <c r="D359" t="s" s="0">
        <v>77</v>
      </c>
      <c r="E359" t="s" s="0">
        <v>8043</v>
      </c>
      <c r="F359" t="s" s="0">
        <v>8044</v>
      </c>
      <c r="G359" t="s" s="0">
        <v>8045</v>
      </c>
      <c r="H359" t="s" s="0">
        <v>81</v>
      </c>
      <c r="I359" t="s" s="0">
        <v>82</v>
      </c>
      <c r="J359" t="s" s="0">
        <v>8046</v>
      </c>
      <c r="K359" t="s" s="0">
        <v>5896</v>
      </c>
      <c r="L359" t="s" s="0">
        <v>81</v>
      </c>
      <c r="M359" t="s" s="0">
        <v>81</v>
      </c>
      <c r="N359" t="s" s="0">
        <v>8047</v>
      </c>
      <c r="O359" t="s" s="0">
        <v>8048</v>
      </c>
      <c r="P359" t="s" s="0">
        <v>8049</v>
      </c>
      <c r="Q359" t="s" s="0">
        <v>90</v>
      </c>
      <c r="R359" t="s" s="0">
        <v>81</v>
      </c>
      <c r="S359" t="s" s="0">
        <v>81</v>
      </c>
      <c r="T359" t="s" s="0">
        <v>81</v>
      </c>
      <c r="U359" t="s" s="0">
        <v>81</v>
      </c>
      <c r="V359" t="s" s="0">
        <v>8050</v>
      </c>
      <c r="W359" t="s" s="0">
        <v>92</v>
      </c>
      <c r="X359" t="s" s="0">
        <v>81</v>
      </c>
      <c r="Y359" t="s" s="0">
        <v>81</v>
      </c>
      <c r="Z359" t="s" s="0">
        <v>93</v>
      </c>
      <c r="AA359" t="s" s="0">
        <v>94</v>
      </c>
      <c r="AB359" t="s" s="0">
        <v>81</v>
      </c>
      <c r="AC359" t="s" s="0">
        <v>81</v>
      </c>
      <c r="AD359" t="s" s="0">
        <v>81</v>
      </c>
      <c r="AE359" t="s" s="0">
        <v>81</v>
      </c>
      <c r="AF359" t="s" s="0">
        <v>81</v>
      </c>
      <c r="AG359" t="s" s="0">
        <v>8051</v>
      </c>
      <c r="AH359" t="s" s="0">
        <v>81</v>
      </c>
      <c r="AI359" t="s" s="0">
        <v>81</v>
      </c>
      <c r="AJ359" t="s" s="0">
        <v>81</v>
      </c>
      <c r="AK359" t="s" s="0">
        <v>81</v>
      </c>
      <c r="AL359" t="s" s="0">
        <v>2229</v>
      </c>
      <c r="AM359" t="s" s="0">
        <v>77</v>
      </c>
      <c r="AN359" t="s" s="0">
        <v>77</v>
      </c>
      <c r="AO359" t="s" s="0">
        <v>554</v>
      </c>
      <c r="AP359" t="s" s="0">
        <v>554</v>
      </c>
      <c r="AQ359" t="s" s="0">
        <v>103</v>
      </c>
      <c r="AR359" t="s" s="0">
        <v>104</v>
      </c>
      <c r="AS359" t="s" s="0">
        <v>105</v>
      </c>
      <c r="AT359" t="s" s="0">
        <v>1405</v>
      </c>
      <c r="AU359" t="s" s="0">
        <v>106</v>
      </c>
      <c r="AV359" t="s" s="0">
        <v>81</v>
      </c>
      <c r="AW359" t="s" s="0">
        <v>107</v>
      </c>
      <c r="AX359" t="s" s="0">
        <v>108</v>
      </c>
      <c r="AY359" t="s" s="0">
        <v>8052</v>
      </c>
      <c r="AZ359" t="s" s="0">
        <v>144</v>
      </c>
      <c r="BA359" t="s" s="0">
        <v>637</v>
      </c>
      <c r="BB359" t="s" s="0">
        <v>81</v>
      </c>
      <c r="BC359" t="s" s="0">
        <v>81</v>
      </c>
      <c r="BD359" t="s" s="0">
        <v>81</v>
      </c>
      <c r="BE359" t="s" s="0">
        <v>81</v>
      </c>
      <c r="BF359" t="s" s="0">
        <v>81</v>
      </c>
      <c r="BG359" t="s" s="0">
        <v>81</v>
      </c>
      <c r="BH359" t="s" s="0">
        <v>81</v>
      </c>
      <c r="BI359" t="s" s="0">
        <v>8053</v>
      </c>
      <c r="BJ359" t="s" s="0">
        <v>8054</v>
      </c>
      <c r="BK359" t="s" s="713">
        <f>HYPERLINK("http://dx.doi.org/10.2196/88058","http://dx.doi.org/10.2196/88058")</f>
        <v>8055</v>
      </c>
      <c r="BL359" t="s" s="0">
        <v>81</v>
      </c>
      <c r="BM359" t="s" s="0">
        <v>81</v>
      </c>
      <c r="BN359" t="s" s="0">
        <v>102</v>
      </c>
      <c r="BO359" t="s" s="0">
        <v>116</v>
      </c>
      <c r="BP359" t="s" s="0">
        <v>116</v>
      </c>
      <c r="BQ359" t="s" s="0">
        <v>8056</v>
      </c>
      <c r="BR359" t="s" s="0">
        <v>8057</v>
      </c>
      <c r="BS359" t="s" s="0">
        <v>8058</v>
      </c>
      <c r="BT359" t="s" s="714">
        <f>HYPERLINK("https://www.webofscience.com/wos/woscc/full-record/WOS:001814621800004","View Record in Web of Science")</f>
        <v>120</v>
      </c>
      <c r="BU359" t="s" s="0">
        <v>121</v>
      </c>
      <c r="BV359" t="s" s="0">
        <v>81</v>
      </c>
      <c r="BW359" t="s" s="0">
        <v>81</v>
      </c>
      <c r="BX359" t="s" s="0">
        <v>122</v>
      </c>
    </row>
    <row r="360">
      <c r="A360" t="s" s="0">
        <v>77</v>
      </c>
      <c r="B360" t="s" s="0">
        <v>77</v>
      </c>
      <c r="C360" t="s" s="0">
        <v>77</v>
      </c>
      <c r="D360" t="s" s="0">
        <v>77</v>
      </c>
      <c r="E360" t="s" s="0">
        <v>8059</v>
      </c>
      <c r="F360" t="s" s="0">
        <v>8060</v>
      </c>
      <c r="G360" t="s" s="0">
        <v>8061</v>
      </c>
      <c r="H360" t="s" s="0">
        <v>81</v>
      </c>
      <c r="I360" t="s" s="0">
        <v>568</v>
      </c>
      <c r="J360" t="s" s="0">
        <v>8062</v>
      </c>
      <c r="K360" t="s" s="0">
        <v>8063</v>
      </c>
      <c r="L360" t="s" s="0">
        <v>81</v>
      </c>
      <c r="M360" t="s" s="0">
        <v>81</v>
      </c>
      <c r="N360" t="s" s="0">
        <v>81</v>
      </c>
      <c r="O360" t="s" s="0">
        <v>8064</v>
      </c>
      <c r="P360" t="s" s="0">
        <v>8065</v>
      </c>
      <c r="Q360" t="s" s="0">
        <v>90</v>
      </c>
      <c r="R360" t="s" s="0">
        <v>81</v>
      </c>
      <c r="S360" t="s" s="0">
        <v>81</v>
      </c>
      <c r="T360" t="s" s="0">
        <v>81</v>
      </c>
      <c r="U360" t="s" s="0">
        <v>81</v>
      </c>
      <c r="V360" t="s" s="0">
        <v>8066</v>
      </c>
      <c r="W360" t="s" s="0">
        <v>5636</v>
      </c>
      <c r="X360" t="s" s="0">
        <v>81</v>
      </c>
      <c r="Y360" t="s" s="0">
        <v>81</v>
      </c>
      <c r="Z360" t="s" s="0">
        <v>93</v>
      </c>
      <c r="AA360" t="s" s="0">
        <v>94</v>
      </c>
      <c r="AB360" t="s" s="0">
        <v>81</v>
      </c>
      <c r="AC360" t="s" s="0">
        <v>81</v>
      </c>
      <c r="AD360" t="s" s="0">
        <v>81</v>
      </c>
      <c r="AE360" t="s" s="0">
        <v>81</v>
      </c>
      <c r="AF360" t="s" s="0">
        <v>81</v>
      </c>
      <c r="AG360" t="s" s="0">
        <v>8067</v>
      </c>
      <c r="AH360" t="s" s="0">
        <v>8068</v>
      </c>
      <c r="AI360" t="s" s="0">
        <v>8069</v>
      </c>
      <c r="AJ360" t="s" s="0">
        <v>8070</v>
      </c>
      <c r="AK360" t="s" s="0">
        <v>81</v>
      </c>
      <c r="AL360" t="s" s="0">
        <v>301</v>
      </c>
      <c r="AM360" t="s" s="0">
        <v>145</v>
      </c>
      <c r="AN360" t="s" s="0">
        <v>265</v>
      </c>
      <c r="AO360" t="s" s="0">
        <v>328</v>
      </c>
      <c r="AP360" t="s" s="0">
        <v>352</v>
      </c>
      <c r="AQ360" t="s" s="0">
        <v>439</v>
      </c>
      <c r="AR360" t="s" s="0">
        <v>201</v>
      </c>
      <c r="AS360" t="s" s="0">
        <v>440</v>
      </c>
      <c r="AT360" t="s" s="0">
        <v>81</v>
      </c>
      <c r="AU360" t="s" s="0">
        <v>5638</v>
      </c>
      <c r="AV360" t="s" s="0">
        <v>81</v>
      </c>
      <c r="AW360" t="s" s="0">
        <v>5639</v>
      </c>
      <c r="AX360" t="s" s="0">
        <v>5640</v>
      </c>
      <c r="AY360" t="s" s="0">
        <v>5328</v>
      </c>
      <c r="AZ360" t="s" s="0">
        <v>110</v>
      </c>
      <c r="BA360" t="s" s="0">
        <v>393</v>
      </c>
      <c r="BB360" t="s" s="0">
        <v>169</v>
      </c>
      <c r="BC360" t="s" s="0">
        <v>81</v>
      </c>
      <c r="BD360" t="s" s="0">
        <v>81</v>
      </c>
      <c r="BE360" t="s" s="0">
        <v>81</v>
      </c>
      <c r="BF360" t="s" s="0">
        <v>81</v>
      </c>
      <c r="BG360" t="s" s="0">
        <v>81</v>
      </c>
      <c r="BH360" t="s" s="0">
        <v>81</v>
      </c>
      <c r="BI360" t="s" s="0">
        <v>8071</v>
      </c>
      <c r="BJ360" t="s" s="0">
        <v>8072</v>
      </c>
      <c r="BK360" t="s" s="715">
        <f>HYPERLINK("http://dx.doi.org/10.1186/s12909-025-08085-8","http://dx.doi.org/10.1186/s12909-025-08085-8")</f>
        <v>8073</v>
      </c>
      <c r="BL360" t="s" s="0">
        <v>81</v>
      </c>
      <c r="BM360" t="s" s="0">
        <v>81</v>
      </c>
      <c r="BN360" t="s" s="0">
        <v>210</v>
      </c>
      <c r="BO360" t="s" s="0">
        <v>5645</v>
      </c>
      <c r="BP360" t="s" s="0">
        <v>2146</v>
      </c>
      <c r="BQ360" t="s" s="0">
        <v>8074</v>
      </c>
      <c r="BR360" t="s" s="0">
        <v>8075</v>
      </c>
      <c r="BS360" t="s" s="0">
        <v>8076</v>
      </c>
      <c r="BT360" t="s" s="716">
        <f>HYPERLINK("https://www.webofscience.com/wos/woscc/full-record/WOS:001603550000002","View Record in Web of Science")</f>
        <v>120</v>
      </c>
      <c r="BU360" t="s" s="0">
        <v>121</v>
      </c>
      <c r="BV360" t="s" s="0">
        <v>81</v>
      </c>
      <c r="BW360" t="s" s="0">
        <v>81</v>
      </c>
      <c r="BX360" t="s" s="0">
        <v>122</v>
      </c>
    </row>
    <row r="361">
      <c r="A361" t="s" s="0">
        <v>386</v>
      </c>
      <c r="B361" t="s" s="0">
        <v>77</v>
      </c>
      <c r="C361" t="s" s="0">
        <v>1543</v>
      </c>
      <c r="D361" t="s" s="0">
        <v>77</v>
      </c>
      <c r="E361" t="s" s="0">
        <v>8077</v>
      </c>
      <c r="F361" t="s" s="0">
        <v>8078</v>
      </c>
      <c r="G361" t="s" s="0">
        <v>8079</v>
      </c>
      <c r="H361" t="s" s="0">
        <v>81</v>
      </c>
      <c r="I361" t="s" s="0">
        <v>82</v>
      </c>
      <c r="J361" t="s" s="0">
        <v>8080</v>
      </c>
      <c r="K361" t="s" s="0">
        <v>8081</v>
      </c>
      <c r="L361" t="s" s="0">
        <v>81</v>
      </c>
      <c r="M361" t="s" s="0">
        <v>81</v>
      </c>
      <c r="N361" t="s" s="0">
        <v>81</v>
      </c>
      <c r="O361" t="s" s="0">
        <v>8082</v>
      </c>
      <c r="P361" t="s" s="0">
        <v>8083</v>
      </c>
      <c r="Q361" t="s" s="0">
        <v>90</v>
      </c>
      <c r="R361" t="s" s="0">
        <v>81</v>
      </c>
      <c r="S361" t="s" s="0">
        <v>81</v>
      </c>
      <c r="T361" t="s" s="0">
        <v>81</v>
      </c>
      <c r="U361" t="s" s="0">
        <v>81</v>
      </c>
      <c r="V361" t="s" s="0">
        <v>8084</v>
      </c>
      <c r="W361" t="s" s="0">
        <v>8085</v>
      </c>
      <c r="X361" t="s" s="0">
        <v>81</v>
      </c>
      <c r="Y361" t="s" s="0">
        <v>81</v>
      </c>
      <c r="Z361" t="s" s="0">
        <v>93</v>
      </c>
      <c r="AA361" t="s" s="0">
        <v>94</v>
      </c>
      <c r="AB361" t="s" s="0">
        <v>81</v>
      </c>
      <c r="AC361" t="s" s="0">
        <v>81</v>
      </c>
      <c r="AD361" t="s" s="0">
        <v>81</v>
      </c>
      <c r="AE361" t="s" s="0">
        <v>81</v>
      </c>
      <c r="AF361" t="s" s="0">
        <v>81</v>
      </c>
      <c r="AG361" t="s" s="0">
        <v>81</v>
      </c>
      <c r="AH361" t="s" s="0">
        <v>8086</v>
      </c>
      <c r="AI361" t="s" s="0">
        <v>81</v>
      </c>
      <c r="AJ361" t="s" s="0">
        <v>8087</v>
      </c>
      <c r="AK361" t="s" s="0">
        <v>81</v>
      </c>
      <c r="AL361" t="s" s="0">
        <v>261</v>
      </c>
      <c r="AM361" t="s" s="0">
        <v>8088</v>
      </c>
      <c r="AN361" t="s" s="0">
        <v>8089</v>
      </c>
      <c r="AO361" t="s" s="0">
        <v>328</v>
      </c>
      <c r="AP361" t="s" s="0">
        <v>2744</v>
      </c>
      <c r="AQ361" t="s" s="0">
        <v>1049</v>
      </c>
      <c r="AR361" t="s" s="0">
        <v>1050</v>
      </c>
      <c r="AS361" t="s" s="0">
        <v>1051</v>
      </c>
      <c r="AT361" t="s" s="0">
        <v>8090</v>
      </c>
      <c r="AU361" t="s" s="0">
        <v>81</v>
      </c>
      <c r="AV361" t="s" s="0">
        <v>81</v>
      </c>
      <c r="AW361" t="s" s="0">
        <v>8091</v>
      </c>
      <c r="AX361" t="s" s="0">
        <v>8092</v>
      </c>
      <c r="AY361" t="s" s="0">
        <v>8093</v>
      </c>
      <c r="AZ361" t="s" s="0">
        <v>592</v>
      </c>
      <c r="BA361" t="s" s="0">
        <v>386</v>
      </c>
      <c r="BB361" t="s" s="0">
        <v>101</v>
      </c>
      <c r="BC361" t="s" s="0">
        <v>81</v>
      </c>
      <c r="BD361" t="s" s="0">
        <v>81</v>
      </c>
      <c r="BE361" t="s" s="0">
        <v>81</v>
      </c>
      <c r="BF361" t="s" s="0">
        <v>81</v>
      </c>
      <c r="BG361" t="s" s="0">
        <v>81</v>
      </c>
      <c r="BH361" t="s" s="0">
        <v>81</v>
      </c>
      <c r="BI361" t="s" s="0">
        <v>8094</v>
      </c>
      <c r="BJ361" t="s" s="0">
        <v>8095</v>
      </c>
      <c r="BK361" t="s" s="717">
        <f>HYPERLINK("http://dx.doi.org/10.1001/jamanetworkopen.2024.0357","http://dx.doi.org/10.1001/jamanetworkopen.2024.0357")</f>
        <v>8096</v>
      </c>
      <c r="BL361" t="s" s="0">
        <v>81</v>
      </c>
      <c r="BM361" t="s" s="0">
        <v>81</v>
      </c>
      <c r="BN361" t="s" s="0">
        <v>102</v>
      </c>
      <c r="BO361" t="s" s="0">
        <v>149</v>
      </c>
      <c r="BP361" t="s" s="0">
        <v>150</v>
      </c>
      <c r="BQ361" t="s" s="0">
        <v>8097</v>
      </c>
      <c r="BR361" t="s" s="0">
        <v>8098</v>
      </c>
      <c r="BS361" t="s" s="0">
        <v>8099</v>
      </c>
      <c r="BT361" t="s" s="718">
        <f>HYPERLINK("https://www.webofscience.com/wos/woscc/full-record/WOS:001185758300008","View Record in Web of Science")</f>
        <v>120</v>
      </c>
      <c r="BU361" t="s" s="0">
        <v>121</v>
      </c>
      <c r="BV361" t="s" s="0">
        <v>602</v>
      </c>
      <c r="BW361" t="s" s="0">
        <v>603</v>
      </c>
      <c r="BX361" t="s" s="0">
        <v>122</v>
      </c>
    </row>
    <row r="362">
      <c r="A362" t="s" s="0">
        <v>77</v>
      </c>
      <c r="B362" t="s" s="0">
        <v>77</v>
      </c>
      <c r="C362" t="s" s="0">
        <v>77</v>
      </c>
      <c r="D362" t="s" s="0">
        <v>77</v>
      </c>
      <c r="E362" t="s" s="0">
        <v>8100</v>
      </c>
      <c r="F362" t="s" s="0">
        <v>8101</v>
      </c>
      <c r="G362" t="s" s="0">
        <v>8102</v>
      </c>
      <c r="H362" t="s" s="0">
        <v>81</v>
      </c>
      <c r="I362" t="s" s="0">
        <v>218</v>
      </c>
      <c r="J362" t="s" s="0">
        <v>8103</v>
      </c>
      <c r="K362" t="s" s="0">
        <v>8104</v>
      </c>
      <c r="L362" t="s" s="0">
        <v>81</v>
      </c>
      <c r="M362" t="s" s="0">
        <v>81</v>
      </c>
      <c r="N362" t="s" s="0">
        <v>81</v>
      </c>
      <c r="O362" t="s" s="0">
        <v>8105</v>
      </c>
      <c r="P362" t="s" s="0">
        <v>8106</v>
      </c>
      <c r="Q362" t="s" s="0">
        <v>90</v>
      </c>
      <c r="R362" t="s" s="0">
        <v>81</v>
      </c>
      <c r="S362" t="s" s="0">
        <v>81</v>
      </c>
      <c r="T362" t="s" s="0">
        <v>81</v>
      </c>
      <c r="U362" t="s" s="0">
        <v>81</v>
      </c>
      <c r="V362" t="s" s="0">
        <v>8107</v>
      </c>
      <c r="W362" t="s" s="0">
        <v>8108</v>
      </c>
      <c r="X362" t="s" s="0">
        <v>81</v>
      </c>
      <c r="Y362" t="s" s="0">
        <v>81</v>
      </c>
      <c r="Z362" t="s" s="0">
        <v>93</v>
      </c>
      <c r="AA362" t="s" s="0">
        <v>94</v>
      </c>
      <c r="AB362" t="s" s="0">
        <v>81</v>
      </c>
      <c r="AC362" t="s" s="0">
        <v>81</v>
      </c>
      <c r="AD362" t="s" s="0">
        <v>81</v>
      </c>
      <c r="AE362" t="s" s="0">
        <v>81</v>
      </c>
      <c r="AF362" t="s" s="0">
        <v>81</v>
      </c>
      <c r="AG362" t="s" s="0">
        <v>81</v>
      </c>
      <c r="AH362" t="s" s="0">
        <v>81</v>
      </c>
      <c r="AI362" t="s" s="0">
        <v>8109</v>
      </c>
      <c r="AJ362" t="s" s="0">
        <v>81</v>
      </c>
      <c r="AK362" t="s" s="0">
        <v>81</v>
      </c>
      <c r="AL362" t="s" s="0">
        <v>360</v>
      </c>
      <c r="AM362" t="s" s="0">
        <v>77</v>
      </c>
      <c r="AN362" t="s" s="0">
        <v>77</v>
      </c>
      <c r="AO362" t="s" s="0">
        <v>169</v>
      </c>
      <c r="AP362" t="s" s="0">
        <v>169</v>
      </c>
      <c r="AQ362" t="s" s="0">
        <v>1178</v>
      </c>
      <c r="AR362" t="s" s="0">
        <v>1179</v>
      </c>
      <c r="AS362" t="s" s="0">
        <v>1180</v>
      </c>
      <c r="AT362" t="s" s="0">
        <v>81</v>
      </c>
      <c r="AU362" t="s" s="0">
        <v>8110</v>
      </c>
      <c r="AV362" t="s" s="0">
        <v>81</v>
      </c>
      <c r="AW362" t="s" s="0">
        <v>8108</v>
      </c>
      <c r="AX362" t="s" s="0">
        <v>8111</v>
      </c>
      <c r="AY362" t="s" s="0">
        <v>8112</v>
      </c>
      <c r="AZ362" t="s" s="0">
        <v>144</v>
      </c>
      <c r="BA362" t="s" s="0">
        <v>320</v>
      </c>
      <c r="BB362" t="s" s="0">
        <v>554</v>
      </c>
      <c r="BC362" t="s" s="0">
        <v>81</v>
      </c>
      <c r="BD362" t="s" s="0">
        <v>81</v>
      </c>
      <c r="BE362" t="s" s="0">
        <v>81</v>
      </c>
      <c r="BF362" t="s" s="0">
        <v>81</v>
      </c>
      <c r="BG362" t="s" s="0">
        <v>81</v>
      </c>
      <c r="BH362" t="s" s="0">
        <v>81</v>
      </c>
      <c r="BI362" t="s" s="0">
        <v>8113</v>
      </c>
      <c r="BJ362" t="s" s="0">
        <v>8114</v>
      </c>
      <c r="BK362" t="s" s="719">
        <f>HYPERLINK("http://dx.doi.org/10.2106/JBJS.OA.26.00078","http://dx.doi.org/10.2106/JBJS.OA.26.00078")</f>
        <v>8115</v>
      </c>
      <c r="BL362" t="s" s="0">
        <v>81</v>
      </c>
      <c r="BM362" t="s" s="0">
        <v>81</v>
      </c>
      <c r="BN362" t="s" s="0">
        <v>100</v>
      </c>
      <c r="BO362" t="s" s="0">
        <v>2705</v>
      </c>
      <c r="BP362" t="s" s="0">
        <v>2705</v>
      </c>
      <c r="BQ362" t="s" s="0">
        <v>8116</v>
      </c>
      <c r="BR362" t="s" s="0">
        <v>8117</v>
      </c>
      <c r="BS362" t="s" s="0">
        <v>8118</v>
      </c>
      <c r="BT362" t="s" s="720">
        <f>HYPERLINK("https://www.webofscience.com/wos/woscc/full-record/WOS:001788077800001","View Record in Web of Science")</f>
        <v>120</v>
      </c>
      <c r="BU362" t="s" s="0">
        <v>121</v>
      </c>
      <c r="BV362" t="s" s="0">
        <v>81</v>
      </c>
      <c r="BW362" t="s" s="0">
        <v>81</v>
      </c>
      <c r="BX362" t="s" s="0">
        <v>122</v>
      </c>
    </row>
    <row r="363">
      <c r="A363" t="s" s="0">
        <v>77</v>
      </c>
      <c r="B363" t="s" s="0">
        <v>77</v>
      </c>
      <c r="C363" t="s" s="0">
        <v>169</v>
      </c>
      <c r="D363" t="s" s="0">
        <v>77</v>
      </c>
      <c r="E363" t="s" s="0">
        <v>8119</v>
      </c>
      <c r="F363" t="s" s="0">
        <v>8120</v>
      </c>
      <c r="G363" t="s" s="0">
        <v>8121</v>
      </c>
      <c r="H363" t="s" s="0">
        <v>81</v>
      </c>
      <c r="I363" t="s" s="0">
        <v>82</v>
      </c>
      <c r="J363" t="s" s="0">
        <v>8122</v>
      </c>
      <c r="K363" t="s" s="0">
        <v>8123</v>
      </c>
      <c r="L363" t="s" s="0">
        <v>8124</v>
      </c>
      <c r="M363" t="s" s="0">
        <v>8124</v>
      </c>
      <c r="N363" t="s" s="0">
        <v>8125</v>
      </c>
      <c r="O363" t="s" s="0">
        <v>8126</v>
      </c>
      <c r="P363" t="s" s="0">
        <v>8127</v>
      </c>
      <c r="Q363" t="s" s="0">
        <v>90</v>
      </c>
      <c r="R363" t="s" s="0">
        <v>81</v>
      </c>
      <c r="S363" t="s" s="0">
        <v>81</v>
      </c>
      <c r="T363" t="s" s="0">
        <v>81</v>
      </c>
      <c r="U363" t="s" s="0">
        <v>81</v>
      </c>
      <c r="V363" t="s" s="0">
        <v>8128</v>
      </c>
      <c r="W363" t="s" s="0">
        <v>317</v>
      </c>
      <c r="X363" t="s" s="0">
        <v>81</v>
      </c>
      <c r="Y363" t="s" s="0">
        <v>81</v>
      </c>
      <c r="Z363" t="s" s="0">
        <v>93</v>
      </c>
      <c r="AA363" t="s" s="0">
        <v>94</v>
      </c>
      <c r="AB363" t="s" s="0">
        <v>81</v>
      </c>
      <c r="AC363" t="s" s="0">
        <v>81</v>
      </c>
      <c r="AD363" t="s" s="0">
        <v>81</v>
      </c>
      <c r="AE363" t="s" s="0">
        <v>81</v>
      </c>
      <c r="AF363" t="s" s="0">
        <v>81</v>
      </c>
      <c r="AG363" t="s" s="0">
        <v>81</v>
      </c>
      <c r="AH363" t="s" s="0">
        <v>8129</v>
      </c>
      <c r="AI363" t="s" s="0">
        <v>81</v>
      </c>
      <c r="AJ363" t="s" s="0">
        <v>81</v>
      </c>
      <c r="AK363" t="s" s="0">
        <v>81</v>
      </c>
      <c r="AL363" t="s" s="0">
        <v>168</v>
      </c>
      <c r="AM363" t="s" s="0">
        <v>145</v>
      </c>
      <c r="AN363" t="s" s="0">
        <v>946</v>
      </c>
      <c r="AO363" t="s" s="0">
        <v>239</v>
      </c>
      <c r="AP363" t="s" s="0">
        <v>287</v>
      </c>
      <c r="AQ363" t="s" s="0">
        <v>321</v>
      </c>
      <c r="AR363" t="s" s="0">
        <v>322</v>
      </c>
      <c r="AS363" t="s" s="0">
        <v>323</v>
      </c>
      <c r="AT363" t="s" s="0">
        <v>324</v>
      </c>
      <c r="AU363" t="s" s="0">
        <v>81</v>
      </c>
      <c r="AV363" t="s" s="0">
        <v>81</v>
      </c>
      <c r="AW363" t="s" s="0">
        <v>325</v>
      </c>
      <c r="AX363" t="s" s="0">
        <v>326</v>
      </c>
      <c r="AY363" t="s" s="0">
        <v>8130</v>
      </c>
      <c r="AZ363" t="s" s="0">
        <v>110</v>
      </c>
      <c r="BA363" t="s" s="0">
        <v>210</v>
      </c>
      <c r="BB363" t="s" s="0">
        <v>169</v>
      </c>
      <c r="BC363" t="s" s="0">
        <v>81</v>
      </c>
      <c r="BD363" t="s" s="0">
        <v>81</v>
      </c>
      <c r="BE363" t="s" s="0">
        <v>81</v>
      </c>
      <c r="BF363" t="s" s="0">
        <v>81</v>
      </c>
      <c r="BG363" t="s" s="0">
        <v>81</v>
      </c>
      <c r="BH363" t="s" s="0">
        <v>81</v>
      </c>
      <c r="BI363" t="s" s="0">
        <v>8131</v>
      </c>
      <c r="BJ363" t="s" s="0">
        <v>8132</v>
      </c>
      <c r="BK363" t="s" s="721">
        <f>HYPERLINK("http://dx.doi.org/10.1038/s41746-025-02022-1","http://dx.doi.org/10.1038/s41746-025-02022-1")</f>
        <v>8133</v>
      </c>
      <c r="BL363" t="s" s="0">
        <v>81</v>
      </c>
      <c r="BM363" t="s" s="0">
        <v>81</v>
      </c>
      <c r="BN363" t="s" s="0">
        <v>210</v>
      </c>
      <c r="BO363" t="s" s="0">
        <v>116</v>
      </c>
      <c r="BP363" t="s" s="0">
        <v>116</v>
      </c>
      <c r="BQ363" t="s" s="0">
        <v>8134</v>
      </c>
      <c r="BR363" t="s" s="0">
        <v>8135</v>
      </c>
      <c r="BS363" t="s" s="0">
        <v>8136</v>
      </c>
      <c r="BT363" t="s" s="722">
        <f>HYPERLINK("https://www.webofscience.com/wos/woscc/full-record/WOS:001607409100001","View Record in Web of Science")</f>
        <v>120</v>
      </c>
      <c r="BU363" t="s" s="0">
        <v>121</v>
      </c>
      <c r="BV363" t="s" s="0">
        <v>81</v>
      </c>
      <c r="BW363" t="s" s="0">
        <v>81</v>
      </c>
      <c r="BX363" t="s" s="0">
        <v>122</v>
      </c>
    </row>
    <row r="364">
      <c r="A364" t="s" s="0">
        <v>77</v>
      </c>
      <c r="B364" t="s" s="0">
        <v>77</v>
      </c>
      <c r="C364" t="s" s="0">
        <v>77</v>
      </c>
      <c r="D364" t="s" s="0">
        <v>77</v>
      </c>
      <c r="E364" t="s" s="0">
        <v>8137</v>
      </c>
      <c r="F364" t="s" s="0">
        <v>8138</v>
      </c>
      <c r="G364" t="s" s="0">
        <v>8139</v>
      </c>
      <c r="H364" t="s" s="0">
        <v>81</v>
      </c>
      <c r="I364" t="s" s="0">
        <v>82</v>
      </c>
      <c r="J364" t="s" s="0">
        <v>8140</v>
      </c>
      <c r="K364" t="s" s="0">
        <v>8141</v>
      </c>
      <c r="L364" t="s" s="0">
        <v>3294</v>
      </c>
      <c r="M364" t="s" s="0">
        <v>3294</v>
      </c>
      <c r="N364" t="s" s="0">
        <v>8142</v>
      </c>
      <c r="O364" t="s" s="0">
        <v>8143</v>
      </c>
      <c r="P364" t="s" s="0">
        <v>8144</v>
      </c>
      <c r="Q364" t="s" s="0">
        <v>90</v>
      </c>
      <c r="R364" t="s" s="0">
        <v>81</v>
      </c>
      <c r="S364" t="s" s="0">
        <v>81</v>
      </c>
      <c r="T364" t="s" s="0">
        <v>81</v>
      </c>
      <c r="U364" t="s" s="0">
        <v>81</v>
      </c>
      <c r="V364" t="s" s="0">
        <v>8145</v>
      </c>
      <c r="W364" t="s" s="0">
        <v>1228</v>
      </c>
      <c r="X364" t="s" s="0">
        <v>81</v>
      </c>
      <c r="Y364" t="s" s="0">
        <v>81</v>
      </c>
      <c r="Z364" t="s" s="0">
        <v>93</v>
      </c>
      <c r="AA364" t="s" s="0">
        <v>196</v>
      </c>
      <c r="AB364" t="s" s="0">
        <v>81</v>
      </c>
      <c r="AC364" t="s" s="0">
        <v>81</v>
      </c>
      <c r="AD364" t="s" s="0">
        <v>81</v>
      </c>
      <c r="AE364" t="s" s="0">
        <v>81</v>
      </c>
      <c r="AF364" t="s" s="0">
        <v>81</v>
      </c>
      <c r="AG364" t="s" s="0">
        <v>8146</v>
      </c>
      <c r="AH364" t="s" s="0">
        <v>81</v>
      </c>
      <c r="AI364" t="s" s="0">
        <v>81</v>
      </c>
      <c r="AJ364" t="s" s="0">
        <v>81</v>
      </c>
      <c r="AK364" t="s" s="0">
        <v>81</v>
      </c>
      <c r="AL364" t="s" s="0">
        <v>239</v>
      </c>
      <c r="AM364" t="s" s="0">
        <v>169</v>
      </c>
      <c r="AN364" t="s" s="0">
        <v>169</v>
      </c>
      <c r="AO364" t="s" s="0">
        <v>77</v>
      </c>
      <c r="AP364" t="s" s="0">
        <v>77</v>
      </c>
      <c r="AQ364" t="s" s="0">
        <v>499</v>
      </c>
      <c r="AR364" t="s" s="0">
        <v>500</v>
      </c>
      <c r="AS364" t="s" s="0">
        <v>501</v>
      </c>
      <c r="AT364" t="s" s="0">
        <v>1233</v>
      </c>
      <c r="AU364" t="s" s="0">
        <v>1234</v>
      </c>
      <c r="AV364" t="s" s="0">
        <v>81</v>
      </c>
      <c r="AW364" t="s" s="0">
        <v>1235</v>
      </c>
      <c r="AX364" t="s" s="0">
        <v>1236</v>
      </c>
      <c r="AY364" t="s" s="0">
        <v>81</v>
      </c>
      <c r="AZ364" t="s" s="0">
        <v>144</v>
      </c>
      <c r="BA364" t="s" s="0">
        <v>81</v>
      </c>
      <c r="BB364" t="s" s="0">
        <v>81</v>
      </c>
      <c r="BC364" t="s" s="0">
        <v>81</v>
      </c>
      <c r="BD364" t="s" s="0">
        <v>81</v>
      </c>
      <c r="BE364" t="s" s="0">
        <v>81</v>
      </c>
      <c r="BF364" t="s" s="0">
        <v>81</v>
      </c>
      <c r="BG364" t="s" s="0">
        <v>81</v>
      </c>
      <c r="BH364" t="s" s="0">
        <v>81</v>
      </c>
      <c r="BI364" t="s" s="0">
        <v>81</v>
      </c>
      <c r="BJ364" t="s" s="0">
        <v>8147</v>
      </c>
      <c r="BK364" t="s" s="723">
        <f>HYPERLINK("http://dx.doi.org/10.1007/s00330-026-12648-8","http://dx.doi.org/10.1007/s00330-026-12648-8")</f>
        <v>8148</v>
      </c>
      <c r="BL364" t="s" s="0">
        <v>81</v>
      </c>
      <c r="BM364" t="s" s="0">
        <v>532</v>
      </c>
      <c r="BN364" t="s" s="0">
        <v>509</v>
      </c>
      <c r="BO364" t="s" s="0">
        <v>182</v>
      </c>
      <c r="BP364" t="s" s="0">
        <v>182</v>
      </c>
      <c r="BQ364" t="s" s="0">
        <v>8149</v>
      </c>
      <c r="BR364" t="s" s="0">
        <v>8150</v>
      </c>
      <c r="BS364" t="s" s="0">
        <v>8151</v>
      </c>
      <c r="BT364" t="s" s="724">
        <f>HYPERLINK("https://www.webofscience.com/wos/woscc/full-record/WOS:001789053200001","View Record in Web of Science")</f>
        <v>120</v>
      </c>
      <c r="BU364" t="s" s="0">
        <v>186</v>
      </c>
      <c r="BV364" t="s" s="0">
        <v>81</v>
      </c>
      <c r="BW364" t="s" s="0">
        <v>81</v>
      </c>
      <c r="BX364" t="s" s="0">
        <v>122</v>
      </c>
    </row>
    <row r="365">
      <c r="A365" t="s" s="0">
        <v>77</v>
      </c>
      <c r="B365" t="s" s="0">
        <v>77</v>
      </c>
      <c r="C365" t="s" s="0">
        <v>77</v>
      </c>
      <c r="D365" t="s" s="0">
        <v>77</v>
      </c>
      <c r="E365" t="s" s="0">
        <v>8152</v>
      </c>
      <c r="F365" t="s" s="0">
        <v>8153</v>
      </c>
      <c r="G365" t="s" s="0">
        <v>8154</v>
      </c>
      <c r="H365" t="s" s="0">
        <v>81</v>
      </c>
      <c r="I365" t="s" s="0">
        <v>82</v>
      </c>
      <c r="J365" t="s" s="0">
        <v>8155</v>
      </c>
      <c r="K365" t="s" s="0">
        <v>8156</v>
      </c>
      <c r="L365" t="s" s="0">
        <v>8157</v>
      </c>
      <c r="M365" t="s" s="0">
        <v>8158</v>
      </c>
      <c r="N365" t="s" s="0">
        <v>8159</v>
      </c>
      <c r="O365" t="s" s="0">
        <v>8160</v>
      </c>
      <c r="P365" t="s" s="0">
        <v>8161</v>
      </c>
      <c r="Q365" t="s" s="0">
        <v>90</v>
      </c>
      <c r="R365" t="s" s="0">
        <v>81</v>
      </c>
      <c r="S365" t="s" s="0">
        <v>81</v>
      </c>
      <c r="T365" t="s" s="0">
        <v>81</v>
      </c>
      <c r="U365" t="s" s="0">
        <v>81</v>
      </c>
      <c r="V365" t="s" s="0">
        <v>8162</v>
      </c>
      <c r="W365" t="s" s="0">
        <v>8163</v>
      </c>
      <c r="X365" t="s" s="0">
        <v>81</v>
      </c>
      <c r="Y365" t="s" s="0">
        <v>81</v>
      </c>
      <c r="Z365" t="s" s="0">
        <v>93</v>
      </c>
      <c r="AA365" t="s" s="0">
        <v>94</v>
      </c>
      <c r="AB365" t="s" s="0">
        <v>81</v>
      </c>
      <c r="AC365" t="s" s="0">
        <v>81</v>
      </c>
      <c r="AD365" t="s" s="0">
        <v>81</v>
      </c>
      <c r="AE365" t="s" s="0">
        <v>81</v>
      </c>
      <c r="AF365" t="s" s="0">
        <v>81</v>
      </c>
      <c r="AG365" t="s" s="0">
        <v>8164</v>
      </c>
      <c r="AH365" t="s" s="0">
        <v>4490</v>
      </c>
      <c r="AI365" t="s" s="0">
        <v>81</v>
      </c>
      <c r="AJ365" t="s" s="0">
        <v>8165</v>
      </c>
      <c r="AK365" t="s" s="0">
        <v>81</v>
      </c>
      <c r="AL365" t="s" s="0">
        <v>352</v>
      </c>
      <c r="AM365" t="s" s="0">
        <v>99</v>
      </c>
      <c r="AN365" t="s" s="0">
        <v>99</v>
      </c>
      <c r="AO365" t="s" s="0">
        <v>554</v>
      </c>
      <c r="AP365" t="s" s="0">
        <v>101</v>
      </c>
      <c r="AQ365" t="s" s="0">
        <v>2787</v>
      </c>
      <c r="AR365" t="s" s="0">
        <v>2788</v>
      </c>
      <c r="AS365" t="s" s="0">
        <v>2789</v>
      </c>
      <c r="AT365" t="s" s="0">
        <v>8166</v>
      </c>
      <c r="AU365" t="s" s="0">
        <v>8167</v>
      </c>
      <c r="AV365" t="s" s="0">
        <v>81</v>
      </c>
      <c r="AW365" t="s" s="0">
        <v>8168</v>
      </c>
      <c r="AX365" t="s" s="0">
        <v>8169</v>
      </c>
      <c r="AY365" t="s" s="0">
        <v>8170</v>
      </c>
      <c r="AZ365" t="s" s="0">
        <v>110</v>
      </c>
      <c r="BA365" t="s" s="0">
        <v>445</v>
      </c>
      <c r="BB365" t="s" s="0">
        <v>452</v>
      </c>
      <c r="BC365" t="s" s="0">
        <v>81</v>
      </c>
      <c r="BD365" t="s" s="0">
        <v>81</v>
      </c>
      <c r="BE365" t="s" s="0">
        <v>81</v>
      </c>
      <c r="BF365" t="s" s="0">
        <v>81</v>
      </c>
      <c r="BG365" t="s" s="0">
        <v>8171</v>
      </c>
      <c r="BH365" t="s" s="0">
        <v>8172</v>
      </c>
      <c r="BI365" t="s" s="0">
        <v>81</v>
      </c>
      <c r="BJ365" t="s" s="0">
        <v>8173</v>
      </c>
      <c r="BK365" t="s" s="725">
        <f>HYPERLINK("http://dx.doi.org/10.5664/jcsm.11594","http://dx.doi.org/10.5664/jcsm.11594")</f>
        <v>8174</v>
      </c>
      <c r="BL365" t="s" s="0">
        <v>81</v>
      </c>
      <c r="BM365" t="s" s="0">
        <v>81</v>
      </c>
      <c r="BN365" t="s" s="0">
        <v>100</v>
      </c>
      <c r="BO365" t="s" s="0">
        <v>8175</v>
      </c>
      <c r="BP365" t="s" s="0">
        <v>6457</v>
      </c>
      <c r="BQ365" t="s" s="0">
        <v>8176</v>
      </c>
      <c r="BR365" t="s" s="0">
        <v>8177</v>
      </c>
      <c r="BS365" t="s" s="0">
        <v>8178</v>
      </c>
      <c r="BT365" t="s" s="726">
        <f>HYPERLINK("https://www.webofscience.com/wos/woscc/full-record/WOS:001517502500018","View Record in Web of Science")</f>
        <v>120</v>
      </c>
      <c r="BU365" t="s" s="0">
        <v>805</v>
      </c>
      <c r="BV365" t="s" s="0">
        <v>81</v>
      </c>
      <c r="BW365" t="s" s="0">
        <v>81</v>
      </c>
      <c r="BX365" t="s" s="0">
        <v>122</v>
      </c>
    </row>
    <row r="366">
      <c r="A366" t="s" s="0">
        <v>77</v>
      </c>
      <c r="B366" t="s" s="0">
        <v>77</v>
      </c>
      <c r="C366" t="s" s="0">
        <v>169</v>
      </c>
      <c r="D366" t="s" s="0">
        <v>77</v>
      </c>
      <c r="E366" t="s" s="0">
        <v>8179</v>
      </c>
      <c r="F366" t="s" s="0">
        <v>8180</v>
      </c>
      <c r="G366" t="s" s="0">
        <v>8181</v>
      </c>
      <c r="H366" t="s" s="0">
        <v>81</v>
      </c>
      <c r="I366" t="s" s="0">
        <v>82</v>
      </c>
      <c r="J366" t="s" s="0">
        <v>8182</v>
      </c>
      <c r="K366" t="s" s="0">
        <v>8183</v>
      </c>
      <c r="L366" t="s" s="0">
        <v>81</v>
      </c>
      <c r="M366" t="s" s="0">
        <v>81</v>
      </c>
      <c r="N366" t="s" s="0">
        <v>81</v>
      </c>
      <c r="O366" t="s" s="0">
        <v>8184</v>
      </c>
      <c r="P366" t="s" s="0">
        <v>8185</v>
      </c>
      <c r="Q366" t="s" s="0">
        <v>90</v>
      </c>
      <c r="R366" t="s" s="0">
        <v>81</v>
      </c>
      <c r="S366" t="s" s="0">
        <v>81</v>
      </c>
      <c r="T366" t="s" s="0">
        <v>81</v>
      </c>
      <c r="U366" t="s" s="0">
        <v>81</v>
      </c>
      <c r="V366" t="s" s="0">
        <v>8186</v>
      </c>
      <c r="W366" t="s" s="0">
        <v>3038</v>
      </c>
      <c r="X366" t="s" s="0">
        <v>81</v>
      </c>
      <c r="Y366" t="s" s="0">
        <v>81</v>
      </c>
      <c r="Z366" t="s" s="0">
        <v>93</v>
      </c>
      <c r="AA366" t="s" s="0">
        <v>94</v>
      </c>
      <c r="AB366" t="s" s="0">
        <v>81</v>
      </c>
      <c r="AC366" t="s" s="0">
        <v>81</v>
      </c>
      <c r="AD366" t="s" s="0">
        <v>81</v>
      </c>
      <c r="AE366" t="s" s="0">
        <v>81</v>
      </c>
      <c r="AF366" t="s" s="0">
        <v>81</v>
      </c>
      <c r="AG366" t="s" s="0">
        <v>8187</v>
      </c>
      <c r="AH366" t="s" s="0">
        <v>8188</v>
      </c>
      <c r="AI366" t="s" s="0">
        <v>8189</v>
      </c>
      <c r="AJ366" t="s" s="0">
        <v>8190</v>
      </c>
      <c r="AK366" t="s" s="0">
        <v>81</v>
      </c>
      <c r="AL366" t="s" s="0">
        <v>1232</v>
      </c>
      <c r="AM366" t="s" s="0">
        <v>100</v>
      </c>
      <c r="AN366" t="s" s="0">
        <v>100</v>
      </c>
      <c r="AO366" t="s" s="0">
        <v>100</v>
      </c>
      <c r="AP366" t="s" s="0">
        <v>360</v>
      </c>
      <c r="AQ366" t="s" s="0">
        <v>712</v>
      </c>
      <c r="AR366" t="s" s="0">
        <v>500</v>
      </c>
      <c r="AS366" t="s" s="0">
        <v>713</v>
      </c>
      <c r="AT366" t="s" s="0">
        <v>3043</v>
      </c>
      <c r="AU366" t="s" s="0">
        <v>3044</v>
      </c>
      <c r="AV366" t="s" s="0">
        <v>81</v>
      </c>
      <c r="AW366" t="s" s="0">
        <v>3045</v>
      </c>
      <c r="AX366" t="s" s="0">
        <v>3046</v>
      </c>
      <c r="AY366" t="s" s="0">
        <v>238</v>
      </c>
      <c r="AZ366" t="s" s="0">
        <v>110</v>
      </c>
      <c r="BA366" t="s" s="0">
        <v>671</v>
      </c>
      <c r="BB366" t="s" s="0">
        <v>102</v>
      </c>
      <c r="BC366" t="s" s="0">
        <v>81</v>
      </c>
      <c r="BD366" t="s" s="0">
        <v>81</v>
      </c>
      <c r="BE366" t="s" s="0">
        <v>81</v>
      </c>
      <c r="BF366" t="s" s="0">
        <v>81</v>
      </c>
      <c r="BG366" t="s" s="0">
        <v>8191</v>
      </c>
      <c r="BH366" t="s" s="0">
        <v>8192</v>
      </c>
      <c r="BI366" t="s" s="0">
        <v>81</v>
      </c>
      <c r="BJ366" t="s" s="0">
        <v>8193</v>
      </c>
      <c r="BK366" t="s" s="727">
        <f>HYPERLINK("http://dx.doi.org/10.1016/j.acra.2025.06.057","http://dx.doi.org/10.1016/j.acra.2025.06.057")</f>
        <v>8194</v>
      </c>
      <c r="BL366" t="s" s="0">
        <v>81</v>
      </c>
      <c r="BM366" t="s" s="0">
        <v>238</v>
      </c>
      <c r="BN366" t="s" s="0">
        <v>386</v>
      </c>
      <c r="BO366" t="s" s="0">
        <v>182</v>
      </c>
      <c r="BP366" t="s" s="0">
        <v>182</v>
      </c>
      <c r="BQ366" t="s" s="0">
        <v>8195</v>
      </c>
      <c r="BR366" t="s" s="0">
        <v>8196</v>
      </c>
      <c r="BS366" t="s" s="0">
        <v>8197</v>
      </c>
      <c r="BT366" t="s" s="728">
        <f>HYPERLINK("https://www.webofscience.com/wos/woscc/full-record/WOS:001590129500004","View Record in Web of Science")</f>
        <v>120</v>
      </c>
      <c r="BU366" t="s" s="0">
        <v>81</v>
      </c>
      <c r="BV366" t="s" s="0">
        <v>81</v>
      </c>
      <c r="BW366" t="s" s="0">
        <v>81</v>
      </c>
      <c r="BX366" t="s" s="0">
        <v>122</v>
      </c>
    </row>
    <row r="367">
      <c r="A367" t="s" s="0">
        <v>554</v>
      </c>
      <c r="B367" t="s" s="0">
        <v>77</v>
      </c>
      <c r="C367" t="s" s="0">
        <v>99</v>
      </c>
      <c r="D367" t="s" s="0">
        <v>77</v>
      </c>
      <c r="E367" t="s" s="0">
        <v>8198</v>
      </c>
      <c r="F367" t="s" s="0">
        <v>8199</v>
      </c>
      <c r="G367" t="s" s="0">
        <v>8200</v>
      </c>
      <c r="H367" t="s" s="0">
        <v>81</v>
      </c>
      <c r="I367" t="s" s="0">
        <v>218</v>
      </c>
      <c r="J367" t="s" s="0">
        <v>8201</v>
      </c>
      <c r="K367" t="s" s="0">
        <v>8202</v>
      </c>
      <c r="L367" t="s" s="0">
        <v>81</v>
      </c>
      <c r="M367" t="s" s="0">
        <v>81</v>
      </c>
      <c r="N367" t="s" s="0">
        <v>81</v>
      </c>
      <c r="O367" t="s" s="0">
        <v>8203</v>
      </c>
      <c r="P367" t="s" s="0">
        <v>8204</v>
      </c>
      <c r="Q367" t="s" s="0">
        <v>90</v>
      </c>
      <c r="R367" t="s" s="0">
        <v>81</v>
      </c>
      <c r="S367" t="s" s="0">
        <v>81</v>
      </c>
      <c r="T367" t="s" s="0">
        <v>81</v>
      </c>
      <c r="U367" t="s" s="0">
        <v>81</v>
      </c>
      <c r="V367" t="s" s="0">
        <v>8205</v>
      </c>
      <c r="W367" t="s" s="0">
        <v>8206</v>
      </c>
      <c r="X367" t="s" s="0">
        <v>81</v>
      </c>
      <c r="Y367" t="s" s="0">
        <v>81</v>
      </c>
      <c r="Z367" t="s" s="0">
        <v>93</v>
      </c>
      <c r="AA367" t="s" s="0">
        <v>94</v>
      </c>
      <c r="AB367" t="s" s="0">
        <v>81</v>
      </c>
      <c r="AC367" t="s" s="0">
        <v>81</v>
      </c>
      <c r="AD367" t="s" s="0">
        <v>81</v>
      </c>
      <c r="AE367" t="s" s="0">
        <v>81</v>
      </c>
      <c r="AF367" t="s" s="0">
        <v>81</v>
      </c>
      <c r="AG367" t="s" s="0">
        <v>8207</v>
      </c>
      <c r="AH367" t="s" s="0">
        <v>81</v>
      </c>
      <c r="AI367" t="s" s="0">
        <v>8208</v>
      </c>
      <c r="AJ367" t="s" s="0">
        <v>8209</v>
      </c>
      <c r="AK367" t="s" s="0">
        <v>81</v>
      </c>
      <c r="AL367" t="s" s="0">
        <v>145</v>
      </c>
      <c r="AM367" t="s" s="0">
        <v>393</v>
      </c>
      <c r="AN367" t="s" s="0">
        <v>239</v>
      </c>
      <c r="AO367" t="s" s="0">
        <v>77</v>
      </c>
      <c r="AP367" t="s" s="0">
        <v>583</v>
      </c>
      <c r="AQ367" t="s" s="0">
        <v>8210</v>
      </c>
      <c r="AR367" t="s" s="0">
        <v>8211</v>
      </c>
      <c r="AS367" t="s" s="0">
        <v>8212</v>
      </c>
      <c r="AT367" t="s" s="0">
        <v>8213</v>
      </c>
      <c r="AU367" t="s" s="0">
        <v>81</v>
      </c>
      <c r="AV367" t="s" s="0">
        <v>81</v>
      </c>
      <c r="AW367" t="s" s="0">
        <v>8214</v>
      </c>
      <c r="AX367" t="s" s="0">
        <v>8215</v>
      </c>
      <c r="AY367" t="s" s="0">
        <v>592</v>
      </c>
      <c r="AZ367" t="s" s="0">
        <v>592</v>
      </c>
      <c r="BA367" t="s" s="0">
        <v>351</v>
      </c>
      <c r="BB367" t="s" s="0">
        <v>554</v>
      </c>
      <c r="BC367" t="s" s="0">
        <v>81</v>
      </c>
      <c r="BD367" t="s" s="0">
        <v>81</v>
      </c>
      <c r="BE367" t="s" s="0">
        <v>81</v>
      </c>
      <c r="BF367" t="s" s="0">
        <v>81</v>
      </c>
      <c r="BG367" t="s" s="0">
        <v>81</v>
      </c>
      <c r="BH367" t="s" s="0">
        <v>81</v>
      </c>
      <c r="BI367" t="s" s="0">
        <v>8216</v>
      </c>
      <c r="BJ367" t="s" s="0">
        <v>8217</v>
      </c>
      <c r="BK367" t="s" s="729">
        <f>HYPERLINK("http://dx.doi.org/10.3205/zma001675","http://dx.doi.org/10.3205/zma001675")</f>
        <v>8218</v>
      </c>
      <c r="BL367" t="s" s="0">
        <v>81</v>
      </c>
      <c r="BM367" t="s" s="0">
        <v>81</v>
      </c>
      <c r="BN367" t="s" s="0">
        <v>100</v>
      </c>
      <c r="BO367" t="s" s="0">
        <v>2145</v>
      </c>
      <c r="BP367" t="s" s="0">
        <v>2146</v>
      </c>
      <c r="BQ367" t="s" s="0">
        <v>8219</v>
      </c>
      <c r="BR367" t="s" s="0">
        <v>8220</v>
      </c>
      <c r="BS367" t="s" s="0">
        <v>8221</v>
      </c>
      <c r="BT367" t="s" s="730">
        <f>HYPERLINK("https://www.webofscience.com/wos/woscc/full-record/WOS:001206966700005","View Record in Web of Science")</f>
        <v>120</v>
      </c>
      <c r="BU367" t="s" s="0">
        <v>81</v>
      </c>
      <c r="BV367" t="s" s="0">
        <v>81</v>
      </c>
      <c r="BW367" t="s" s="0">
        <v>81</v>
      </c>
      <c r="BX367" t="s" s="0">
        <v>122</v>
      </c>
    </row>
    <row r="368">
      <c r="A368" t="s" s="0">
        <v>169</v>
      </c>
      <c r="B368" t="s" s="0">
        <v>77</v>
      </c>
      <c r="C368" t="s" s="0">
        <v>320</v>
      </c>
      <c r="D368" t="s" s="0">
        <v>77</v>
      </c>
      <c r="E368" t="s" s="0">
        <v>8222</v>
      </c>
      <c r="F368" t="s" s="0">
        <v>8223</v>
      </c>
      <c r="G368" t="s" s="0">
        <v>8224</v>
      </c>
      <c r="H368" t="s" s="0">
        <v>81</v>
      </c>
      <c r="I368" t="s" s="0">
        <v>82</v>
      </c>
      <c r="J368" t="s" s="0">
        <v>8225</v>
      </c>
      <c r="K368" t="s" s="0">
        <v>8226</v>
      </c>
      <c r="L368" t="s" s="0">
        <v>8227</v>
      </c>
      <c r="M368" t="s" s="0">
        <v>8228</v>
      </c>
      <c r="N368" t="s" s="0">
        <v>8229</v>
      </c>
      <c r="O368" t="s" s="0">
        <v>8230</v>
      </c>
      <c r="P368" t="s" s="0">
        <v>6941</v>
      </c>
      <c r="Q368" t="s" s="0">
        <v>90</v>
      </c>
      <c r="R368" t="s" s="0">
        <v>81</v>
      </c>
      <c r="S368" t="s" s="0">
        <v>81</v>
      </c>
      <c r="T368" t="s" s="0">
        <v>81</v>
      </c>
      <c r="U368" t="s" s="0">
        <v>81</v>
      </c>
      <c r="V368" t="s" s="0">
        <v>8231</v>
      </c>
      <c r="W368" t="s" s="0">
        <v>3339</v>
      </c>
      <c r="X368" t="s" s="0">
        <v>81</v>
      </c>
      <c r="Y368" t="s" s="0">
        <v>81</v>
      </c>
      <c r="Z368" t="s" s="0">
        <v>93</v>
      </c>
      <c r="AA368" t="s" s="0">
        <v>94</v>
      </c>
      <c r="AB368" t="s" s="0">
        <v>81</v>
      </c>
      <c r="AC368" t="s" s="0">
        <v>81</v>
      </c>
      <c r="AD368" t="s" s="0">
        <v>81</v>
      </c>
      <c r="AE368" t="s" s="0">
        <v>81</v>
      </c>
      <c r="AF368" t="s" s="0">
        <v>81</v>
      </c>
      <c r="AG368" t="s" s="0">
        <v>8232</v>
      </c>
      <c r="AH368" t="s" s="0">
        <v>8233</v>
      </c>
      <c r="AI368" t="s" s="0">
        <v>81</v>
      </c>
      <c r="AJ368" t="s" s="0">
        <v>8234</v>
      </c>
      <c r="AK368" t="s" s="0">
        <v>81</v>
      </c>
      <c r="AL368" t="s" s="0">
        <v>168</v>
      </c>
      <c r="AM368" t="s" s="0">
        <v>2270</v>
      </c>
      <c r="AN368" t="s" s="0">
        <v>1893</v>
      </c>
      <c r="AO368" t="s" s="0">
        <v>554</v>
      </c>
      <c r="AP368" t="s" s="0">
        <v>265</v>
      </c>
      <c r="AQ368" t="s" s="0">
        <v>321</v>
      </c>
      <c r="AR368" t="s" s="0">
        <v>322</v>
      </c>
      <c r="AS368" t="s" s="0">
        <v>323</v>
      </c>
      <c r="AT368" t="s" s="0">
        <v>3341</v>
      </c>
      <c r="AU368" t="s" s="0">
        <v>81</v>
      </c>
      <c r="AV368" t="s" s="0">
        <v>81</v>
      </c>
      <c r="AW368" t="s" s="0">
        <v>3342</v>
      </c>
      <c r="AX368" t="s" s="0">
        <v>3343</v>
      </c>
      <c r="AY368" t="s" s="0">
        <v>8235</v>
      </c>
      <c r="AZ368" t="s" s="0">
        <v>592</v>
      </c>
      <c r="BA368" t="s" s="0">
        <v>509</v>
      </c>
      <c r="BB368" t="s" s="0">
        <v>169</v>
      </c>
      <c r="BC368" t="s" s="0">
        <v>81</v>
      </c>
      <c r="BD368" t="s" s="0">
        <v>81</v>
      </c>
      <c r="BE368" t="s" s="0">
        <v>81</v>
      </c>
      <c r="BF368" t="s" s="0">
        <v>81</v>
      </c>
      <c r="BG368" t="s" s="0">
        <v>81</v>
      </c>
      <c r="BH368" t="s" s="0">
        <v>81</v>
      </c>
      <c r="BI368" t="s" s="0">
        <v>8236</v>
      </c>
      <c r="BJ368" t="s" s="0">
        <v>8237</v>
      </c>
      <c r="BK368" t="s" s="731">
        <f>HYPERLINK("http://dx.doi.org/10.1038/s41598-024-63824-z","http://dx.doi.org/10.1038/s41598-024-63824-z")</f>
        <v>8238</v>
      </c>
      <c r="BL368" t="s" s="0">
        <v>81</v>
      </c>
      <c r="BM368" t="s" s="0">
        <v>81</v>
      </c>
      <c r="BN368" t="s" s="0">
        <v>328</v>
      </c>
      <c r="BO368" t="s" s="0">
        <v>638</v>
      </c>
      <c r="BP368" t="s" s="0">
        <v>639</v>
      </c>
      <c r="BQ368" t="s" s="0">
        <v>8239</v>
      </c>
      <c r="BR368" t="s" s="0">
        <v>8240</v>
      </c>
      <c r="BS368" t="s" s="0">
        <v>8241</v>
      </c>
      <c r="BT368" t="s" s="732">
        <f>HYPERLINK("https://www.webofscience.com/wos/woscc/full-record/WOS:001248258900019","View Record in Web of Science")</f>
        <v>120</v>
      </c>
      <c r="BU368" t="s" s="0">
        <v>121</v>
      </c>
      <c r="BV368" t="s" s="0">
        <v>602</v>
      </c>
      <c r="BW368" t="s" s="0">
        <v>603</v>
      </c>
      <c r="BX368" t="s" s="0">
        <v>122</v>
      </c>
    </row>
    <row r="369">
      <c r="A369" t="s" s="0">
        <v>77</v>
      </c>
      <c r="B369" t="s" s="0">
        <v>77</v>
      </c>
      <c r="C369" t="s" s="0">
        <v>77</v>
      </c>
      <c r="D369" t="s" s="0">
        <v>77</v>
      </c>
      <c r="E369" t="s" s="0">
        <v>8242</v>
      </c>
      <c r="F369" t="s" s="0">
        <v>8243</v>
      </c>
      <c r="G369" t="s" s="0">
        <v>8244</v>
      </c>
      <c r="H369" t="s" s="0">
        <v>81</v>
      </c>
      <c r="I369" t="s" s="0">
        <v>218</v>
      </c>
      <c r="J369" t="s" s="0">
        <v>8245</v>
      </c>
      <c r="K369" t="s" s="0">
        <v>8246</v>
      </c>
      <c r="L369" t="s" s="0">
        <v>8247</v>
      </c>
      <c r="M369" t="s" s="0">
        <v>8248</v>
      </c>
      <c r="N369" t="s" s="0">
        <v>8249</v>
      </c>
      <c r="O369" t="s" s="0">
        <v>8250</v>
      </c>
      <c r="P369" t="s" s="0">
        <v>8251</v>
      </c>
      <c r="Q369" t="s" s="0">
        <v>90</v>
      </c>
      <c r="R369" t="s" s="0">
        <v>81</v>
      </c>
      <c r="S369" t="s" s="0">
        <v>81</v>
      </c>
      <c r="T369" t="s" s="0">
        <v>81</v>
      </c>
      <c r="U369" t="s" s="0">
        <v>81</v>
      </c>
      <c r="V369" t="s" s="0">
        <v>8252</v>
      </c>
      <c r="W369" t="s" s="0">
        <v>8253</v>
      </c>
      <c r="X369" t="s" s="0">
        <v>81</v>
      </c>
      <c r="Y369" t="s" s="0">
        <v>81</v>
      </c>
      <c r="Z369" t="s" s="0">
        <v>93</v>
      </c>
      <c r="AA369" t="s" s="0">
        <v>94</v>
      </c>
      <c r="AB369" t="s" s="0">
        <v>81</v>
      </c>
      <c r="AC369" t="s" s="0">
        <v>81</v>
      </c>
      <c r="AD369" t="s" s="0">
        <v>81</v>
      </c>
      <c r="AE369" t="s" s="0">
        <v>81</v>
      </c>
      <c r="AF369" t="s" s="0">
        <v>81</v>
      </c>
      <c r="AG369" t="s" s="0">
        <v>8254</v>
      </c>
      <c r="AH369" t="s" s="0">
        <v>8255</v>
      </c>
      <c r="AI369" t="s" s="0">
        <v>8256</v>
      </c>
      <c r="AJ369" t="s" s="0">
        <v>8257</v>
      </c>
      <c r="AK369" t="s" s="0">
        <v>81</v>
      </c>
      <c r="AL369" t="s" s="0">
        <v>8258</v>
      </c>
      <c r="AM369" t="s" s="0">
        <v>554</v>
      </c>
      <c r="AN369" t="s" s="0">
        <v>554</v>
      </c>
      <c r="AO369" t="s" s="0">
        <v>99</v>
      </c>
      <c r="AP369" t="s" s="0">
        <v>452</v>
      </c>
      <c r="AQ369" t="s" s="0">
        <v>8259</v>
      </c>
      <c r="AR369" t="s" s="0">
        <v>8260</v>
      </c>
      <c r="AS369" t="s" s="0">
        <v>8261</v>
      </c>
      <c r="AT369" t="s" s="0">
        <v>8262</v>
      </c>
      <c r="AU369" t="s" s="0">
        <v>8263</v>
      </c>
      <c r="AV369" t="s" s="0">
        <v>81</v>
      </c>
      <c r="AW369" t="s" s="0">
        <v>8264</v>
      </c>
      <c r="AX369" t="s" s="0">
        <v>8265</v>
      </c>
      <c r="AY369" t="s" s="0">
        <v>8266</v>
      </c>
      <c r="AZ369" t="s" s="0">
        <v>110</v>
      </c>
      <c r="BA369" t="s" s="0">
        <v>946</v>
      </c>
      <c r="BB369" t="s" s="0">
        <v>169</v>
      </c>
      <c r="BC369" t="s" s="0">
        <v>81</v>
      </c>
      <c r="BD369" t="s" s="0">
        <v>81</v>
      </c>
      <c r="BE369" t="s" s="0">
        <v>81</v>
      </c>
      <c r="BF369" t="s" s="0">
        <v>81</v>
      </c>
      <c r="BG369" t="s" s="0">
        <v>81</v>
      </c>
      <c r="BH369" t="s" s="0">
        <v>81</v>
      </c>
      <c r="BI369" t="s" s="0">
        <v>8267</v>
      </c>
      <c r="BJ369" t="s" s="0">
        <v>8268</v>
      </c>
      <c r="BK369" t="s" s="733">
        <f>HYPERLINK("http://dx.doi.org/10.4018/IJSSCI.394323","http://dx.doi.org/10.4018/IJSSCI.394323")</f>
        <v>8269</v>
      </c>
      <c r="BL369" t="s" s="0">
        <v>81</v>
      </c>
      <c r="BM369" t="s" s="0">
        <v>81</v>
      </c>
      <c r="BN369" t="s" s="0">
        <v>393</v>
      </c>
      <c r="BO369" t="s" s="0">
        <v>8270</v>
      </c>
      <c r="BP369" t="s" s="0">
        <v>303</v>
      </c>
      <c r="BQ369" t="s" s="0">
        <v>8271</v>
      </c>
      <c r="BR369" t="s" s="0">
        <v>81</v>
      </c>
      <c r="BS369" t="s" s="0">
        <v>8272</v>
      </c>
      <c r="BT369" t="s" s="734">
        <f>HYPERLINK("https://www.webofscience.com/wos/woscc/full-record/WOS:001644473900001","View Record in Web of Science")</f>
        <v>120</v>
      </c>
      <c r="BU369" t="s" s="0">
        <v>306</v>
      </c>
      <c r="BV369" t="s" s="0">
        <v>81</v>
      </c>
      <c r="BW369" t="s" s="0">
        <v>81</v>
      </c>
      <c r="BX369" t="s" s="0">
        <v>122</v>
      </c>
    </row>
    <row r="370">
      <c r="A370" t="s" s="0">
        <v>77</v>
      </c>
      <c r="B370" t="s" s="0">
        <v>77</v>
      </c>
      <c r="C370" t="s" s="0">
        <v>328</v>
      </c>
      <c r="D370" t="s" s="0">
        <v>77</v>
      </c>
      <c r="E370" t="s" s="0">
        <v>8273</v>
      </c>
      <c r="F370" t="s" s="0">
        <v>8274</v>
      </c>
      <c r="G370" t="s" s="0">
        <v>8275</v>
      </c>
      <c r="H370" t="s" s="0">
        <v>81</v>
      </c>
      <c r="I370" t="s" s="0">
        <v>82</v>
      </c>
      <c r="J370" t="s" s="0">
        <v>8276</v>
      </c>
      <c r="K370" t="s" s="0">
        <v>8277</v>
      </c>
      <c r="L370" t="s" s="0">
        <v>8278</v>
      </c>
      <c r="M370" t="s" s="0">
        <v>8279</v>
      </c>
      <c r="N370" t="s" s="0">
        <v>8280</v>
      </c>
      <c r="O370" t="s" s="0">
        <v>8281</v>
      </c>
      <c r="P370" t="s" s="0">
        <v>8282</v>
      </c>
      <c r="Q370" t="s" s="0">
        <v>90</v>
      </c>
      <c r="R370" t="s" s="0">
        <v>81</v>
      </c>
      <c r="S370" t="s" s="0">
        <v>81</v>
      </c>
      <c r="T370" t="s" s="0">
        <v>81</v>
      </c>
      <c r="U370" t="s" s="0">
        <v>81</v>
      </c>
      <c r="V370" t="s" s="0">
        <v>8283</v>
      </c>
      <c r="W370" t="s" s="0">
        <v>8085</v>
      </c>
      <c r="X370" t="s" s="0">
        <v>81</v>
      </c>
      <c r="Y370" t="s" s="0">
        <v>81</v>
      </c>
      <c r="Z370" t="s" s="0">
        <v>93</v>
      </c>
      <c r="AA370" t="s" s="0">
        <v>94</v>
      </c>
      <c r="AB370" t="s" s="0">
        <v>81</v>
      </c>
      <c r="AC370" t="s" s="0">
        <v>81</v>
      </c>
      <c r="AD370" t="s" s="0">
        <v>81</v>
      </c>
      <c r="AE370" t="s" s="0">
        <v>81</v>
      </c>
      <c r="AF370" t="s" s="0">
        <v>81</v>
      </c>
      <c r="AG370" t="s" s="0">
        <v>81</v>
      </c>
      <c r="AH370" t="s" s="0">
        <v>8284</v>
      </c>
      <c r="AI370" t="s" s="0">
        <v>8285</v>
      </c>
      <c r="AJ370" t="s" s="0">
        <v>8286</v>
      </c>
      <c r="AK370" t="s" s="0">
        <v>81</v>
      </c>
      <c r="AL370" t="s" s="0">
        <v>319</v>
      </c>
      <c r="AM370" t="s" s="0">
        <v>1232</v>
      </c>
      <c r="AN370" t="s" s="0">
        <v>111</v>
      </c>
      <c r="AO370" t="s" s="0">
        <v>554</v>
      </c>
      <c r="AP370" t="s" s="0">
        <v>265</v>
      </c>
      <c r="AQ370" t="s" s="0">
        <v>1049</v>
      </c>
      <c r="AR370" t="s" s="0">
        <v>1050</v>
      </c>
      <c r="AS370" t="s" s="0">
        <v>1051</v>
      </c>
      <c r="AT370" t="s" s="0">
        <v>8090</v>
      </c>
      <c r="AU370" t="s" s="0">
        <v>81</v>
      </c>
      <c r="AV370" t="s" s="0">
        <v>81</v>
      </c>
      <c r="AW370" t="s" s="0">
        <v>8091</v>
      </c>
      <c r="AX370" t="s" s="0">
        <v>8092</v>
      </c>
      <c r="AY370" t="s" s="0">
        <v>8287</v>
      </c>
      <c r="AZ370" t="s" s="0">
        <v>592</v>
      </c>
      <c r="BA370" t="s" s="0">
        <v>386</v>
      </c>
      <c r="BB370" t="s" s="0">
        <v>210</v>
      </c>
      <c r="BC370" t="s" s="0">
        <v>81</v>
      </c>
      <c r="BD370" t="s" s="0">
        <v>81</v>
      </c>
      <c r="BE370" t="s" s="0">
        <v>81</v>
      </c>
      <c r="BF370" t="s" s="0">
        <v>81</v>
      </c>
      <c r="BG370" t="s" s="0">
        <v>81</v>
      </c>
      <c r="BH370" t="s" s="0">
        <v>81</v>
      </c>
      <c r="BI370" t="s" s="0">
        <v>8288</v>
      </c>
      <c r="BJ370" t="s" s="0">
        <v>8289</v>
      </c>
      <c r="BK370" t="s" s="735">
        <f>HYPERLINK("http://dx.doi.org/10.1001/jamanetworkopen.2024.25981","http://dx.doi.org/10.1001/jamanetworkopen.2024.25981")</f>
        <v>8290</v>
      </c>
      <c r="BL370" t="s" s="0">
        <v>81</v>
      </c>
      <c r="BM370" t="s" s="0">
        <v>81</v>
      </c>
      <c r="BN370" t="s" s="0">
        <v>320</v>
      </c>
      <c r="BO370" t="s" s="0">
        <v>149</v>
      </c>
      <c r="BP370" t="s" s="0">
        <v>150</v>
      </c>
      <c r="BQ370" t="s" s="0">
        <v>8291</v>
      </c>
      <c r="BR370" t="s" s="0">
        <v>8292</v>
      </c>
      <c r="BS370" t="s" s="0">
        <v>8293</v>
      </c>
      <c r="BT370" t="s" s="736">
        <f>HYPERLINK("https://www.webofscience.com/wos/woscc/full-record/WOS:001292425900002","View Record in Web of Science")</f>
        <v>120</v>
      </c>
      <c r="BU370" t="s" s="0">
        <v>121</v>
      </c>
      <c r="BV370" t="s" s="0">
        <v>81</v>
      </c>
      <c r="BW370" t="s" s="0">
        <v>81</v>
      </c>
      <c r="BX370" t="s" s="0">
        <v>122</v>
      </c>
    </row>
    <row r="371">
      <c r="A371" t="s" s="0">
        <v>77</v>
      </c>
      <c r="B371" t="s" s="0">
        <v>77</v>
      </c>
      <c r="C371" t="s" s="0">
        <v>77</v>
      </c>
      <c r="D371" t="s" s="0">
        <v>77</v>
      </c>
      <c r="E371" t="s" s="0">
        <v>8294</v>
      </c>
      <c r="F371" t="s" s="0">
        <v>8295</v>
      </c>
      <c r="G371" t="s" s="0">
        <v>8296</v>
      </c>
      <c r="H371" t="s" s="0">
        <v>81</v>
      </c>
      <c r="I371" t="s" s="0">
        <v>568</v>
      </c>
      <c r="J371" t="s" s="0">
        <v>8297</v>
      </c>
      <c r="K371" t="s" s="0">
        <v>8298</v>
      </c>
      <c r="L371" t="s" s="0">
        <v>81</v>
      </c>
      <c r="M371" t="s" s="0">
        <v>81</v>
      </c>
      <c r="N371" t="s" s="0">
        <v>81</v>
      </c>
      <c r="O371" t="s" s="0">
        <v>8299</v>
      </c>
      <c r="P371" t="s" s="0">
        <v>5898</v>
      </c>
      <c r="Q371" t="s" s="0">
        <v>90</v>
      </c>
      <c r="R371" t="s" s="0">
        <v>81</v>
      </c>
      <c r="S371" t="s" s="0">
        <v>81</v>
      </c>
      <c r="T371" t="s" s="0">
        <v>81</v>
      </c>
      <c r="U371" t="s" s="0">
        <v>81</v>
      </c>
      <c r="V371" t="s" s="0">
        <v>8300</v>
      </c>
      <c r="W371" t="s" s="0">
        <v>8301</v>
      </c>
      <c r="X371" t="s" s="0">
        <v>81</v>
      </c>
      <c r="Y371" t="s" s="0">
        <v>81</v>
      </c>
      <c r="Z371" t="s" s="0">
        <v>93</v>
      </c>
      <c r="AA371" t="s" s="0">
        <v>94</v>
      </c>
      <c r="AB371" t="s" s="0">
        <v>81</v>
      </c>
      <c r="AC371" t="s" s="0">
        <v>81</v>
      </c>
      <c r="AD371" t="s" s="0">
        <v>81</v>
      </c>
      <c r="AE371" t="s" s="0">
        <v>81</v>
      </c>
      <c r="AF371" t="s" s="0">
        <v>81</v>
      </c>
      <c r="AG371" t="s" s="0">
        <v>8302</v>
      </c>
      <c r="AH371" t="s" s="0">
        <v>8303</v>
      </c>
      <c r="AI371" t="s" s="0">
        <v>8304</v>
      </c>
      <c r="AJ371" t="s" s="0">
        <v>81</v>
      </c>
      <c r="AK371" t="s" s="0">
        <v>81</v>
      </c>
      <c r="AL371" t="s" s="0">
        <v>469</v>
      </c>
      <c r="AM371" t="s" s="0">
        <v>99</v>
      </c>
      <c r="AN371" t="s" s="0">
        <v>99</v>
      </c>
      <c r="AO371" t="s" s="0">
        <v>438</v>
      </c>
      <c r="AP371" t="s" s="0">
        <v>438</v>
      </c>
      <c r="AQ371" t="s" s="0">
        <v>2048</v>
      </c>
      <c r="AR371" t="s" s="0">
        <v>2049</v>
      </c>
      <c r="AS371" t="s" s="0">
        <v>2050</v>
      </c>
      <c r="AT371" t="s" s="0">
        <v>8305</v>
      </c>
      <c r="AU371" t="s" s="0">
        <v>8306</v>
      </c>
      <c r="AV371" t="s" s="0">
        <v>81</v>
      </c>
      <c r="AW371" t="s" s="0">
        <v>8307</v>
      </c>
      <c r="AX371" t="s" s="0">
        <v>8308</v>
      </c>
      <c r="AY371" t="s" s="0">
        <v>3047</v>
      </c>
      <c r="AZ371" t="s" s="0">
        <v>144</v>
      </c>
      <c r="BA371" t="s" s="0">
        <v>692</v>
      </c>
      <c r="BB371" t="s" s="0">
        <v>81</v>
      </c>
      <c r="BC371" t="s" s="0">
        <v>81</v>
      </c>
      <c r="BD371" t="s" s="0">
        <v>81</v>
      </c>
      <c r="BE371" t="s" s="0">
        <v>81</v>
      </c>
      <c r="BF371" t="s" s="0">
        <v>81</v>
      </c>
      <c r="BG371" t="s" s="0">
        <v>81</v>
      </c>
      <c r="BH371" t="s" s="0">
        <v>81</v>
      </c>
      <c r="BI371" t="s" s="0">
        <v>8309</v>
      </c>
      <c r="BJ371" t="s" s="0">
        <v>8310</v>
      </c>
      <c r="BK371" t="s" s="737">
        <f>HYPERLINK("http://dx.doi.org/10.1016/j.nedt.2026.107108","http://dx.doi.org/10.1016/j.nedt.2026.107108")</f>
        <v>8311</v>
      </c>
      <c r="BL371" t="s" s="0">
        <v>81</v>
      </c>
      <c r="BM371" t="s" s="0">
        <v>81</v>
      </c>
      <c r="BN371" t="s" s="0">
        <v>210</v>
      </c>
      <c r="BO371" t="s" s="0">
        <v>8312</v>
      </c>
      <c r="BP371" t="s" s="0">
        <v>8313</v>
      </c>
      <c r="BQ371" t="s" s="0">
        <v>8314</v>
      </c>
      <c r="BR371" t="s" s="0">
        <v>8315</v>
      </c>
      <c r="BS371" t="s" s="0">
        <v>8316</v>
      </c>
      <c r="BT371" t="s" s="738">
        <f>HYPERLINK("https://www.webofscience.com/wos/woscc/full-record/WOS:001741272800001","View Record in Web of Science")</f>
        <v>120</v>
      </c>
      <c r="BU371" t="s" s="0">
        <v>81</v>
      </c>
      <c r="BV371" t="s" s="0">
        <v>81</v>
      </c>
      <c r="BW371" t="s" s="0">
        <v>81</v>
      </c>
      <c r="BX371" t="s" s="0">
        <v>122</v>
      </c>
    </row>
    <row r="372">
      <c r="A372" t="s" s="0">
        <v>77</v>
      </c>
      <c r="B372" t="s" s="0">
        <v>77</v>
      </c>
      <c r="C372" t="s" s="0">
        <v>77</v>
      </c>
      <c r="D372" t="s" s="0">
        <v>77</v>
      </c>
      <c r="E372" t="s" s="0">
        <v>8317</v>
      </c>
      <c r="F372" t="s" s="0">
        <v>8318</v>
      </c>
      <c r="G372" t="s" s="0">
        <v>8319</v>
      </c>
      <c r="H372" t="s" s="0">
        <v>81</v>
      </c>
      <c r="I372" t="s" s="0">
        <v>218</v>
      </c>
      <c r="J372" t="s" s="0">
        <v>8320</v>
      </c>
      <c r="K372" t="s" s="0">
        <v>8321</v>
      </c>
      <c r="L372" t="s" s="0">
        <v>8322</v>
      </c>
      <c r="M372" t="s" s="0">
        <v>8323</v>
      </c>
      <c r="N372" t="s" s="0">
        <v>8324</v>
      </c>
      <c r="O372" t="s" s="0">
        <v>8325</v>
      </c>
      <c r="P372" t="s" s="0">
        <v>8326</v>
      </c>
      <c r="Q372" t="s" s="0">
        <v>90</v>
      </c>
      <c r="R372" t="s" s="0">
        <v>81</v>
      </c>
      <c r="S372" t="s" s="0">
        <v>81</v>
      </c>
      <c r="T372" t="s" s="0">
        <v>81</v>
      </c>
      <c r="U372" t="s" s="0">
        <v>81</v>
      </c>
      <c r="V372" t="s" s="0">
        <v>8327</v>
      </c>
      <c r="W372" t="s" s="0">
        <v>8328</v>
      </c>
      <c r="X372" t="s" s="0">
        <v>81</v>
      </c>
      <c r="Y372" t="s" s="0">
        <v>81</v>
      </c>
      <c r="Z372" t="s" s="0">
        <v>93</v>
      </c>
      <c r="AA372" t="s" s="0">
        <v>94</v>
      </c>
      <c r="AB372" t="s" s="0">
        <v>81</v>
      </c>
      <c r="AC372" t="s" s="0">
        <v>81</v>
      </c>
      <c r="AD372" t="s" s="0">
        <v>81</v>
      </c>
      <c r="AE372" t="s" s="0">
        <v>81</v>
      </c>
      <c r="AF372" t="s" s="0">
        <v>81</v>
      </c>
      <c r="AG372" t="s" s="0">
        <v>8329</v>
      </c>
      <c r="AH372" t="s" s="0">
        <v>81</v>
      </c>
      <c r="AI372" t="s" s="0">
        <v>8330</v>
      </c>
      <c r="AJ372" t="s" s="0">
        <v>81</v>
      </c>
      <c r="AK372" t="s" s="0">
        <v>81</v>
      </c>
      <c r="AL372" t="s" s="0">
        <v>637</v>
      </c>
      <c r="AM372" t="s" s="0">
        <v>77</v>
      </c>
      <c r="AN372" t="s" s="0">
        <v>77</v>
      </c>
      <c r="AO372" t="s" s="0">
        <v>77</v>
      </c>
      <c r="AP372" t="s" s="0">
        <v>77</v>
      </c>
      <c r="AQ372" t="s" s="0">
        <v>137</v>
      </c>
      <c r="AR372" t="s" s="0">
        <v>138</v>
      </c>
      <c r="AS372" t="s" s="0">
        <v>139</v>
      </c>
      <c r="AT372" t="s" s="0">
        <v>8331</v>
      </c>
      <c r="AU372" t="s" s="0">
        <v>81</v>
      </c>
      <c r="AV372" t="s" s="0">
        <v>81</v>
      </c>
      <c r="AW372" t="s" s="0">
        <v>8328</v>
      </c>
      <c r="AX372" t="s" s="0">
        <v>8332</v>
      </c>
      <c r="AY372" t="s" s="0">
        <v>3998</v>
      </c>
      <c r="AZ372" t="s" s="0">
        <v>144</v>
      </c>
      <c r="BA372" t="s" s="0">
        <v>1118</v>
      </c>
      <c r="BB372" t="s" s="0">
        <v>452</v>
      </c>
      <c r="BC372" t="s" s="0">
        <v>81</v>
      </c>
      <c r="BD372" t="s" s="0">
        <v>81</v>
      </c>
      <c r="BE372" t="s" s="0">
        <v>81</v>
      </c>
      <c r="BF372" t="s" s="0">
        <v>81</v>
      </c>
      <c r="BG372" t="s" s="0">
        <v>81</v>
      </c>
      <c r="BH372" t="s" s="0">
        <v>81</v>
      </c>
      <c r="BI372" t="s" s="0">
        <v>8333</v>
      </c>
      <c r="BJ372" t="s" s="0">
        <v>8334</v>
      </c>
      <c r="BK372" t="s" s="739">
        <f>HYPERLINK("http://dx.doi.org/10.3390/fi18060280","http://dx.doi.org/10.3390/fi18060280")</f>
        <v>8335</v>
      </c>
      <c r="BL372" t="s" s="0">
        <v>81</v>
      </c>
      <c r="BM372" t="s" s="0">
        <v>295</v>
      </c>
      <c r="BN372" t="s" s="0">
        <v>352</v>
      </c>
      <c r="BO372" t="s" s="0">
        <v>930</v>
      </c>
      <c r="BP372" t="s" s="0">
        <v>303</v>
      </c>
      <c r="BQ372" t="s" s="0">
        <v>8336</v>
      </c>
      <c r="BR372" t="s" s="0">
        <v>81</v>
      </c>
      <c r="BS372" t="s" s="0">
        <v>8337</v>
      </c>
      <c r="BT372" t="s" s="740">
        <f>HYPERLINK("https://www.webofscience.com/wos/woscc/full-record/WOS:001803444400001","View Record in Web of Science")</f>
        <v>120</v>
      </c>
      <c r="BU372" t="s" s="0">
        <v>1216</v>
      </c>
      <c r="BV372" t="s" s="0">
        <v>81</v>
      </c>
      <c r="BW372" t="s" s="0">
        <v>81</v>
      </c>
      <c r="BX372" t="s" s="0">
        <v>122</v>
      </c>
    </row>
    <row r="373">
      <c r="A373" t="s" s="0">
        <v>77</v>
      </c>
      <c r="B373" t="s" s="0">
        <v>77</v>
      </c>
      <c r="C373" t="s" s="0">
        <v>77</v>
      </c>
      <c r="D373" t="s" s="0">
        <v>77</v>
      </c>
      <c r="E373" t="s" s="0">
        <v>8338</v>
      </c>
      <c r="F373" t="s" s="0">
        <v>8339</v>
      </c>
      <c r="G373" t="s" s="0">
        <v>8340</v>
      </c>
      <c r="H373" t="s" s="0">
        <v>81</v>
      </c>
      <c r="I373" t="s" s="0">
        <v>568</v>
      </c>
      <c r="J373" t="s" s="0">
        <v>8341</v>
      </c>
      <c r="K373" t="s" s="0">
        <v>8342</v>
      </c>
      <c r="L373" t="s" s="0">
        <v>8343</v>
      </c>
      <c r="M373" t="s" s="0">
        <v>8343</v>
      </c>
      <c r="N373" t="s" s="0">
        <v>8344</v>
      </c>
      <c r="O373" t="s" s="0">
        <v>8345</v>
      </c>
      <c r="P373" t="s" s="0">
        <v>8346</v>
      </c>
      <c r="Q373" t="s" s="0">
        <v>90</v>
      </c>
      <c r="R373" t="s" s="0">
        <v>81</v>
      </c>
      <c r="S373" t="s" s="0">
        <v>81</v>
      </c>
      <c r="T373" t="s" s="0">
        <v>81</v>
      </c>
      <c r="U373" t="s" s="0">
        <v>81</v>
      </c>
      <c r="V373" t="s" s="0">
        <v>8347</v>
      </c>
      <c r="W373" t="s" s="0">
        <v>8348</v>
      </c>
      <c r="X373" t="s" s="0">
        <v>81</v>
      </c>
      <c r="Y373" t="s" s="0">
        <v>81</v>
      </c>
      <c r="Z373" t="s" s="0">
        <v>93</v>
      </c>
      <c r="AA373" t="s" s="0">
        <v>94</v>
      </c>
      <c r="AB373" t="s" s="0">
        <v>81</v>
      </c>
      <c r="AC373" t="s" s="0">
        <v>81</v>
      </c>
      <c r="AD373" t="s" s="0">
        <v>81</v>
      </c>
      <c r="AE373" t="s" s="0">
        <v>81</v>
      </c>
      <c r="AF373" t="s" s="0">
        <v>81</v>
      </c>
      <c r="AG373" t="s" s="0">
        <v>8349</v>
      </c>
      <c r="AH373" t="s" s="0">
        <v>81</v>
      </c>
      <c r="AI373" t="s" s="0">
        <v>81</v>
      </c>
      <c r="AJ373" t="s" s="0">
        <v>81</v>
      </c>
      <c r="AK373" t="s" s="0">
        <v>81</v>
      </c>
      <c r="AL373" t="s" s="0">
        <v>944</v>
      </c>
      <c r="AM373" t="s" s="0">
        <v>77</v>
      </c>
      <c r="AN373" t="s" s="0">
        <v>77</v>
      </c>
      <c r="AO373" t="s" s="0">
        <v>77</v>
      </c>
      <c r="AP373" t="s" s="0">
        <v>77</v>
      </c>
      <c r="AQ373" t="s" s="0">
        <v>439</v>
      </c>
      <c r="AR373" t="s" s="0">
        <v>201</v>
      </c>
      <c r="AS373" t="s" s="0">
        <v>440</v>
      </c>
      <c r="AT373" t="s" s="0">
        <v>8350</v>
      </c>
      <c r="AU373" t="s" s="0">
        <v>81</v>
      </c>
      <c r="AV373" t="s" s="0">
        <v>81</v>
      </c>
      <c r="AW373" t="s" s="0">
        <v>8351</v>
      </c>
      <c r="AX373" t="s" s="0">
        <v>8352</v>
      </c>
      <c r="AY373" t="s" s="0">
        <v>8353</v>
      </c>
      <c r="AZ373" t="s" s="0">
        <v>144</v>
      </c>
      <c r="BA373" t="s" s="0">
        <v>111</v>
      </c>
      <c r="BB373" t="s" s="0">
        <v>169</v>
      </c>
      <c r="BC373" t="s" s="0">
        <v>81</v>
      </c>
      <c r="BD373" t="s" s="0">
        <v>81</v>
      </c>
      <c r="BE373" t="s" s="0">
        <v>81</v>
      </c>
      <c r="BF373" t="s" s="0">
        <v>81</v>
      </c>
      <c r="BG373" t="s" s="0">
        <v>81</v>
      </c>
      <c r="BH373" t="s" s="0">
        <v>81</v>
      </c>
      <c r="BI373" t="s" s="0">
        <v>2954</v>
      </c>
      <c r="BJ373" t="s" s="0">
        <v>8354</v>
      </c>
      <c r="BK373" t="s" s="741">
        <f>HYPERLINK("http://dx.doi.org/10.1186/s12910-026-01513-4","http://dx.doi.org/10.1186/s12910-026-01513-4")</f>
        <v>8355</v>
      </c>
      <c r="BL373" t="s" s="0">
        <v>81</v>
      </c>
      <c r="BM373" t="s" s="0">
        <v>81</v>
      </c>
      <c r="BN373" t="s" s="0">
        <v>946</v>
      </c>
      <c r="BO373" t="s" s="0">
        <v>8356</v>
      </c>
      <c r="BP373" t="s" s="0">
        <v>8357</v>
      </c>
      <c r="BQ373" t="s" s="0">
        <v>8358</v>
      </c>
      <c r="BR373" t="s" s="0">
        <v>8359</v>
      </c>
      <c r="BS373" t="s" s="0">
        <v>8360</v>
      </c>
      <c r="BT373" t="s" s="742">
        <f>HYPERLINK("https://www.webofscience.com/wos/woscc/full-record/WOS:001845414600002","View Record in Web of Science")</f>
        <v>120</v>
      </c>
      <c r="BU373" t="s" s="0">
        <v>121</v>
      </c>
      <c r="BV373" t="s" s="0">
        <v>81</v>
      </c>
      <c r="BW373" t="s" s="0">
        <v>81</v>
      </c>
      <c r="BX373" t="s" s="0">
        <v>122</v>
      </c>
    </row>
    <row r="374">
      <c r="A374" t="s" s="0">
        <v>169</v>
      </c>
      <c r="B374" t="s" s="0">
        <v>77</v>
      </c>
      <c r="C374" t="s" s="0">
        <v>169</v>
      </c>
      <c r="D374" t="s" s="0">
        <v>77</v>
      </c>
      <c r="E374" t="s" s="0">
        <v>8361</v>
      </c>
      <c r="F374" t="s" s="0">
        <v>8362</v>
      </c>
      <c r="G374" t="s" s="0">
        <v>8363</v>
      </c>
      <c r="H374" t="s" s="0">
        <v>81</v>
      </c>
      <c r="I374" t="s" s="0">
        <v>82</v>
      </c>
      <c r="J374" t="s" s="0">
        <v>8364</v>
      </c>
      <c r="K374" t="s" s="0">
        <v>8365</v>
      </c>
      <c r="L374" t="s" s="0">
        <v>8366</v>
      </c>
      <c r="M374" t="s" s="0">
        <v>8366</v>
      </c>
      <c r="N374" t="s" s="0">
        <v>8367</v>
      </c>
      <c r="O374" t="s" s="0">
        <v>8368</v>
      </c>
      <c r="P374" t="s" s="0">
        <v>8369</v>
      </c>
      <c r="Q374" t="s" s="0">
        <v>90</v>
      </c>
      <c r="R374" t="s" s="0">
        <v>81</v>
      </c>
      <c r="S374" t="s" s="0">
        <v>81</v>
      </c>
      <c r="T374" t="s" s="0">
        <v>81</v>
      </c>
      <c r="U374" t="s" s="0">
        <v>81</v>
      </c>
      <c r="V374" t="s" s="0">
        <v>8370</v>
      </c>
      <c r="W374" t="s" s="0">
        <v>8371</v>
      </c>
      <c r="X374" t="s" s="0">
        <v>81</v>
      </c>
      <c r="Y374" t="s" s="0">
        <v>81</v>
      </c>
      <c r="Z374" t="s" s="0">
        <v>93</v>
      </c>
      <c r="AA374" t="s" s="0">
        <v>94</v>
      </c>
      <c r="AB374" t="s" s="0">
        <v>81</v>
      </c>
      <c r="AC374" t="s" s="0">
        <v>81</v>
      </c>
      <c r="AD374" t="s" s="0">
        <v>81</v>
      </c>
      <c r="AE374" t="s" s="0">
        <v>81</v>
      </c>
      <c r="AF374" t="s" s="0">
        <v>81</v>
      </c>
      <c r="AG374" t="s" s="0">
        <v>8372</v>
      </c>
      <c r="AH374" t="s" s="0">
        <v>8373</v>
      </c>
      <c r="AI374" t="s" s="0">
        <v>8374</v>
      </c>
      <c r="AJ374" t="s" s="0">
        <v>8375</v>
      </c>
      <c r="AK374" t="s" s="0">
        <v>81</v>
      </c>
      <c r="AL374" t="s" s="0">
        <v>261</v>
      </c>
      <c r="AM374" t="s" s="0">
        <v>386</v>
      </c>
      <c r="AN374" t="s" s="0">
        <v>210</v>
      </c>
      <c r="AO374" t="s" s="0">
        <v>100</v>
      </c>
      <c r="AP374" t="s" s="0">
        <v>145</v>
      </c>
      <c r="AQ374" t="s" s="0">
        <v>712</v>
      </c>
      <c r="AR374" t="s" s="0">
        <v>500</v>
      </c>
      <c r="AS374" t="s" s="0">
        <v>713</v>
      </c>
      <c r="AT374" t="s" s="0">
        <v>8376</v>
      </c>
      <c r="AU374" t="s" s="0">
        <v>8377</v>
      </c>
      <c r="AV374" t="s" s="0">
        <v>81</v>
      </c>
      <c r="AW374" t="s" s="0">
        <v>8378</v>
      </c>
      <c r="AX374" t="s" s="0">
        <v>8379</v>
      </c>
      <c r="AY374" t="s" s="0">
        <v>1524</v>
      </c>
      <c r="AZ374" t="s" s="0">
        <v>110</v>
      </c>
      <c r="BA374" t="s" s="0">
        <v>393</v>
      </c>
      <c r="BB374" t="s" s="0">
        <v>210</v>
      </c>
      <c r="BC374" t="s" s="0">
        <v>81</v>
      </c>
      <c r="BD374" t="s" s="0">
        <v>81</v>
      </c>
      <c r="BE374" t="s" s="0">
        <v>81</v>
      </c>
      <c r="BF374" t="s" s="0">
        <v>81</v>
      </c>
      <c r="BG374" t="s" s="0">
        <v>8380</v>
      </c>
      <c r="BH374" t="s" s="0">
        <v>8381</v>
      </c>
      <c r="BI374" t="s" s="0">
        <v>81</v>
      </c>
      <c r="BJ374" t="s" s="0">
        <v>8382</v>
      </c>
      <c r="BK374" t="s" s="743">
        <f>HYPERLINK("http://dx.doi.org/10.1016/j.spinee.2025.02.010","http://dx.doi.org/10.1016/j.spinee.2025.02.010")</f>
        <v>8383</v>
      </c>
      <c r="BL374" t="s" s="0">
        <v>81</v>
      </c>
      <c r="BM374" t="s" s="0">
        <v>1056</v>
      </c>
      <c r="BN374" t="s" s="0">
        <v>328</v>
      </c>
      <c r="BO374" t="s" s="0">
        <v>4884</v>
      </c>
      <c r="BP374" t="s" s="0">
        <v>4885</v>
      </c>
      <c r="BQ374" t="s" s="0">
        <v>8384</v>
      </c>
      <c r="BR374" t="s" s="0">
        <v>8385</v>
      </c>
      <c r="BS374" t="s" s="0">
        <v>8386</v>
      </c>
      <c r="BT374" t="s" s="744">
        <f>HYPERLINK("https://www.webofscience.com/wos/woscc/full-record/WOS:001533476100006","View Record in Web of Science")</f>
        <v>120</v>
      </c>
      <c r="BU374" t="s" s="0">
        <v>81</v>
      </c>
      <c r="BV374" t="s" s="0">
        <v>81</v>
      </c>
      <c r="BW374" t="s" s="0">
        <v>81</v>
      </c>
      <c r="BX374" t="s" s="0">
        <v>122</v>
      </c>
    </row>
    <row r="375">
      <c r="A375" t="s" s="0">
        <v>77</v>
      </c>
      <c r="B375" t="s" s="0">
        <v>77</v>
      </c>
      <c r="C375" t="s" s="0">
        <v>554</v>
      </c>
      <c r="D375" t="s" s="0">
        <v>77</v>
      </c>
      <c r="E375" t="s" s="0">
        <v>8387</v>
      </c>
      <c r="F375" t="s" s="0">
        <v>8388</v>
      </c>
      <c r="G375" t="s" s="0">
        <v>8389</v>
      </c>
      <c r="H375" t="s" s="0">
        <v>81</v>
      </c>
      <c r="I375" t="s" s="0">
        <v>218</v>
      </c>
      <c r="J375" t="s" s="0">
        <v>8390</v>
      </c>
      <c r="K375" t="s" s="0">
        <v>8391</v>
      </c>
      <c r="L375" t="s" s="0">
        <v>8392</v>
      </c>
      <c r="M375" t="s" s="0">
        <v>8392</v>
      </c>
      <c r="N375" t="s" s="0">
        <v>8393</v>
      </c>
      <c r="O375" t="s" s="0">
        <v>8394</v>
      </c>
      <c r="P375" t="s" s="0">
        <v>8395</v>
      </c>
      <c r="Q375" t="s" s="0">
        <v>90</v>
      </c>
      <c r="R375" t="s" s="0">
        <v>81</v>
      </c>
      <c r="S375" t="s" s="0">
        <v>81</v>
      </c>
      <c r="T375" t="s" s="0">
        <v>81</v>
      </c>
      <c r="U375" t="s" s="0">
        <v>81</v>
      </c>
      <c r="V375" t="s" s="0">
        <v>8396</v>
      </c>
      <c r="W375" t="s" s="0">
        <v>1818</v>
      </c>
      <c r="X375" t="s" s="0">
        <v>81</v>
      </c>
      <c r="Y375" t="s" s="0">
        <v>81</v>
      </c>
      <c r="Z375" t="s" s="0">
        <v>93</v>
      </c>
      <c r="AA375" t="s" s="0">
        <v>94</v>
      </c>
      <c r="AB375" t="s" s="0">
        <v>81</v>
      </c>
      <c r="AC375" t="s" s="0">
        <v>81</v>
      </c>
      <c r="AD375" t="s" s="0">
        <v>81</v>
      </c>
      <c r="AE375" t="s" s="0">
        <v>81</v>
      </c>
      <c r="AF375" t="s" s="0">
        <v>81</v>
      </c>
      <c r="AG375" t="s" s="0">
        <v>81</v>
      </c>
      <c r="AH375" t="s" s="0">
        <v>81</v>
      </c>
      <c r="AI375" t="s" s="0">
        <v>8397</v>
      </c>
      <c r="AJ375" t="s" s="0">
        <v>8398</v>
      </c>
      <c r="AK375" t="s" s="0">
        <v>81</v>
      </c>
      <c r="AL375" t="s" s="0">
        <v>168</v>
      </c>
      <c r="AM375" t="s" s="0">
        <v>452</v>
      </c>
      <c r="AN375" t="s" s="0">
        <v>452</v>
      </c>
      <c r="AO375" t="s" s="0">
        <v>554</v>
      </c>
      <c r="AP375" t="s" s="0">
        <v>320</v>
      </c>
      <c r="AQ375" t="s" s="0">
        <v>1178</v>
      </c>
      <c r="AR375" t="s" s="0">
        <v>1179</v>
      </c>
      <c r="AS375" t="s" s="0">
        <v>1180</v>
      </c>
      <c r="AT375" t="s" s="0">
        <v>1820</v>
      </c>
      <c r="AU375" t="s" s="0">
        <v>81</v>
      </c>
      <c r="AV375" t="s" s="0">
        <v>81</v>
      </c>
      <c r="AW375" t="s" s="0">
        <v>1821</v>
      </c>
      <c r="AX375" t="s" s="0">
        <v>1822</v>
      </c>
      <c r="AY375" t="s" s="0">
        <v>1117</v>
      </c>
      <c r="AZ375" t="s" s="0">
        <v>592</v>
      </c>
      <c r="BA375" t="s" s="0">
        <v>210</v>
      </c>
      <c r="BB375" t="s" s="0">
        <v>81</v>
      </c>
      <c r="BC375" t="s" s="0">
        <v>81</v>
      </c>
      <c r="BD375" t="s" s="0">
        <v>81</v>
      </c>
      <c r="BE375" t="s" s="0">
        <v>81</v>
      </c>
      <c r="BF375" t="s" s="0">
        <v>81</v>
      </c>
      <c r="BG375" t="s" s="0">
        <v>81</v>
      </c>
      <c r="BH375" t="s" s="0">
        <v>81</v>
      </c>
      <c r="BI375" t="s" s="0">
        <v>8399</v>
      </c>
      <c r="BJ375" t="s" s="0">
        <v>8400</v>
      </c>
      <c r="BK375" t="s" s="745">
        <f>HYPERLINK("http://dx.doi.org/10.1200/CCI.24.00123","http://dx.doi.org/10.1200/CCI.24.00123")</f>
        <v>8401</v>
      </c>
      <c r="BL375" t="s" s="0">
        <v>81</v>
      </c>
      <c r="BM375" t="s" s="0">
        <v>81</v>
      </c>
      <c r="BN375" t="s" s="0">
        <v>328</v>
      </c>
      <c r="BO375" t="s" s="0">
        <v>1433</v>
      </c>
      <c r="BP375" t="s" s="0">
        <v>1433</v>
      </c>
      <c r="BQ375" t="s" s="0">
        <v>8402</v>
      </c>
      <c r="BR375" t="s" s="0">
        <v>8403</v>
      </c>
      <c r="BS375" t="s" s="0">
        <v>8404</v>
      </c>
      <c r="BT375" t="s" s="746">
        <f>HYPERLINK("https://www.webofscience.com/wos/woscc/full-record/WOS:001380126700001","View Record in Web of Science")</f>
        <v>120</v>
      </c>
      <c r="BU375" t="s" s="0">
        <v>186</v>
      </c>
      <c r="BV375" t="s" s="0">
        <v>81</v>
      </c>
      <c r="BW375" t="s" s="0">
        <v>81</v>
      </c>
      <c r="BX375" t="s" s="0">
        <v>122</v>
      </c>
    </row>
    <row r="376">
      <c r="A376" t="s" s="0">
        <v>77</v>
      </c>
      <c r="B376" t="s" s="0">
        <v>77</v>
      </c>
      <c r="C376" t="s" s="0">
        <v>77</v>
      </c>
      <c r="D376" t="s" s="0">
        <v>77</v>
      </c>
      <c r="E376" t="s" s="0">
        <v>8405</v>
      </c>
      <c r="F376" t="s" s="0">
        <v>8406</v>
      </c>
      <c r="G376" t="s" s="0">
        <v>8407</v>
      </c>
      <c r="H376" t="s" s="0">
        <v>81</v>
      </c>
      <c r="I376" t="s" s="0">
        <v>218</v>
      </c>
      <c r="J376" t="s" s="0">
        <v>8408</v>
      </c>
      <c r="K376" t="s" s="0">
        <v>8409</v>
      </c>
      <c r="L376" t="s" s="0">
        <v>81</v>
      </c>
      <c r="M376" t="s" s="0">
        <v>81</v>
      </c>
      <c r="N376" t="s" s="0">
        <v>81</v>
      </c>
      <c r="O376" t="s" s="0">
        <v>8410</v>
      </c>
      <c r="P376" t="s" s="0">
        <v>6657</v>
      </c>
      <c r="Q376" t="s" s="0">
        <v>90</v>
      </c>
      <c r="R376" t="s" s="0">
        <v>81</v>
      </c>
      <c r="S376" t="s" s="0">
        <v>81</v>
      </c>
      <c r="T376" t="s" s="0">
        <v>81</v>
      </c>
      <c r="U376" t="s" s="0">
        <v>81</v>
      </c>
      <c r="V376" t="s" s="0">
        <v>8411</v>
      </c>
      <c r="W376" t="s" s="0">
        <v>1020</v>
      </c>
      <c r="X376" t="s" s="0">
        <v>81</v>
      </c>
      <c r="Y376" t="s" s="0">
        <v>81</v>
      </c>
      <c r="Z376" t="s" s="0">
        <v>93</v>
      </c>
      <c r="AA376" t="s" s="0">
        <v>94</v>
      </c>
      <c r="AB376" t="s" s="0">
        <v>81</v>
      </c>
      <c r="AC376" t="s" s="0">
        <v>81</v>
      </c>
      <c r="AD376" t="s" s="0">
        <v>81</v>
      </c>
      <c r="AE376" t="s" s="0">
        <v>81</v>
      </c>
      <c r="AF376" t="s" s="0">
        <v>81</v>
      </c>
      <c r="AG376" t="s" s="0">
        <v>8412</v>
      </c>
      <c r="AH376" t="s" s="0">
        <v>8413</v>
      </c>
      <c r="AI376" t="s" s="0">
        <v>81</v>
      </c>
      <c r="AJ376" t="s" s="0">
        <v>81</v>
      </c>
      <c r="AK376" t="s" s="0">
        <v>81</v>
      </c>
      <c r="AL376" t="s" s="0">
        <v>168</v>
      </c>
      <c r="AM376" t="s" s="0">
        <v>169</v>
      </c>
      <c r="AN376" t="s" s="0">
        <v>169</v>
      </c>
      <c r="AO376" t="s" s="0">
        <v>77</v>
      </c>
      <c r="AP376" t="s" s="0">
        <v>77</v>
      </c>
      <c r="AQ376" t="s" s="0">
        <v>353</v>
      </c>
      <c r="AR376" t="s" s="0">
        <v>354</v>
      </c>
      <c r="AS376" t="s" s="0">
        <v>355</v>
      </c>
      <c r="AT376" t="s" s="0">
        <v>81</v>
      </c>
      <c r="AU376" t="s" s="0">
        <v>1025</v>
      </c>
      <c r="AV376" t="s" s="0">
        <v>81</v>
      </c>
      <c r="AW376" t="s" s="0">
        <v>1026</v>
      </c>
      <c r="AX376" t="s" s="0">
        <v>1027</v>
      </c>
      <c r="AY376" t="s" s="0">
        <v>7554</v>
      </c>
      <c r="AZ376" t="s" s="0">
        <v>144</v>
      </c>
      <c r="BA376" t="s" s="0">
        <v>210</v>
      </c>
      <c r="BB376" t="s" s="0">
        <v>81</v>
      </c>
      <c r="BC376" t="s" s="0">
        <v>81</v>
      </c>
      <c r="BD376" t="s" s="0">
        <v>81</v>
      </c>
      <c r="BE376" t="s" s="0">
        <v>81</v>
      </c>
      <c r="BF376" t="s" s="0">
        <v>81</v>
      </c>
      <c r="BG376" t="s" s="0">
        <v>81</v>
      </c>
      <c r="BH376" t="s" s="0">
        <v>81</v>
      </c>
      <c r="BI376" t="s" s="0">
        <v>8414</v>
      </c>
      <c r="BJ376" t="s" s="0">
        <v>8415</v>
      </c>
      <c r="BK376" t="s" s="747">
        <f>HYPERLINK("http://dx.doi.org/10.3389/fdgth.2026.1849190","http://dx.doi.org/10.3389/fdgth.2026.1849190")</f>
        <v>8416</v>
      </c>
      <c r="BL376" t="s" s="0">
        <v>81</v>
      </c>
      <c r="BM376" t="s" s="0">
        <v>532</v>
      </c>
      <c r="BN376" t="s" s="0">
        <v>509</v>
      </c>
      <c r="BO376" t="s" s="0">
        <v>116</v>
      </c>
      <c r="BP376" t="s" s="0">
        <v>116</v>
      </c>
      <c r="BQ376" t="s" s="0">
        <v>8417</v>
      </c>
      <c r="BR376" t="s" s="0">
        <v>8418</v>
      </c>
      <c r="BS376" t="s" s="0">
        <v>8419</v>
      </c>
      <c r="BT376" t="s" s="748">
        <f>HYPERLINK("https://www.webofscience.com/wos/woscc/full-record/WOS:001818978700001","View Record in Web of Science")</f>
        <v>120</v>
      </c>
      <c r="BU376" t="s" s="0">
        <v>121</v>
      </c>
      <c r="BV376" t="s" s="0">
        <v>81</v>
      </c>
      <c r="BW376" t="s" s="0">
        <v>81</v>
      </c>
      <c r="BX376" t="s" s="0">
        <v>122</v>
      </c>
    </row>
    <row r="377">
      <c r="A377" t="s" s="0">
        <v>77</v>
      </c>
      <c r="B377" t="s" s="0">
        <v>77</v>
      </c>
      <c r="C377" t="s" s="0">
        <v>77</v>
      </c>
      <c r="D377" t="s" s="0">
        <v>77</v>
      </c>
      <c r="E377" t="s" s="0">
        <v>8420</v>
      </c>
      <c r="F377" t="s" s="0">
        <v>8421</v>
      </c>
      <c r="G377" t="s" s="0">
        <v>8422</v>
      </c>
      <c r="H377" t="s" s="0">
        <v>81</v>
      </c>
      <c r="I377" t="s" s="0">
        <v>82</v>
      </c>
      <c r="J377" t="s" s="0">
        <v>8423</v>
      </c>
      <c r="K377" t="s" s="0">
        <v>8424</v>
      </c>
      <c r="L377" t="s" s="0">
        <v>8425</v>
      </c>
      <c r="M377" t="s" s="0">
        <v>8426</v>
      </c>
      <c r="N377" t="s" s="0">
        <v>8427</v>
      </c>
      <c r="O377" t="s" s="0">
        <v>8428</v>
      </c>
      <c r="P377" t="s" s="0">
        <v>8429</v>
      </c>
      <c r="Q377" t="s" s="0">
        <v>90</v>
      </c>
      <c r="R377" t="s" s="0">
        <v>81</v>
      </c>
      <c r="S377" t="s" s="0">
        <v>81</v>
      </c>
      <c r="T377" t="s" s="0">
        <v>81</v>
      </c>
      <c r="U377" t="s" s="0">
        <v>81</v>
      </c>
      <c r="V377" t="s" s="0">
        <v>8430</v>
      </c>
      <c r="W377" t="s" s="0">
        <v>380</v>
      </c>
      <c r="X377" t="s" s="0">
        <v>81</v>
      </c>
      <c r="Y377" t="s" s="0">
        <v>81</v>
      </c>
      <c r="Z377" t="s" s="0">
        <v>93</v>
      </c>
      <c r="AA377" t="s" s="0">
        <v>94</v>
      </c>
      <c r="AB377" t="s" s="0">
        <v>81</v>
      </c>
      <c r="AC377" t="s" s="0">
        <v>81</v>
      </c>
      <c r="AD377" t="s" s="0">
        <v>81</v>
      </c>
      <c r="AE377" t="s" s="0">
        <v>81</v>
      </c>
      <c r="AF377" t="s" s="0">
        <v>81</v>
      </c>
      <c r="AG377" t="s" s="0">
        <v>8431</v>
      </c>
      <c r="AH377" t="s" s="0">
        <v>81</v>
      </c>
      <c r="AI377" t="s" s="0">
        <v>8432</v>
      </c>
      <c r="AJ377" t="s" s="0">
        <v>81</v>
      </c>
      <c r="AK377" t="s" s="0">
        <v>81</v>
      </c>
      <c r="AL377" t="s" s="0">
        <v>115</v>
      </c>
      <c r="AM377" t="s" s="0">
        <v>554</v>
      </c>
      <c r="AN377" t="s" s="0">
        <v>554</v>
      </c>
      <c r="AO377" t="s" s="0">
        <v>77</v>
      </c>
      <c r="AP377" t="s" s="0">
        <v>77</v>
      </c>
      <c r="AQ377" t="s" s="0">
        <v>103</v>
      </c>
      <c r="AR377" t="s" s="0">
        <v>104</v>
      </c>
      <c r="AS377" t="s" s="0">
        <v>105</v>
      </c>
      <c r="AT377" t="s" s="0">
        <v>81</v>
      </c>
      <c r="AU377" t="s" s="0">
        <v>387</v>
      </c>
      <c r="AV377" t="s" s="0">
        <v>81</v>
      </c>
      <c r="AW377" t="s" s="0">
        <v>388</v>
      </c>
      <c r="AX377" t="s" s="0">
        <v>389</v>
      </c>
      <c r="AY377" t="s" s="0">
        <v>144</v>
      </c>
      <c r="AZ377" t="s" s="0">
        <v>144</v>
      </c>
      <c r="BA377" t="s" s="0">
        <v>509</v>
      </c>
      <c r="BB377" t="s" s="0">
        <v>81</v>
      </c>
      <c r="BC377" t="s" s="0">
        <v>81</v>
      </c>
      <c r="BD377" t="s" s="0">
        <v>81</v>
      </c>
      <c r="BE377" t="s" s="0">
        <v>81</v>
      </c>
      <c r="BF377" t="s" s="0">
        <v>81</v>
      </c>
      <c r="BG377" t="s" s="0">
        <v>81</v>
      </c>
      <c r="BH377" t="s" s="0">
        <v>81</v>
      </c>
      <c r="BI377" t="s" s="0">
        <v>8433</v>
      </c>
      <c r="BJ377" t="s" s="0">
        <v>8434</v>
      </c>
      <c r="BK377" t="s" s="749">
        <f>HYPERLINK("http://dx.doi.org/10.2196/86474","http://dx.doi.org/10.2196/86474")</f>
        <v>8435</v>
      </c>
      <c r="BL377" t="s" s="0">
        <v>81</v>
      </c>
      <c r="BM377" t="s" s="0">
        <v>81</v>
      </c>
      <c r="BN377" t="s" s="0">
        <v>210</v>
      </c>
      <c r="BO377" t="s" s="0">
        <v>244</v>
      </c>
      <c r="BP377" t="s" s="0">
        <v>244</v>
      </c>
      <c r="BQ377" t="s" s="0">
        <v>8436</v>
      </c>
      <c r="BR377" t="s" s="0">
        <v>8437</v>
      </c>
      <c r="BS377" t="s" s="0">
        <v>8438</v>
      </c>
      <c r="BT377" t="s" s="750">
        <f>HYPERLINK("https://www.webofscience.com/wos/woscc/full-record/WOS:001747369400001","View Record in Web of Science")</f>
        <v>120</v>
      </c>
      <c r="BU377" t="s" s="0">
        <v>121</v>
      </c>
      <c r="BV377" t="s" s="0">
        <v>81</v>
      </c>
      <c r="BW377" t="s" s="0">
        <v>81</v>
      </c>
      <c r="BX377" t="s" s="0">
        <v>122</v>
      </c>
    </row>
    <row r="378">
      <c r="A378" t="s" s="0">
        <v>77</v>
      </c>
      <c r="B378" t="s" s="0">
        <v>77</v>
      </c>
      <c r="C378" t="s" s="0">
        <v>77</v>
      </c>
      <c r="D378" t="s" s="0">
        <v>77</v>
      </c>
      <c r="E378" t="s" s="0">
        <v>8439</v>
      </c>
      <c r="F378" t="s" s="0">
        <v>8440</v>
      </c>
      <c r="G378" t="s" s="0">
        <v>8441</v>
      </c>
      <c r="H378" t="s" s="0">
        <v>81</v>
      </c>
      <c r="I378" t="s" s="0">
        <v>82</v>
      </c>
      <c r="J378" t="s" s="0">
        <v>8442</v>
      </c>
      <c r="K378" t="s" s="0">
        <v>8443</v>
      </c>
      <c r="L378" t="s" s="0">
        <v>81</v>
      </c>
      <c r="M378" t="s" s="0">
        <v>81</v>
      </c>
      <c r="N378" t="s" s="0">
        <v>81</v>
      </c>
      <c r="O378" t="s" s="0">
        <v>8444</v>
      </c>
      <c r="P378" t="s" s="0">
        <v>8445</v>
      </c>
      <c r="Q378" t="s" s="0">
        <v>90</v>
      </c>
      <c r="R378" t="s" s="0">
        <v>81</v>
      </c>
      <c r="S378" t="s" s="0">
        <v>81</v>
      </c>
      <c r="T378" t="s" s="0">
        <v>81</v>
      </c>
      <c r="U378" t="s" s="0">
        <v>81</v>
      </c>
      <c r="V378" t="s" s="0">
        <v>8446</v>
      </c>
      <c r="W378" t="s" s="0">
        <v>8447</v>
      </c>
      <c r="X378" t="s" s="0">
        <v>81</v>
      </c>
      <c r="Y378" t="s" s="0">
        <v>81</v>
      </c>
      <c r="Z378" t="s" s="0">
        <v>93</v>
      </c>
      <c r="AA378" t="s" s="0">
        <v>94</v>
      </c>
      <c r="AB378" t="s" s="0">
        <v>81</v>
      </c>
      <c r="AC378" t="s" s="0">
        <v>81</v>
      </c>
      <c r="AD378" t="s" s="0">
        <v>81</v>
      </c>
      <c r="AE378" t="s" s="0">
        <v>81</v>
      </c>
      <c r="AF378" t="s" s="0">
        <v>81</v>
      </c>
      <c r="AG378" t="s" s="0">
        <v>8448</v>
      </c>
      <c r="AH378" t="s" s="0">
        <v>8449</v>
      </c>
      <c r="AI378" t="s" s="0">
        <v>81</v>
      </c>
      <c r="AJ378" t="s" s="0">
        <v>81</v>
      </c>
      <c r="AK378" t="s" s="0">
        <v>81</v>
      </c>
      <c r="AL378" t="s" s="0">
        <v>352</v>
      </c>
      <c r="AM378" t="s" s="0">
        <v>77</v>
      </c>
      <c r="AN378" t="s" s="0">
        <v>77</v>
      </c>
      <c r="AO378" t="s" s="0">
        <v>101</v>
      </c>
      <c r="AP378" t="s" s="0">
        <v>101</v>
      </c>
      <c r="AQ378" t="s" s="0">
        <v>8450</v>
      </c>
      <c r="AR378" t="s" s="0">
        <v>7609</v>
      </c>
      <c r="AS378" t="s" s="0">
        <v>8451</v>
      </c>
      <c r="AT378" t="s" s="0">
        <v>8452</v>
      </c>
      <c r="AU378" t="s" s="0">
        <v>8453</v>
      </c>
      <c r="AV378" t="s" s="0">
        <v>81</v>
      </c>
      <c r="AW378" t="s" s="0">
        <v>8454</v>
      </c>
      <c r="AX378" t="s" s="0">
        <v>8455</v>
      </c>
      <c r="AY378" t="s" s="0">
        <v>143</v>
      </c>
      <c r="AZ378" t="s" s="0">
        <v>144</v>
      </c>
      <c r="BA378" t="s" s="0">
        <v>583</v>
      </c>
      <c r="BB378" t="s" s="0">
        <v>99</v>
      </c>
      <c r="BC378" t="s" s="0">
        <v>81</v>
      </c>
      <c r="BD378" t="s" s="0">
        <v>81</v>
      </c>
      <c r="BE378" t="s" s="0">
        <v>81</v>
      </c>
      <c r="BF378" t="s" s="0">
        <v>81</v>
      </c>
      <c r="BG378" t="s" s="0">
        <v>8456</v>
      </c>
      <c r="BH378" t="s" s="0">
        <v>8457</v>
      </c>
      <c r="BI378" t="s" s="0">
        <v>81</v>
      </c>
      <c r="BJ378" t="s" s="0">
        <v>8458</v>
      </c>
      <c r="BK378" t="s" s="751">
        <f>HYPERLINK("http://dx.doi.org/10.1007/s12282-026-01858-z","http://dx.doi.org/10.1007/s12282-026-01858-z")</f>
        <v>8459</v>
      </c>
      <c r="BL378" t="s" s="0">
        <v>81</v>
      </c>
      <c r="BM378" t="s" s="0">
        <v>295</v>
      </c>
      <c r="BN378" t="s" s="0">
        <v>360</v>
      </c>
      <c r="BO378" t="s" s="0">
        <v>8460</v>
      </c>
      <c r="BP378" t="s" s="0">
        <v>8460</v>
      </c>
      <c r="BQ378" t="s" s="0">
        <v>8461</v>
      </c>
      <c r="BR378" t="s" s="0">
        <v>8462</v>
      </c>
      <c r="BS378" t="s" s="0">
        <v>8463</v>
      </c>
      <c r="BT378" t="s" s="752">
        <f>HYPERLINK("https://www.webofscience.com/wos/woscc/full-record/WOS:001771147200001","View Record in Web of Science")</f>
        <v>120</v>
      </c>
      <c r="BU378" t="s" s="0">
        <v>81</v>
      </c>
      <c r="BV378" t="s" s="0">
        <v>81</v>
      </c>
      <c r="BW378" t="s" s="0">
        <v>81</v>
      </c>
      <c r="BX378" t="s" s="0">
        <v>122</v>
      </c>
    </row>
    <row r="379">
      <c r="A379" t="s" s="0">
        <v>77</v>
      </c>
      <c r="B379" t="s" s="0">
        <v>77</v>
      </c>
      <c r="C379" t="s" s="0">
        <v>77</v>
      </c>
      <c r="D379" t="s" s="0">
        <v>77</v>
      </c>
      <c r="E379" t="s" s="0">
        <v>8464</v>
      </c>
      <c r="F379" t="s" s="0">
        <v>8465</v>
      </c>
      <c r="G379" t="s" s="0">
        <v>8466</v>
      </c>
      <c r="H379" t="s" s="0">
        <v>81</v>
      </c>
      <c r="I379" t="s" s="0">
        <v>82</v>
      </c>
      <c r="J379" t="s" s="0">
        <v>8467</v>
      </c>
      <c r="K379" t="s" s="0">
        <v>8468</v>
      </c>
      <c r="L379" t="s" s="0">
        <v>8469</v>
      </c>
      <c r="M379" t="s" s="0">
        <v>8470</v>
      </c>
      <c r="N379" t="s" s="0">
        <v>8471</v>
      </c>
      <c r="O379" t="s" s="0">
        <v>8472</v>
      </c>
      <c r="P379" t="s" s="0">
        <v>8473</v>
      </c>
      <c r="Q379" t="s" s="0">
        <v>90</v>
      </c>
      <c r="R379" t="s" s="0">
        <v>81</v>
      </c>
      <c r="S379" t="s" s="0">
        <v>81</v>
      </c>
      <c r="T379" t="s" s="0">
        <v>81</v>
      </c>
      <c r="U379" t="s" s="0">
        <v>81</v>
      </c>
      <c r="V379" t="s" s="0">
        <v>8474</v>
      </c>
      <c r="W379" t="s" s="0">
        <v>380</v>
      </c>
      <c r="X379" t="s" s="0">
        <v>81</v>
      </c>
      <c r="Y379" t="s" s="0">
        <v>81</v>
      </c>
      <c r="Z379" t="s" s="0">
        <v>93</v>
      </c>
      <c r="AA379" t="s" s="0">
        <v>94</v>
      </c>
      <c r="AB379" t="s" s="0">
        <v>81</v>
      </c>
      <c r="AC379" t="s" s="0">
        <v>81</v>
      </c>
      <c r="AD379" t="s" s="0">
        <v>81</v>
      </c>
      <c r="AE379" t="s" s="0">
        <v>81</v>
      </c>
      <c r="AF379" t="s" s="0">
        <v>81</v>
      </c>
      <c r="AG379" t="s" s="0">
        <v>8475</v>
      </c>
      <c r="AH379" t="s" s="0">
        <v>81</v>
      </c>
      <c r="AI379" t="s" s="0">
        <v>81</v>
      </c>
      <c r="AJ379" t="s" s="0">
        <v>81</v>
      </c>
      <c r="AK379" t="s" s="0">
        <v>81</v>
      </c>
      <c r="AL379" t="s" s="0">
        <v>671</v>
      </c>
      <c r="AM379" t="s" s="0">
        <v>77</v>
      </c>
      <c r="AN379" t="s" s="0">
        <v>77</v>
      </c>
      <c r="AO379" t="s" s="0">
        <v>102</v>
      </c>
      <c r="AP379" t="s" s="0">
        <v>968</v>
      </c>
      <c r="AQ379" t="s" s="0">
        <v>103</v>
      </c>
      <c r="AR379" t="s" s="0">
        <v>104</v>
      </c>
      <c r="AS379" t="s" s="0">
        <v>105</v>
      </c>
      <c r="AT379" t="s" s="0">
        <v>81</v>
      </c>
      <c r="AU379" t="s" s="0">
        <v>387</v>
      </c>
      <c r="AV379" t="s" s="0">
        <v>81</v>
      </c>
      <c r="AW379" t="s" s="0">
        <v>388</v>
      </c>
      <c r="AX379" t="s" s="0">
        <v>389</v>
      </c>
      <c r="AY379" t="s" s="0">
        <v>592</v>
      </c>
      <c r="AZ379" t="s" s="0">
        <v>592</v>
      </c>
      <c r="BA379" t="s" s="0">
        <v>360</v>
      </c>
      <c r="BB379" t="s" s="0">
        <v>81</v>
      </c>
      <c r="BC379" t="s" s="0">
        <v>81</v>
      </c>
      <c r="BD379" t="s" s="0">
        <v>81</v>
      </c>
      <c r="BE379" t="s" s="0">
        <v>81</v>
      </c>
      <c r="BF379" t="s" s="0">
        <v>81</v>
      </c>
      <c r="BG379" t="s" s="0">
        <v>81</v>
      </c>
      <c r="BH379" t="s" s="0">
        <v>81</v>
      </c>
      <c r="BI379" t="s" s="0">
        <v>8476</v>
      </c>
      <c r="BJ379" t="s" s="0">
        <v>8477</v>
      </c>
      <c r="BK379" t="s" s="753">
        <f>HYPERLINK("http://dx.doi.org/10.2024/1/e51187","http://dx.doi.org/10.2024/1/e51187")</f>
        <v>8478</v>
      </c>
      <c r="BL379" t="s" s="0">
        <v>81</v>
      </c>
      <c r="BM379" t="s" s="0">
        <v>81</v>
      </c>
      <c r="BN379" t="s" s="0">
        <v>360</v>
      </c>
      <c r="BO379" t="s" s="0">
        <v>244</v>
      </c>
      <c r="BP379" t="s" s="0">
        <v>244</v>
      </c>
      <c r="BQ379" t="s" s="0">
        <v>8479</v>
      </c>
      <c r="BR379" t="s" s="0">
        <v>81</v>
      </c>
      <c r="BS379" t="s" s="0">
        <v>8480</v>
      </c>
      <c r="BT379" t="s" s="754">
        <f>HYPERLINK("https://www.webofscience.com/wos/woscc/full-record/WOS:001226395600002","View Record in Web of Science")</f>
        <v>120</v>
      </c>
      <c r="BU379" t="s" s="0">
        <v>81</v>
      </c>
      <c r="BV379" t="s" s="0">
        <v>81</v>
      </c>
      <c r="BW379" t="s" s="0">
        <v>81</v>
      </c>
      <c r="BX379" t="s" s="0">
        <v>122</v>
      </c>
    </row>
    <row r="380">
      <c r="A380" t="s" s="0">
        <v>77</v>
      </c>
      <c r="B380" t="s" s="0">
        <v>77</v>
      </c>
      <c r="C380" t="s" s="0">
        <v>101</v>
      </c>
      <c r="D380" t="s" s="0">
        <v>77</v>
      </c>
      <c r="E380" t="s" s="0">
        <v>8481</v>
      </c>
      <c r="F380" t="s" s="0">
        <v>8482</v>
      </c>
      <c r="G380" t="s" s="0">
        <v>8466</v>
      </c>
      <c r="H380" t="s" s="0">
        <v>81</v>
      </c>
      <c r="I380" t="s" s="0">
        <v>82</v>
      </c>
      <c r="J380" t="s" s="0">
        <v>8483</v>
      </c>
      <c r="K380" t="s" s="0">
        <v>8468</v>
      </c>
      <c r="L380" t="s" s="0">
        <v>8469</v>
      </c>
      <c r="M380" t="s" s="0">
        <v>8470</v>
      </c>
      <c r="N380" t="s" s="0">
        <v>8471</v>
      </c>
      <c r="O380" t="s" s="0">
        <v>8484</v>
      </c>
      <c r="P380" t="s" s="0">
        <v>8473</v>
      </c>
      <c r="Q380" t="s" s="0">
        <v>90</v>
      </c>
      <c r="R380" t="s" s="0">
        <v>81</v>
      </c>
      <c r="S380" t="s" s="0">
        <v>81</v>
      </c>
      <c r="T380" t="s" s="0">
        <v>81</v>
      </c>
      <c r="U380" t="s" s="0">
        <v>81</v>
      </c>
      <c r="V380" t="s" s="0">
        <v>8474</v>
      </c>
      <c r="W380" t="s" s="0">
        <v>380</v>
      </c>
      <c r="X380" t="s" s="0">
        <v>81</v>
      </c>
      <c r="Y380" t="s" s="0">
        <v>81</v>
      </c>
      <c r="Z380" t="s" s="0">
        <v>93</v>
      </c>
      <c r="AA380" t="s" s="0">
        <v>94</v>
      </c>
      <c r="AB380" t="s" s="0">
        <v>81</v>
      </c>
      <c r="AC380" t="s" s="0">
        <v>81</v>
      </c>
      <c r="AD380" t="s" s="0">
        <v>81</v>
      </c>
      <c r="AE380" t="s" s="0">
        <v>81</v>
      </c>
      <c r="AF380" t="s" s="0">
        <v>81</v>
      </c>
      <c r="AG380" t="s" s="0">
        <v>8475</v>
      </c>
      <c r="AH380" t="s" s="0">
        <v>81</v>
      </c>
      <c r="AI380" t="s" s="0">
        <v>8485</v>
      </c>
      <c r="AJ380" t="s" s="0">
        <v>8486</v>
      </c>
      <c r="AK380" t="s" s="0">
        <v>81</v>
      </c>
      <c r="AL380" t="s" s="0">
        <v>671</v>
      </c>
      <c r="AM380" t="s" s="0">
        <v>168</v>
      </c>
      <c r="AN380" t="s" s="0">
        <v>1799</v>
      </c>
      <c r="AO380" t="s" s="0">
        <v>360</v>
      </c>
      <c r="AP380" t="s" s="0">
        <v>8487</v>
      </c>
      <c r="AQ380" t="s" s="0">
        <v>103</v>
      </c>
      <c r="AR380" t="s" s="0">
        <v>104</v>
      </c>
      <c r="AS380" t="s" s="0">
        <v>105</v>
      </c>
      <c r="AT380" t="s" s="0">
        <v>81</v>
      </c>
      <c r="AU380" t="s" s="0">
        <v>387</v>
      </c>
      <c r="AV380" t="s" s="0">
        <v>81</v>
      </c>
      <c r="AW380" t="s" s="0">
        <v>388</v>
      </c>
      <c r="AX380" t="s" s="0">
        <v>389</v>
      </c>
      <c r="AY380" t="s" s="0">
        <v>592</v>
      </c>
      <c r="AZ380" t="s" s="0">
        <v>592</v>
      </c>
      <c r="BA380" t="s" s="0">
        <v>360</v>
      </c>
      <c r="BB380" t="s" s="0">
        <v>81</v>
      </c>
      <c r="BC380" t="s" s="0">
        <v>81</v>
      </c>
      <c r="BD380" t="s" s="0">
        <v>81</v>
      </c>
      <c r="BE380" t="s" s="0">
        <v>81</v>
      </c>
      <c r="BF380" t="s" s="0">
        <v>81</v>
      </c>
      <c r="BG380" t="s" s="0">
        <v>81</v>
      </c>
      <c r="BH380" t="s" s="0">
        <v>81</v>
      </c>
      <c r="BI380" t="s" s="0">
        <v>8476</v>
      </c>
      <c r="BJ380" t="s" s="0">
        <v>8488</v>
      </c>
      <c r="BK380" t="s" s="755">
        <f>HYPERLINK("http://dx.doi.org/10.2196/51187","http://dx.doi.org/10.2196/51187")</f>
        <v>8489</v>
      </c>
      <c r="BL380" t="s" s="0">
        <v>81</v>
      </c>
      <c r="BM380" t="s" s="0">
        <v>81</v>
      </c>
      <c r="BN380" t="s" s="0">
        <v>360</v>
      </c>
      <c r="BO380" t="s" s="0">
        <v>244</v>
      </c>
      <c r="BP380" t="s" s="0">
        <v>244</v>
      </c>
      <c r="BQ380" t="s" s="0">
        <v>8490</v>
      </c>
      <c r="BR380" t="s" s="0">
        <v>8491</v>
      </c>
      <c r="BS380" t="s" s="0">
        <v>8492</v>
      </c>
      <c r="BT380" t="s" s="756">
        <f>HYPERLINK("https://www.webofscience.com/wos/woscc/full-record/WOS:001233902800001","View Record in Web of Science")</f>
        <v>120</v>
      </c>
      <c r="BU380" t="s" s="0">
        <v>121</v>
      </c>
      <c r="BV380" t="s" s="0">
        <v>81</v>
      </c>
      <c r="BW380" t="s" s="0">
        <v>81</v>
      </c>
      <c r="BX380" t="s" s="0">
        <v>122</v>
      </c>
    </row>
    <row r="381">
      <c r="A381" t="s" s="0">
        <v>77</v>
      </c>
      <c r="B381" t="s" s="0">
        <v>77</v>
      </c>
      <c r="C381" t="s" s="0">
        <v>77</v>
      </c>
      <c r="D381" t="s" s="0">
        <v>77</v>
      </c>
      <c r="E381" t="s" s="0">
        <v>8493</v>
      </c>
      <c r="F381" t="s" s="0">
        <v>8494</v>
      </c>
      <c r="G381" t="s" s="0">
        <v>8495</v>
      </c>
      <c r="H381" t="s" s="0">
        <v>81</v>
      </c>
      <c r="I381" t="s" s="0">
        <v>218</v>
      </c>
      <c r="J381" t="s" s="0">
        <v>8496</v>
      </c>
      <c r="K381" t="s" s="0">
        <v>8497</v>
      </c>
      <c r="L381" t="s" s="0">
        <v>81</v>
      </c>
      <c r="M381" t="s" s="0">
        <v>81</v>
      </c>
      <c r="N381" t="s" s="0">
        <v>81</v>
      </c>
      <c r="O381" t="s" s="0">
        <v>8498</v>
      </c>
      <c r="P381" t="s" s="0">
        <v>8499</v>
      </c>
      <c r="Q381" t="s" s="0">
        <v>90</v>
      </c>
      <c r="R381" t="s" s="0">
        <v>81</v>
      </c>
      <c r="S381" t="s" s="0">
        <v>81</v>
      </c>
      <c r="T381" t="s" s="0">
        <v>81</v>
      </c>
      <c r="U381" t="s" s="0">
        <v>81</v>
      </c>
      <c r="V381" t="s" s="0">
        <v>8500</v>
      </c>
      <c r="W381" t="s" s="0">
        <v>8501</v>
      </c>
      <c r="X381" t="s" s="0">
        <v>81</v>
      </c>
      <c r="Y381" t="s" s="0">
        <v>81</v>
      </c>
      <c r="Z381" t="s" s="0">
        <v>93</v>
      </c>
      <c r="AA381" t="s" s="0">
        <v>94</v>
      </c>
      <c r="AB381" t="s" s="0">
        <v>81</v>
      </c>
      <c r="AC381" t="s" s="0">
        <v>81</v>
      </c>
      <c r="AD381" t="s" s="0">
        <v>81</v>
      </c>
      <c r="AE381" t="s" s="0">
        <v>81</v>
      </c>
      <c r="AF381" t="s" s="0">
        <v>81</v>
      </c>
      <c r="AG381" t="s" s="0">
        <v>8502</v>
      </c>
      <c r="AH381" t="s" s="0">
        <v>81</v>
      </c>
      <c r="AI381" t="s" s="0">
        <v>8503</v>
      </c>
      <c r="AJ381" t="s" s="0">
        <v>8504</v>
      </c>
      <c r="AK381" t="s" s="0">
        <v>81</v>
      </c>
      <c r="AL381" t="s" s="0">
        <v>352</v>
      </c>
      <c r="AM381" t="s" s="0">
        <v>101</v>
      </c>
      <c r="AN381" t="s" s="0">
        <v>99</v>
      </c>
      <c r="AO381" t="s" s="0">
        <v>360</v>
      </c>
      <c r="AP381" t="s" s="0">
        <v>393</v>
      </c>
      <c r="AQ381" t="s" s="0">
        <v>2412</v>
      </c>
      <c r="AR381" t="s" s="0">
        <v>2413</v>
      </c>
      <c r="AS381" t="s" s="0">
        <v>2414</v>
      </c>
      <c r="AT381" t="s" s="0">
        <v>8505</v>
      </c>
      <c r="AU381" t="s" s="0">
        <v>8506</v>
      </c>
      <c r="AV381" t="s" s="0">
        <v>81</v>
      </c>
      <c r="AW381" t="s" s="0">
        <v>8507</v>
      </c>
      <c r="AX381" t="s" s="0">
        <v>8508</v>
      </c>
      <c r="AY381" t="s" s="0">
        <v>110</v>
      </c>
      <c r="AZ381" t="s" s="0">
        <v>110</v>
      </c>
      <c r="BA381" t="s" s="0">
        <v>265</v>
      </c>
      <c r="BB381" t="s" s="0">
        <v>81</v>
      </c>
      <c r="BC381" t="s" s="0">
        <v>81</v>
      </c>
      <c r="BD381" t="s" s="0">
        <v>81</v>
      </c>
      <c r="BE381" t="s" s="0">
        <v>81</v>
      </c>
      <c r="BF381" t="s" s="0">
        <v>81</v>
      </c>
      <c r="BG381" t="s" s="0">
        <v>81</v>
      </c>
      <c r="BH381" t="s" s="0">
        <v>81</v>
      </c>
      <c r="BI381" t="s" s="0">
        <v>8509</v>
      </c>
      <c r="BJ381" t="s" s="0">
        <v>8510</v>
      </c>
      <c r="BK381" t="s" s="757">
        <f>HYPERLINK("http://dx.doi.org/10.1177/21501319251381878","http://dx.doi.org/10.1177/21501319251381878")</f>
        <v>8511</v>
      </c>
      <c r="BL381" t="s" s="0">
        <v>81</v>
      </c>
      <c r="BM381" t="s" s="0">
        <v>81</v>
      </c>
      <c r="BN381" t="s" s="0">
        <v>386</v>
      </c>
      <c r="BO381" t="s" s="0">
        <v>8512</v>
      </c>
      <c r="BP381" t="s" s="0">
        <v>150</v>
      </c>
      <c r="BQ381" t="s" s="0">
        <v>8513</v>
      </c>
      <c r="BR381" t="s" s="0">
        <v>8514</v>
      </c>
      <c r="BS381" t="s" s="0">
        <v>8515</v>
      </c>
      <c r="BT381" t="s" s="758">
        <f>HYPERLINK("https://www.webofscience.com/wos/woscc/full-record/WOS:001577829100001","View Record in Web of Science")</f>
        <v>120</v>
      </c>
      <c r="BU381" t="s" s="0">
        <v>121</v>
      </c>
      <c r="BV381" t="s" s="0">
        <v>81</v>
      </c>
      <c r="BW381" t="s" s="0">
        <v>81</v>
      </c>
      <c r="BX381" t="s" s="0">
        <v>122</v>
      </c>
    </row>
    <row r="382">
      <c r="A382" t="s" s="0">
        <v>77</v>
      </c>
      <c r="B382" t="s" s="0">
        <v>77</v>
      </c>
      <c r="C382" t="s" s="0">
        <v>77</v>
      </c>
      <c r="D382" t="s" s="0">
        <v>77</v>
      </c>
      <c r="E382" t="s" s="0">
        <v>8516</v>
      </c>
      <c r="F382" t="s" s="0">
        <v>8517</v>
      </c>
      <c r="G382" t="s" s="0">
        <v>8518</v>
      </c>
      <c r="H382" t="s" s="0">
        <v>81</v>
      </c>
      <c r="I382" t="s" s="0">
        <v>218</v>
      </c>
      <c r="J382" t="s" s="0">
        <v>8519</v>
      </c>
      <c r="K382" t="s" s="0">
        <v>81</v>
      </c>
      <c r="L382" t="s" s="0">
        <v>81</v>
      </c>
      <c r="M382" t="s" s="0">
        <v>81</v>
      </c>
      <c r="N382" t="s" s="0">
        <v>81</v>
      </c>
      <c r="O382" t="s" s="0">
        <v>8520</v>
      </c>
      <c r="P382" t="s" s="0">
        <v>81</v>
      </c>
      <c r="Q382" t="s" s="0">
        <v>90</v>
      </c>
      <c r="R382" t="s" s="0">
        <v>81</v>
      </c>
      <c r="S382" t="s" s="0">
        <v>81</v>
      </c>
      <c r="T382" t="s" s="0">
        <v>81</v>
      </c>
      <c r="U382" t="s" s="0">
        <v>81</v>
      </c>
      <c r="V382" t="s" s="0">
        <v>8521</v>
      </c>
      <c r="W382" t="s" s="0">
        <v>4420</v>
      </c>
      <c r="X382" t="s" s="0">
        <v>81</v>
      </c>
      <c r="Y382" t="s" s="0">
        <v>81</v>
      </c>
      <c r="Z382" t="s" s="0">
        <v>93</v>
      </c>
      <c r="AA382" t="s" s="0">
        <v>94</v>
      </c>
      <c r="AB382" t="s" s="0">
        <v>81</v>
      </c>
      <c r="AC382" t="s" s="0">
        <v>81</v>
      </c>
      <c r="AD382" t="s" s="0">
        <v>81</v>
      </c>
      <c r="AE382" t="s" s="0">
        <v>81</v>
      </c>
      <c r="AF382" t="s" s="0">
        <v>81</v>
      </c>
      <c r="AG382" t="s" s="0">
        <v>8522</v>
      </c>
      <c r="AH382" t="s" s="0">
        <v>8523</v>
      </c>
      <c r="AI382" t="s" s="0">
        <v>8524</v>
      </c>
      <c r="AJ382" t="s" s="0">
        <v>81</v>
      </c>
      <c r="AK382" t="s" s="0">
        <v>81</v>
      </c>
      <c r="AL382" t="s" s="0">
        <v>1580</v>
      </c>
      <c r="AM382" t="s" s="0">
        <v>77</v>
      </c>
      <c r="AN382" t="s" s="0">
        <v>77</v>
      </c>
      <c r="AO382" t="s" s="0">
        <v>169</v>
      </c>
      <c r="AP382" t="s" s="0">
        <v>169</v>
      </c>
      <c r="AQ382" t="s" s="0">
        <v>4423</v>
      </c>
      <c r="AR382" t="s" s="0">
        <v>8525</v>
      </c>
      <c r="AS382" t="s" s="0">
        <v>8526</v>
      </c>
      <c r="AT382" t="s" s="0">
        <v>4426</v>
      </c>
      <c r="AU382" t="s" s="0">
        <v>4427</v>
      </c>
      <c r="AV382" t="s" s="0">
        <v>81</v>
      </c>
      <c r="AW382" t="s" s="0">
        <v>4428</v>
      </c>
      <c r="AX382" t="s" s="0">
        <v>4429</v>
      </c>
      <c r="AY382" t="s" s="0">
        <v>144</v>
      </c>
      <c r="AZ382" t="s" s="0">
        <v>144</v>
      </c>
      <c r="BA382" t="s" s="0">
        <v>946</v>
      </c>
      <c r="BB382" t="s" s="0">
        <v>554</v>
      </c>
      <c r="BC382" t="s" s="0">
        <v>81</v>
      </c>
      <c r="BD382" t="s" s="0">
        <v>81</v>
      </c>
      <c r="BE382" t="s" s="0">
        <v>81</v>
      </c>
      <c r="BF382" t="s" s="0">
        <v>81</v>
      </c>
      <c r="BG382" t="s" s="0">
        <v>8527</v>
      </c>
      <c r="BH382" t="s" s="0">
        <v>8528</v>
      </c>
      <c r="BI382" t="s" s="0">
        <v>81</v>
      </c>
      <c r="BJ382" t="s" s="0">
        <v>81</v>
      </c>
      <c r="BK382" t="s" s="0">
        <v>81</v>
      </c>
      <c r="BL382" t="s" s="0">
        <v>81</v>
      </c>
      <c r="BM382" t="s" s="0">
        <v>81</v>
      </c>
      <c r="BN382" t="s" s="0">
        <v>509</v>
      </c>
      <c r="BO382" t="s" s="0">
        <v>4203</v>
      </c>
      <c r="BP382" t="s" s="0">
        <v>303</v>
      </c>
      <c r="BQ382" t="s" s="0">
        <v>8529</v>
      </c>
      <c r="BR382" t="s" s="0">
        <v>81</v>
      </c>
      <c r="BS382" t="s" s="0">
        <v>8530</v>
      </c>
      <c r="BT382" t="s" s="759">
        <f>HYPERLINK("https://www.webofscience.com/wos/woscc/full-record/WOS:001710512300001","View Record in Web of Science")</f>
        <v>120</v>
      </c>
      <c r="BU382" t="s" s="0">
        <v>81</v>
      </c>
      <c r="BV382" t="s" s="0">
        <v>81</v>
      </c>
      <c r="BW382" t="s" s="0">
        <v>81</v>
      </c>
      <c r="BX382" t="s" s="0">
        <v>122</v>
      </c>
    </row>
    <row r="383">
      <c r="A383" t="s" s="0">
        <v>77</v>
      </c>
      <c r="B383" t="s" s="0">
        <v>77</v>
      </c>
      <c r="C383" t="s" s="0">
        <v>77</v>
      </c>
      <c r="D383" t="s" s="0">
        <v>77</v>
      </c>
      <c r="E383" t="s" s="0">
        <v>8531</v>
      </c>
      <c r="F383" t="s" s="0">
        <v>8532</v>
      </c>
      <c r="G383" t="s" s="0">
        <v>8533</v>
      </c>
      <c r="H383" t="s" s="0">
        <v>81</v>
      </c>
      <c r="I383" t="s" s="0">
        <v>218</v>
      </c>
      <c r="J383" t="s" s="0">
        <v>8534</v>
      </c>
      <c r="K383" t="s" s="0">
        <v>8535</v>
      </c>
      <c r="L383" t="s" s="0">
        <v>8536</v>
      </c>
      <c r="M383" t="s" s="0">
        <v>8537</v>
      </c>
      <c r="N383" t="s" s="0">
        <v>8538</v>
      </c>
      <c r="O383" t="s" s="0">
        <v>8539</v>
      </c>
      <c r="P383" t="s" s="0">
        <v>8540</v>
      </c>
      <c r="Q383" t="s" s="0">
        <v>90</v>
      </c>
      <c r="R383" t="s" s="0">
        <v>81</v>
      </c>
      <c r="S383" t="s" s="0">
        <v>81</v>
      </c>
      <c r="T383" t="s" s="0">
        <v>81</v>
      </c>
      <c r="U383" t="s" s="0">
        <v>81</v>
      </c>
      <c r="V383" t="s" s="0">
        <v>8541</v>
      </c>
      <c r="W383" t="s" s="0">
        <v>8542</v>
      </c>
      <c r="X383" t="s" s="0">
        <v>81</v>
      </c>
      <c r="Y383" t="s" s="0">
        <v>81</v>
      </c>
      <c r="Z383" t="s" s="0">
        <v>93</v>
      </c>
      <c r="AA383" t="s" s="0">
        <v>94</v>
      </c>
      <c r="AB383" t="s" s="0">
        <v>81</v>
      </c>
      <c r="AC383" t="s" s="0">
        <v>81</v>
      </c>
      <c r="AD383" t="s" s="0">
        <v>81</v>
      </c>
      <c r="AE383" t="s" s="0">
        <v>81</v>
      </c>
      <c r="AF383" t="s" s="0">
        <v>81</v>
      </c>
      <c r="AG383" t="s" s="0">
        <v>8543</v>
      </c>
      <c r="AH383" t="s" s="0">
        <v>81</v>
      </c>
      <c r="AI383" t="s" s="0">
        <v>81</v>
      </c>
      <c r="AJ383" t="s" s="0">
        <v>8544</v>
      </c>
      <c r="AK383" t="s" s="0">
        <v>81</v>
      </c>
      <c r="AL383" t="s" s="0">
        <v>946</v>
      </c>
      <c r="AM383" t="s" s="0">
        <v>169</v>
      </c>
      <c r="AN383" t="s" s="0">
        <v>169</v>
      </c>
      <c r="AO383" t="s" s="0">
        <v>554</v>
      </c>
      <c r="AP383" t="s" s="0">
        <v>554</v>
      </c>
      <c r="AQ383" t="s" s="0">
        <v>1380</v>
      </c>
      <c r="AR383" t="s" s="0">
        <v>201</v>
      </c>
      <c r="AS383" t="s" s="0">
        <v>3233</v>
      </c>
      <c r="AT383" t="s" s="0">
        <v>81</v>
      </c>
      <c r="AU383" t="s" s="0">
        <v>8545</v>
      </c>
      <c r="AV383" t="s" s="0">
        <v>81</v>
      </c>
      <c r="AW383" t="s" s="0">
        <v>8546</v>
      </c>
      <c r="AX383" t="s" s="0">
        <v>8547</v>
      </c>
      <c r="AY383" t="s" s="0">
        <v>8548</v>
      </c>
      <c r="AZ383" t="s" s="0">
        <v>144</v>
      </c>
      <c r="BA383" t="s" s="0">
        <v>99</v>
      </c>
      <c r="BB383" t="s" s="0">
        <v>169</v>
      </c>
      <c r="BC383" t="s" s="0">
        <v>81</v>
      </c>
      <c r="BD383" t="s" s="0">
        <v>81</v>
      </c>
      <c r="BE383" t="s" s="0">
        <v>81</v>
      </c>
      <c r="BF383" t="s" s="0">
        <v>81</v>
      </c>
      <c r="BG383" t="s" s="0">
        <v>81</v>
      </c>
      <c r="BH383" t="s" s="0">
        <v>81</v>
      </c>
      <c r="BI383" t="s" s="0">
        <v>210</v>
      </c>
      <c r="BJ383" t="s" s="0">
        <v>8549</v>
      </c>
      <c r="BK383" t="s" s="760">
        <f>HYPERLINK("http://dx.doi.org/10.1186/s44247-025-00225-w","http://dx.doi.org/10.1186/s44247-025-00225-w")</f>
        <v>8550</v>
      </c>
      <c r="BL383" t="s" s="0">
        <v>81</v>
      </c>
      <c r="BM383" t="s" s="0">
        <v>81</v>
      </c>
      <c r="BN383" t="s" s="0">
        <v>320</v>
      </c>
      <c r="BO383" t="s" s="0">
        <v>116</v>
      </c>
      <c r="BP383" t="s" s="0">
        <v>116</v>
      </c>
      <c r="BQ383" t="s" s="0">
        <v>8551</v>
      </c>
      <c r="BR383" t="s" s="0">
        <v>8552</v>
      </c>
      <c r="BS383" t="s" s="0">
        <v>8553</v>
      </c>
      <c r="BT383" t="s" s="761">
        <f>HYPERLINK("https://www.webofscience.com/wos/woscc/full-record/WOS:001684689300001","View Record in Web of Science")</f>
        <v>120</v>
      </c>
      <c r="BU383" t="s" s="0">
        <v>121</v>
      </c>
      <c r="BV383" t="s" s="0">
        <v>81</v>
      </c>
      <c r="BW383" t="s" s="0">
        <v>81</v>
      </c>
      <c r="BX383" t="s" s="0">
        <v>122</v>
      </c>
    </row>
    <row r="384">
      <c r="A384" t="s" s="0">
        <v>77</v>
      </c>
      <c r="B384" t="s" s="0">
        <v>77</v>
      </c>
      <c r="C384" t="s" s="0">
        <v>77</v>
      </c>
      <c r="D384" t="s" s="0">
        <v>77</v>
      </c>
      <c r="E384" t="s" s="0">
        <v>8554</v>
      </c>
      <c r="F384" t="s" s="0">
        <v>8555</v>
      </c>
      <c r="G384" t="s" s="0">
        <v>8556</v>
      </c>
      <c r="H384" t="s" s="0">
        <v>81</v>
      </c>
      <c r="I384" t="s" s="0">
        <v>218</v>
      </c>
      <c r="J384" t="s" s="0">
        <v>8557</v>
      </c>
      <c r="K384" t="s" s="0">
        <v>8558</v>
      </c>
      <c r="L384" t="s" s="0">
        <v>81</v>
      </c>
      <c r="M384" t="s" s="0">
        <v>81</v>
      </c>
      <c r="N384" t="s" s="0">
        <v>81</v>
      </c>
      <c r="O384" t="s" s="0">
        <v>8559</v>
      </c>
      <c r="P384" t="s" s="0">
        <v>8560</v>
      </c>
      <c r="Q384" t="s" s="0">
        <v>90</v>
      </c>
      <c r="R384" t="s" s="0">
        <v>81</v>
      </c>
      <c r="S384" t="s" s="0">
        <v>81</v>
      </c>
      <c r="T384" t="s" s="0">
        <v>81</v>
      </c>
      <c r="U384" t="s" s="0">
        <v>81</v>
      </c>
      <c r="V384" t="s" s="0">
        <v>8561</v>
      </c>
      <c r="W384" t="s" s="0">
        <v>1818</v>
      </c>
      <c r="X384" t="s" s="0">
        <v>81</v>
      </c>
      <c r="Y384" t="s" s="0">
        <v>81</v>
      </c>
      <c r="Z384" t="s" s="0">
        <v>93</v>
      </c>
      <c r="AA384" t="s" s="0">
        <v>94</v>
      </c>
      <c r="AB384" t="s" s="0">
        <v>81</v>
      </c>
      <c r="AC384" t="s" s="0">
        <v>81</v>
      </c>
      <c r="AD384" t="s" s="0">
        <v>81</v>
      </c>
      <c r="AE384" t="s" s="0">
        <v>81</v>
      </c>
      <c r="AF384" t="s" s="0">
        <v>81</v>
      </c>
      <c r="AG384" t="s" s="0">
        <v>81</v>
      </c>
      <c r="AH384" t="s" s="0">
        <v>8562</v>
      </c>
      <c r="AI384" t="s" s="0">
        <v>8563</v>
      </c>
      <c r="AJ384" t="s" s="0">
        <v>8564</v>
      </c>
      <c r="AK384" t="s" s="0">
        <v>81</v>
      </c>
      <c r="AL384" t="s" s="0">
        <v>1799</v>
      </c>
      <c r="AM384" t="s" s="0">
        <v>99</v>
      </c>
      <c r="AN384" t="s" s="0">
        <v>99</v>
      </c>
      <c r="AO384" t="s" s="0">
        <v>77</v>
      </c>
      <c r="AP384" t="s" s="0">
        <v>169</v>
      </c>
      <c r="AQ384" t="s" s="0">
        <v>1178</v>
      </c>
      <c r="AR384" t="s" s="0">
        <v>1179</v>
      </c>
      <c r="AS384" t="s" s="0">
        <v>1180</v>
      </c>
      <c r="AT384" t="s" s="0">
        <v>1820</v>
      </c>
      <c r="AU384" t="s" s="0">
        <v>81</v>
      </c>
      <c r="AV384" t="s" s="0">
        <v>81</v>
      </c>
      <c r="AW384" t="s" s="0">
        <v>1821</v>
      </c>
      <c r="AX384" t="s" s="0">
        <v>1822</v>
      </c>
      <c r="AY384" t="s" s="0">
        <v>666</v>
      </c>
      <c r="AZ384" t="s" s="0">
        <v>110</v>
      </c>
      <c r="BA384" t="s" s="0">
        <v>328</v>
      </c>
      <c r="BB384" t="s" s="0">
        <v>81</v>
      </c>
      <c r="BC384" t="s" s="0">
        <v>81</v>
      </c>
      <c r="BD384" t="s" s="0">
        <v>81</v>
      </c>
      <c r="BE384" t="s" s="0">
        <v>81</v>
      </c>
      <c r="BF384" t="s" s="0">
        <v>81</v>
      </c>
      <c r="BG384" t="s" s="0">
        <v>81</v>
      </c>
      <c r="BH384" t="s" s="0">
        <v>81</v>
      </c>
      <c r="BI384" t="s" s="0">
        <v>8565</v>
      </c>
      <c r="BJ384" t="s" s="0">
        <v>8566</v>
      </c>
      <c r="BK384" t="s" s="762">
        <f>HYPERLINK("http://dx.doi.org/10.1200/CCI-25-00042","http://dx.doi.org/10.1200/CCI-25-00042")</f>
        <v>8567</v>
      </c>
      <c r="BL384" t="s" s="0">
        <v>81</v>
      </c>
      <c r="BM384" t="s" s="0">
        <v>81</v>
      </c>
      <c r="BN384" t="s" s="0">
        <v>102</v>
      </c>
      <c r="BO384" t="s" s="0">
        <v>1433</v>
      </c>
      <c r="BP384" t="s" s="0">
        <v>1433</v>
      </c>
      <c r="BQ384" t="s" s="0">
        <v>8568</v>
      </c>
      <c r="BR384" t="s" s="0">
        <v>8569</v>
      </c>
      <c r="BS384" t="s" s="0">
        <v>8570</v>
      </c>
      <c r="BT384" t="s" s="763">
        <f>HYPERLINK("https://www.webofscience.com/wos/woscc/full-record/WOS:001569124900001","View Record in Web of Science")</f>
        <v>120</v>
      </c>
      <c r="BU384" t="s" s="0">
        <v>81</v>
      </c>
      <c r="BV384" t="s" s="0">
        <v>81</v>
      </c>
      <c r="BW384" t="s" s="0">
        <v>81</v>
      </c>
      <c r="BX384" t="s" s="0">
        <v>122</v>
      </c>
    </row>
    <row r="385">
      <c r="A385" t="s" s="0">
        <v>77</v>
      </c>
      <c r="B385" t="s" s="0">
        <v>77</v>
      </c>
      <c r="C385" t="s" s="0">
        <v>77</v>
      </c>
      <c r="D385" t="s" s="0">
        <v>77</v>
      </c>
      <c r="E385" t="s" s="0">
        <v>8571</v>
      </c>
      <c r="F385" t="s" s="0">
        <v>8572</v>
      </c>
      <c r="G385" t="s" s="0">
        <v>8573</v>
      </c>
      <c r="H385" t="s" s="0">
        <v>81</v>
      </c>
      <c r="I385" t="s" s="0">
        <v>218</v>
      </c>
      <c r="J385" t="s" s="0">
        <v>8574</v>
      </c>
      <c r="K385" t="s" s="0">
        <v>8575</v>
      </c>
      <c r="L385" t="s" s="0">
        <v>81</v>
      </c>
      <c r="M385" t="s" s="0">
        <v>81</v>
      </c>
      <c r="N385" t="s" s="0">
        <v>81</v>
      </c>
      <c r="O385" t="s" s="0">
        <v>8576</v>
      </c>
      <c r="P385" t="s" s="0">
        <v>8577</v>
      </c>
      <c r="Q385" t="s" s="0">
        <v>90</v>
      </c>
      <c r="R385" t="s" s="0">
        <v>81</v>
      </c>
      <c r="S385" t="s" s="0">
        <v>81</v>
      </c>
      <c r="T385" t="s" s="0">
        <v>81</v>
      </c>
      <c r="U385" t="s" s="0">
        <v>81</v>
      </c>
      <c r="V385" t="s" s="0">
        <v>8578</v>
      </c>
      <c r="W385" t="s" s="0">
        <v>7606</v>
      </c>
      <c r="X385" t="s" s="0">
        <v>81</v>
      </c>
      <c r="Y385" t="s" s="0">
        <v>81</v>
      </c>
      <c r="Z385" t="s" s="0">
        <v>93</v>
      </c>
      <c r="AA385" t="s" s="0">
        <v>196</v>
      </c>
      <c r="AB385" t="s" s="0">
        <v>81</v>
      </c>
      <c r="AC385" t="s" s="0">
        <v>81</v>
      </c>
      <c r="AD385" t="s" s="0">
        <v>81</v>
      </c>
      <c r="AE385" t="s" s="0">
        <v>81</v>
      </c>
      <c r="AF385" t="s" s="0">
        <v>81</v>
      </c>
      <c r="AG385" t="s" s="0">
        <v>8579</v>
      </c>
      <c r="AH385" t="s" s="0">
        <v>81</v>
      </c>
      <c r="AI385" t="s" s="0">
        <v>81</v>
      </c>
      <c r="AJ385" t="s" s="0">
        <v>81</v>
      </c>
      <c r="AK385" t="s" s="0">
        <v>81</v>
      </c>
      <c r="AL385" t="s" s="0">
        <v>386</v>
      </c>
      <c r="AM385" t="s" s="0">
        <v>77</v>
      </c>
      <c r="AN385" t="s" s="0">
        <v>77</v>
      </c>
      <c r="AO385" t="s" s="0">
        <v>77</v>
      </c>
      <c r="AP385" t="s" s="0">
        <v>77</v>
      </c>
      <c r="AQ385" t="s" s="0">
        <v>7608</v>
      </c>
      <c r="AR385" t="s" s="0">
        <v>7609</v>
      </c>
      <c r="AS385" t="s" s="0">
        <v>7610</v>
      </c>
      <c r="AT385" t="s" s="0">
        <v>7611</v>
      </c>
      <c r="AU385" t="s" s="0">
        <v>7612</v>
      </c>
      <c r="AV385" t="s" s="0">
        <v>81</v>
      </c>
      <c r="AW385" t="s" s="0">
        <v>7613</v>
      </c>
      <c r="AX385" t="s" s="0">
        <v>7614</v>
      </c>
      <c r="AY385" t="s" s="0">
        <v>81</v>
      </c>
      <c r="AZ385" t="s" s="0">
        <v>144</v>
      </c>
      <c r="BA385" t="s" s="0">
        <v>81</v>
      </c>
      <c r="BB385" t="s" s="0">
        <v>81</v>
      </c>
      <c r="BC385" t="s" s="0">
        <v>81</v>
      </c>
      <c r="BD385" t="s" s="0">
        <v>81</v>
      </c>
      <c r="BE385" t="s" s="0">
        <v>81</v>
      </c>
      <c r="BF385" t="s" s="0">
        <v>81</v>
      </c>
      <c r="BG385" t="s" s="0">
        <v>81</v>
      </c>
      <c r="BH385" t="s" s="0">
        <v>81</v>
      </c>
      <c r="BI385" t="s" s="0">
        <v>81</v>
      </c>
      <c r="BJ385" t="s" s="0">
        <v>8580</v>
      </c>
      <c r="BK385" t="s" s="764">
        <f>HYPERLINK("http://dx.doi.org/10.31662/jmaj.2026-0174","http://dx.doi.org/10.31662/jmaj.2026-0174")</f>
        <v>8581</v>
      </c>
      <c r="BL385" t="s" s="0">
        <v>81</v>
      </c>
      <c r="BM385" t="s" s="0">
        <v>143</v>
      </c>
      <c r="BN385" t="s" s="0">
        <v>100</v>
      </c>
      <c r="BO385" t="s" s="0">
        <v>149</v>
      </c>
      <c r="BP385" t="s" s="0">
        <v>150</v>
      </c>
      <c r="BQ385" t="s" s="0">
        <v>8582</v>
      </c>
      <c r="BR385" t="s" s="0">
        <v>81</v>
      </c>
      <c r="BS385" t="s" s="0">
        <v>8583</v>
      </c>
      <c r="BT385" t="s" s="765">
        <f>HYPERLINK("https://www.webofscience.com/wos/woscc/full-record/WOS:001824454700001","View Record in Web of Science")</f>
        <v>120</v>
      </c>
      <c r="BU385" t="s" s="0">
        <v>81</v>
      </c>
      <c r="BV385" t="s" s="0">
        <v>81</v>
      </c>
      <c r="BW385" t="s" s="0">
        <v>81</v>
      </c>
      <c r="BX385" t="s" s="0">
        <v>122</v>
      </c>
    </row>
    <row r="386">
      <c r="A386" t="s" s="0">
        <v>77</v>
      </c>
      <c r="B386" t="s" s="0">
        <v>77</v>
      </c>
      <c r="C386" t="s" s="0">
        <v>77</v>
      </c>
      <c r="D386" t="s" s="0">
        <v>77</v>
      </c>
      <c r="E386" t="s" s="0">
        <v>8584</v>
      </c>
      <c r="F386" t="s" s="0">
        <v>8585</v>
      </c>
      <c r="G386" t="s" s="0">
        <v>8586</v>
      </c>
      <c r="H386" t="s" s="0">
        <v>81</v>
      </c>
      <c r="I386" t="s" s="0">
        <v>218</v>
      </c>
      <c r="J386" t="s" s="0">
        <v>8587</v>
      </c>
      <c r="K386" t="s" s="0">
        <v>8588</v>
      </c>
      <c r="L386" t="s" s="0">
        <v>8589</v>
      </c>
      <c r="M386" t="s" s="0">
        <v>8589</v>
      </c>
      <c r="N386" t="s" s="0">
        <v>8590</v>
      </c>
      <c r="O386" t="s" s="0">
        <v>8591</v>
      </c>
      <c r="P386" t="s" s="0">
        <v>2334</v>
      </c>
      <c r="Q386" t="s" s="0">
        <v>90</v>
      </c>
      <c r="R386" t="s" s="0">
        <v>81</v>
      </c>
      <c r="S386" t="s" s="0">
        <v>81</v>
      </c>
      <c r="T386" t="s" s="0">
        <v>81</v>
      </c>
      <c r="U386" t="s" s="0">
        <v>81</v>
      </c>
      <c r="V386" t="s" s="0">
        <v>8592</v>
      </c>
      <c r="W386" t="s" s="0">
        <v>2071</v>
      </c>
      <c r="X386" t="s" s="0">
        <v>81</v>
      </c>
      <c r="Y386" t="s" s="0">
        <v>81</v>
      </c>
      <c r="Z386" t="s" s="0">
        <v>93</v>
      </c>
      <c r="AA386" t="s" s="0">
        <v>94</v>
      </c>
      <c r="AB386" t="s" s="0">
        <v>81</v>
      </c>
      <c r="AC386" t="s" s="0">
        <v>81</v>
      </c>
      <c r="AD386" t="s" s="0">
        <v>81</v>
      </c>
      <c r="AE386" t="s" s="0">
        <v>81</v>
      </c>
      <c r="AF386" t="s" s="0">
        <v>81</v>
      </c>
      <c r="AG386" t="s" s="0">
        <v>8593</v>
      </c>
      <c r="AH386" t="s" s="0">
        <v>81</v>
      </c>
      <c r="AI386" t="s" s="0">
        <v>8594</v>
      </c>
      <c r="AJ386" t="s" s="0">
        <v>8595</v>
      </c>
      <c r="AK386" t="s" s="0">
        <v>81</v>
      </c>
      <c r="AL386" t="s" s="0">
        <v>2098</v>
      </c>
      <c r="AM386" t="s" s="0">
        <v>77</v>
      </c>
      <c r="AN386" t="s" s="0">
        <v>77</v>
      </c>
      <c r="AO386" t="s" s="0">
        <v>77</v>
      </c>
      <c r="AP386" t="s" s="0">
        <v>386</v>
      </c>
      <c r="AQ386" t="s" s="0">
        <v>103</v>
      </c>
      <c r="AR386" t="s" s="0">
        <v>104</v>
      </c>
      <c r="AS386" t="s" s="0">
        <v>105</v>
      </c>
      <c r="AT386" t="s" s="0">
        <v>81</v>
      </c>
      <c r="AU386" t="s" s="0">
        <v>2075</v>
      </c>
      <c r="AV386" t="s" s="0">
        <v>81</v>
      </c>
      <c r="AW386" t="s" s="0">
        <v>2076</v>
      </c>
      <c r="AX386" t="s" s="0">
        <v>2077</v>
      </c>
      <c r="AY386" t="s" s="0">
        <v>110</v>
      </c>
      <c r="AZ386" t="s" s="0">
        <v>110</v>
      </c>
      <c r="BA386" t="s" s="0">
        <v>328</v>
      </c>
      <c r="BB386" t="s" s="0">
        <v>81</v>
      </c>
      <c r="BC386" t="s" s="0">
        <v>81</v>
      </c>
      <c r="BD386" t="s" s="0">
        <v>81</v>
      </c>
      <c r="BE386" t="s" s="0">
        <v>81</v>
      </c>
      <c r="BF386" t="s" s="0">
        <v>81</v>
      </c>
      <c r="BG386" t="s" s="0">
        <v>81</v>
      </c>
      <c r="BH386" t="s" s="0">
        <v>81</v>
      </c>
      <c r="BI386" t="s" s="0">
        <v>8596</v>
      </c>
      <c r="BJ386" t="s" s="0">
        <v>8597</v>
      </c>
      <c r="BK386" t="s" s="766">
        <f>HYPERLINK("http://dx.doi.org/10.2196/78816","http://dx.doi.org/10.2196/78816")</f>
        <v>8598</v>
      </c>
      <c r="BL386" t="s" s="0">
        <v>81</v>
      </c>
      <c r="BM386" t="s" s="0">
        <v>81</v>
      </c>
      <c r="BN386" t="s" s="0">
        <v>115</v>
      </c>
      <c r="BO386" t="s" s="0">
        <v>116</v>
      </c>
      <c r="BP386" t="s" s="0">
        <v>116</v>
      </c>
      <c r="BQ386" t="s" s="0">
        <v>8599</v>
      </c>
      <c r="BR386" t="s" s="0">
        <v>8600</v>
      </c>
      <c r="BS386" t="s" s="0">
        <v>8601</v>
      </c>
      <c r="BT386" t="s" s="767">
        <f>HYPERLINK("https://www.webofscience.com/wos/woscc/full-record/WOS:001640175200017","View Record in Web of Science")</f>
        <v>120</v>
      </c>
      <c r="BU386" t="s" s="0">
        <v>121</v>
      </c>
      <c r="BV386" t="s" s="0">
        <v>81</v>
      </c>
      <c r="BW386" t="s" s="0">
        <v>81</v>
      </c>
      <c r="BX386" t="s" s="0">
        <v>122</v>
      </c>
    </row>
    <row r="387">
      <c r="A387" t="s" s="0">
        <v>554</v>
      </c>
      <c r="B387" t="s" s="0">
        <v>77</v>
      </c>
      <c r="C387" t="s" s="0">
        <v>77</v>
      </c>
      <c r="D387" t="s" s="0">
        <v>77</v>
      </c>
      <c r="E387" t="s" s="0">
        <v>8602</v>
      </c>
      <c r="F387" t="s" s="0">
        <v>8603</v>
      </c>
      <c r="G387" t="s" s="0">
        <v>8604</v>
      </c>
      <c r="H387" t="s" s="0">
        <v>81</v>
      </c>
      <c r="I387" t="s" s="0">
        <v>82</v>
      </c>
      <c r="J387" t="s" s="0">
        <v>8605</v>
      </c>
      <c r="K387" t="s" s="0">
        <v>8606</v>
      </c>
      <c r="L387" t="s" s="0">
        <v>8607</v>
      </c>
      <c r="M387" t="s" s="0">
        <v>8608</v>
      </c>
      <c r="N387" t="s" s="0">
        <v>8609</v>
      </c>
      <c r="O387" t="s" s="0">
        <v>8610</v>
      </c>
      <c r="P387" t="s" s="0">
        <v>8611</v>
      </c>
      <c r="Q387" t="s" s="0">
        <v>90</v>
      </c>
      <c r="R387" t="s" s="0">
        <v>81</v>
      </c>
      <c r="S387" t="s" s="0">
        <v>81</v>
      </c>
      <c r="T387" t="s" s="0">
        <v>81</v>
      </c>
      <c r="U387" t="s" s="0">
        <v>81</v>
      </c>
      <c r="V387" t="s" s="0">
        <v>8612</v>
      </c>
      <c r="W387" t="s" s="0">
        <v>3091</v>
      </c>
      <c r="X387" t="s" s="0">
        <v>81</v>
      </c>
      <c r="Y387" t="s" s="0">
        <v>81</v>
      </c>
      <c r="Z387" t="s" s="0">
        <v>93</v>
      </c>
      <c r="AA387" t="s" s="0">
        <v>94</v>
      </c>
      <c r="AB387" t="s" s="0">
        <v>81</v>
      </c>
      <c r="AC387" t="s" s="0">
        <v>81</v>
      </c>
      <c r="AD387" t="s" s="0">
        <v>81</v>
      </c>
      <c r="AE387" t="s" s="0">
        <v>81</v>
      </c>
      <c r="AF387" t="s" s="0">
        <v>81</v>
      </c>
      <c r="AG387" t="s" s="0">
        <v>8613</v>
      </c>
      <c r="AH387" t="s" s="0">
        <v>81</v>
      </c>
      <c r="AI387" t="s" s="0">
        <v>8614</v>
      </c>
      <c r="AJ387" t="s" s="0">
        <v>8615</v>
      </c>
      <c r="AK387" t="s" s="0">
        <v>81</v>
      </c>
      <c r="AL387" t="s" s="0">
        <v>975</v>
      </c>
      <c r="AM387" t="s" s="0">
        <v>115</v>
      </c>
      <c r="AN387" t="s" s="0">
        <v>1118</v>
      </c>
      <c r="AO387" t="s" s="0">
        <v>100</v>
      </c>
      <c r="AP387" t="s" s="0">
        <v>287</v>
      </c>
      <c r="AQ387" t="s" s="0">
        <v>2366</v>
      </c>
      <c r="AR387" t="s" s="0">
        <v>2367</v>
      </c>
      <c r="AS387" t="s" s="0">
        <v>2368</v>
      </c>
      <c r="AT387" t="s" s="0">
        <v>3095</v>
      </c>
      <c r="AU387" t="s" s="0">
        <v>81</v>
      </c>
      <c r="AV387" t="s" s="0">
        <v>81</v>
      </c>
      <c r="AW387" t="s" s="0">
        <v>3091</v>
      </c>
      <c r="AX387" t="s" s="0">
        <v>3096</v>
      </c>
      <c r="AY387" t="s" s="0">
        <v>592</v>
      </c>
      <c r="AZ387" t="s" s="0">
        <v>592</v>
      </c>
      <c r="BA387" t="s" s="0">
        <v>360</v>
      </c>
      <c r="BB387" t="s" s="0">
        <v>81</v>
      </c>
      <c r="BC387" t="s" s="0">
        <v>81</v>
      </c>
      <c r="BD387" t="s" s="0">
        <v>81</v>
      </c>
      <c r="BE387" t="s" s="0">
        <v>81</v>
      </c>
      <c r="BF387" t="s" s="0">
        <v>81</v>
      </c>
      <c r="BG387" t="s" s="0">
        <v>8616</v>
      </c>
      <c r="BH387" t="s" s="0">
        <v>8617</v>
      </c>
      <c r="BI387" t="s" s="0">
        <v>81</v>
      </c>
      <c r="BJ387" t="s" s="0">
        <v>8618</v>
      </c>
      <c r="BK387" t="s" s="768">
        <f>HYPERLINK("http://dx.doi.org/10.1109/ACCESS.2024.3514175","http://dx.doi.org/10.1109/ACCESS.2024.3514175")</f>
        <v>8619</v>
      </c>
      <c r="BL387" t="s" s="0">
        <v>81</v>
      </c>
      <c r="BM387" t="s" s="0">
        <v>81</v>
      </c>
      <c r="BN387" t="s" s="0">
        <v>526</v>
      </c>
      <c r="BO387" t="s" s="0">
        <v>3101</v>
      </c>
      <c r="BP387" t="s" s="0">
        <v>3102</v>
      </c>
      <c r="BQ387" t="s" s="0">
        <v>8620</v>
      </c>
      <c r="BR387" t="s" s="0">
        <v>81</v>
      </c>
      <c r="BS387" t="s" s="0">
        <v>8621</v>
      </c>
      <c r="BT387" t="s" s="769">
        <f>HYPERLINK("https://www.webofscience.com/wos/woscc/full-record/WOS:001380707700049","View Record in Web of Science")</f>
        <v>120</v>
      </c>
      <c r="BU387" t="s" s="0">
        <v>121</v>
      </c>
      <c r="BV387" t="s" s="0">
        <v>81</v>
      </c>
      <c r="BW387" t="s" s="0">
        <v>81</v>
      </c>
      <c r="BX387" t="s" s="0">
        <v>122</v>
      </c>
    </row>
    <row r="388">
      <c r="A388" t="s" s="0">
        <v>77</v>
      </c>
      <c r="B388" t="s" s="0">
        <v>77</v>
      </c>
      <c r="C388" t="s" s="0">
        <v>102</v>
      </c>
      <c r="D388" t="s" s="0">
        <v>77</v>
      </c>
      <c r="E388" t="s" s="0">
        <v>8622</v>
      </c>
      <c r="F388" t="s" s="0">
        <v>8623</v>
      </c>
      <c r="G388" t="s" s="0">
        <v>8624</v>
      </c>
      <c r="H388" t="s" s="0">
        <v>81</v>
      </c>
      <c r="I388" t="s" s="0">
        <v>82</v>
      </c>
      <c r="J388" t="s" s="0">
        <v>8625</v>
      </c>
      <c r="K388" t="s" s="0">
        <v>8626</v>
      </c>
      <c r="L388" t="s" s="0">
        <v>8627</v>
      </c>
      <c r="M388" t="s" s="0">
        <v>8628</v>
      </c>
      <c r="N388" t="s" s="0">
        <v>8629</v>
      </c>
      <c r="O388" t="s" s="0">
        <v>8630</v>
      </c>
      <c r="P388" t="s" s="0">
        <v>8631</v>
      </c>
      <c r="Q388" t="s" s="0">
        <v>90</v>
      </c>
      <c r="R388" t="s" s="0">
        <v>81</v>
      </c>
      <c r="S388" t="s" s="0">
        <v>81</v>
      </c>
      <c r="T388" t="s" s="0">
        <v>81</v>
      </c>
      <c r="U388" t="s" s="0">
        <v>81</v>
      </c>
      <c r="V388" t="s" s="0">
        <v>8632</v>
      </c>
      <c r="W388" t="s" s="0">
        <v>654</v>
      </c>
      <c r="X388" t="s" s="0">
        <v>81</v>
      </c>
      <c r="Y388" t="s" s="0">
        <v>81</v>
      </c>
      <c r="Z388" t="s" s="0">
        <v>93</v>
      </c>
      <c r="AA388" t="s" s="0">
        <v>94</v>
      </c>
      <c r="AB388" t="s" s="0">
        <v>81</v>
      </c>
      <c r="AC388" t="s" s="0">
        <v>81</v>
      </c>
      <c r="AD388" t="s" s="0">
        <v>81</v>
      </c>
      <c r="AE388" t="s" s="0">
        <v>81</v>
      </c>
      <c r="AF388" t="s" s="0">
        <v>81</v>
      </c>
      <c r="AG388" t="s" s="0">
        <v>8633</v>
      </c>
      <c r="AH388" t="s" s="0">
        <v>8634</v>
      </c>
      <c r="AI388" t="s" s="0">
        <v>8635</v>
      </c>
      <c r="AJ388" t="s" s="0">
        <v>8636</v>
      </c>
      <c r="AK388" t="s" s="0">
        <v>81</v>
      </c>
      <c r="AL388" t="s" s="0">
        <v>412</v>
      </c>
      <c r="AM388" t="s" s="0">
        <v>2952</v>
      </c>
      <c r="AN388" t="s" s="0">
        <v>8637</v>
      </c>
      <c r="AO388" t="s" s="0">
        <v>102</v>
      </c>
      <c r="AP388" t="s" s="0">
        <v>1352</v>
      </c>
      <c r="AQ388" t="s" s="0">
        <v>659</v>
      </c>
      <c r="AR388" t="s" s="0">
        <v>660</v>
      </c>
      <c r="AS388" t="s" s="0">
        <v>661</v>
      </c>
      <c r="AT388" t="s" s="0">
        <v>662</v>
      </c>
      <c r="AU388" t="s" s="0">
        <v>663</v>
      </c>
      <c r="AV388" t="s" s="0">
        <v>81</v>
      </c>
      <c r="AW388" t="s" s="0">
        <v>664</v>
      </c>
      <c r="AX388" t="s" s="0">
        <v>665</v>
      </c>
      <c r="AY388" t="s" s="0">
        <v>4797</v>
      </c>
      <c r="AZ388" t="s" s="0">
        <v>592</v>
      </c>
      <c r="BA388" t="s" s="0">
        <v>8638</v>
      </c>
      <c r="BB388" t="s" s="0">
        <v>81</v>
      </c>
      <c r="BC388" t="s" s="0">
        <v>81</v>
      </c>
      <c r="BD388" t="s" s="0">
        <v>81</v>
      </c>
      <c r="BE388" t="s" s="0">
        <v>81</v>
      </c>
      <c r="BF388" t="s" s="0">
        <v>81</v>
      </c>
      <c r="BG388" t="s" s="0">
        <v>81</v>
      </c>
      <c r="BH388" t="s" s="0">
        <v>81</v>
      </c>
      <c r="BI388" t="s" s="0">
        <v>8639</v>
      </c>
      <c r="BJ388" t="s" s="0">
        <v>8640</v>
      </c>
      <c r="BK388" t="s" s="770">
        <f>HYPERLINK("http://dx.doi.org/10.1016/j.jbi.2024.104662","http://dx.doi.org/10.1016/j.jbi.2024.104662")</f>
        <v>8641</v>
      </c>
      <c r="BL388" t="s" s="0">
        <v>81</v>
      </c>
      <c r="BM388" t="s" s="0">
        <v>597</v>
      </c>
      <c r="BN388" t="s" s="0">
        <v>328</v>
      </c>
      <c r="BO388" t="s" s="0">
        <v>672</v>
      </c>
      <c r="BP388" t="s" s="0">
        <v>673</v>
      </c>
      <c r="BQ388" t="s" s="0">
        <v>8642</v>
      </c>
      <c r="BR388" t="s" s="0">
        <v>8643</v>
      </c>
      <c r="BS388" t="s" s="0">
        <v>8644</v>
      </c>
      <c r="BT388" t="s" s="771">
        <f>HYPERLINK("https://www.webofscience.com/wos/woscc/full-record/WOS:001325570100001","View Record in Web of Science")</f>
        <v>120</v>
      </c>
      <c r="BU388" t="s" s="0">
        <v>186</v>
      </c>
      <c r="BV388" t="s" s="0">
        <v>81</v>
      </c>
      <c r="BW388" t="s" s="0">
        <v>81</v>
      </c>
      <c r="BX388" t="s" s="0">
        <v>122</v>
      </c>
    </row>
    <row r="389">
      <c r="A389" t="s" s="0">
        <v>77</v>
      </c>
      <c r="B389" t="s" s="0">
        <v>77</v>
      </c>
      <c r="C389" t="s" s="0">
        <v>77</v>
      </c>
      <c r="D389" t="s" s="0">
        <v>77</v>
      </c>
      <c r="E389" t="s" s="0">
        <v>8645</v>
      </c>
      <c r="F389" t="s" s="0">
        <v>8646</v>
      </c>
      <c r="G389" t="s" s="0">
        <v>8647</v>
      </c>
      <c r="H389" t="s" s="0">
        <v>81</v>
      </c>
      <c r="I389" t="s" s="0">
        <v>82</v>
      </c>
      <c r="J389" t="s" s="0">
        <v>8648</v>
      </c>
      <c r="K389" t="s" s="0">
        <v>8649</v>
      </c>
      <c r="L389" t="s" s="0">
        <v>81</v>
      </c>
      <c r="M389" t="s" s="0">
        <v>81</v>
      </c>
      <c r="N389" t="s" s="0">
        <v>81</v>
      </c>
      <c r="O389" t="s" s="0">
        <v>8650</v>
      </c>
      <c r="P389" t="s" s="0">
        <v>8651</v>
      </c>
      <c r="Q389" t="s" s="0">
        <v>90</v>
      </c>
      <c r="R389" t="s" s="0">
        <v>81</v>
      </c>
      <c r="S389" t="s" s="0">
        <v>81</v>
      </c>
      <c r="T389" t="s" s="0">
        <v>81</v>
      </c>
      <c r="U389" t="s" s="0">
        <v>81</v>
      </c>
      <c r="V389" t="s" s="0">
        <v>8652</v>
      </c>
      <c r="W389" t="s" s="0">
        <v>2461</v>
      </c>
      <c r="X389" t="s" s="0">
        <v>81</v>
      </c>
      <c r="Y389" t="s" s="0">
        <v>81</v>
      </c>
      <c r="Z389" t="s" s="0">
        <v>93</v>
      </c>
      <c r="AA389" t="s" s="0">
        <v>94</v>
      </c>
      <c r="AB389" t="s" s="0">
        <v>81</v>
      </c>
      <c r="AC389" t="s" s="0">
        <v>81</v>
      </c>
      <c r="AD389" t="s" s="0">
        <v>81</v>
      </c>
      <c r="AE389" t="s" s="0">
        <v>81</v>
      </c>
      <c r="AF389" t="s" s="0">
        <v>81</v>
      </c>
      <c r="AG389" t="s" s="0">
        <v>8653</v>
      </c>
      <c r="AH389" t="s" s="0">
        <v>81</v>
      </c>
      <c r="AI389" t="s" s="0">
        <v>81</v>
      </c>
      <c r="AJ389" t="s" s="0">
        <v>8654</v>
      </c>
      <c r="AK389" t="s" s="0">
        <v>81</v>
      </c>
      <c r="AL389" t="s" s="0">
        <v>168</v>
      </c>
      <c r="AM389" t="s" s="0">
        <v>169</v>
      </c>
      <c r="AN389" t="s" s="0">
        <v>169</v>
      </c>
      <c r="AO389" t="s" s="0">
        <v>100</v>
      </c>
      <c r="AP389" t="s" s="0">
        <v>1543</v>
      </c>
      <c r="AQ389" t="s" s="0">
        <v>137</v>
      </c>
      <c r="AR389" t="s" s="0">
        <v>138</v>
      </c>
      <c r="AS389" t="s" s="0">
        <v>139</v>
      </c>
      <c r="AT389" t="s" s="0">
        <v>81</v>
      </c>
      <c r="AU389" t="s" s="0">
        <v>2465</v>
      </c>
      <c r="AV389" t="s" s="0">
        <v>81</v>
      </c>
      <c r="AW389" t="s" s="0">
        <v>2461</v>
      </c>
      <c r="AX389" t="s" s="0">
        <v>2466</v>
      </c>
      <c r="AY389" t="s" s="0">
        <v>927</v>
      </c>
      <c r="AZ389" t="s" s="0">
        <v>110</v>
      </c>
      <c r="BA389" t="s" s="0">
        <v>360</v>
      </c>
      <c r="BB389" t="s" s="0">
        <v>169</v>
      </c>
      <c r="BC389" t="s" s="0">
        <v>81</v>
      </c>
      <c r="BD389" t="s" s="0">
        <v>81</v>
      </c>
      <c r="BE389" t="s" s="0">
        <v>81</v>
      </c>
      <c r="BF389" t="s" s="0">
        <v>81</v>
      </c>
      <c r="BG389" t="s" s="0">
        <v>81</v>
      </c>
      <c r="BH389" t="s" s="0">
        <v>81</v>
      </c>
      <c r="BI389" t="s" s="0">
        <v>6107</v>
      </c>
      <c r="BJ389" t="s" s="0">
        <v>8655</v>
      </c>
      <c r="BK389" t="s" s="772">
        <f>HYPERLINK("http://dx.doi.org/10.3390/bioengineering12010081","http://dx.doi.org/10.3390/bioengineering12010081")</f>
        <v>8656</v>
      </c>
      <c r="BL389" t="s" s="0">
        <v>81</v>
      </c>
      <c r="BM389" t="s" s="0">
        <v>81</v>
      </c>
      <c r="BN389" t="s" s="0">
        <v>946</v>
      </c>
      <c r="BO389" t="s" s="0">
        <v>2471</v>
      </c>
      <c r="BP389" t="s" s="0">
        <v>2472</v>
      </c>
      <c r="BQ389" t="s" s="0">
        <v>8657</v>
      </c>
      <c r="BR389" t="s" s="0">
        <v>8658</v>
      </c>
      <c r="BS389" t="s" s="0">
        <v>8659</v>
      </c>
      <c r="BT389" t="s" s="773">
        <f>HYPERLINK("https://www.webofscience.com/wos/woscc/full-record/WOS:001404583800001","View Record in Web of Science")</f>
        <v>120</v>
      </c>
      <c r="BU389" t="s" s="0">
        <v>121</v>
      </c>
      <c r="BV389" t="s" s="0">
        <v>81</v>
      </c>
      <c r="BW389" t="s" s="0">
        <v>81</v>
      </c>
      <c r="BX389" t="s" s="0">
        <v>122</v>
      </c>
    </row>
    <row r="390">
      <c r="A390" t="s" s="0">
        <v>77</v>
      </c>
      <c r="B390" t="s" s="0">
        <v>77</v>
      </c>
      <c r="C390" t="s" s="0">
        <v>77</v>
      </c>
      <c r="D390" t="s" s="0">
        <v>77</v>
      </c>
      <c r="E390" t="s" s="0">
        <v>8660</v>
      </c>
      <c r="F390" t="s" s="0">
        <v>8661</v>
      </c>
      <c r="G390" t="s" s="0">
        <v>8662</v>
      </c>
      <c r="H390" t="s" s="0">
        <v>81</v>
      </c>
      <c r="I390" t="s" s="0">
        <v>82</v>
      </c>
      <c r="J390" t="s" s="0">
        <v>8663</v>
      </c>
      <c r="K390" t="s" s="0">
        <v>8664</v>
      </c>
      <c r="L390" t="s" s="0">
        <v>8665</v>
      </c>
      <c r="M390" t="s" s="0">
        <v>8666</v>
      </c>
      <c r="N390" t="s" s="0">
        <v>8667</v>
      </c>
      <c r="O390" t="s" s="0">
        <v>8668</v>
      </c>
      <c r="P390" t="s" s="0">
        <v>8669</v>
      </c>
      <c r="Q390" t="s" s="0">
        <v>90</v>
      </c>
      <c r="R390" t="s" s="0">
        <v>81</v>
      </c>
      <c r="S390" t="s" s="0">
        <v>81</v>
      </c>
      <c r="T390" t="s" s="0">
        <v>81</v>
      </c>
      <c r="U390" t="s" s="0">
        <v>81</v>
      </c>
      <c r="V390" t="s" s="0">
        <v>8670</v>
      </c>
      <c r="W390" t="s" s="0">
        <v>8671</v>
      </c>
      <c r="X390" t="s" s="0">
        <v>81</v>
      </c>
      <c r="Y390" t="s" s="0">
        <v>81</v>
      </c>
      <c r="Z390" t="s" s="0">
        <v>93</v>
      </c>
      <c r="AA390" t="s" s="0">
        <v>196</v>
      </c>
      <c r="AB390" t="s" s="0">
        <v>81</v>
      </c>
      <c r="AC390" t="s" s="0">
        <v>81</v>
      </c>
      <c r="AD390" t="s" s="0">
        <v>81</v>
      </c>
      <c r="AE390" t="s" s="0">
        <v>81</v>
      </c>
      <c r="AF390" t="s" s="0">
        <v>81</v>
      </c>
      <c r="AG390" t="s" s="0">
        <v>81</v>
      </c>
      <c r="AH390" t="s" s="0">
        <v>8672</v>
      </c>
      <c r="AI390" t="s" s="0">
        <v>8673</v>
      </c>
      <c r="AJ390" t="s" s="0">
        <v>8674</v>
      </c>
      <c r="AK390" t="s" s="0">
        <v>81</v>
      </c>
      <c r="AL390" t="s" s="0">
        <v>261</v>
      </c>
      <c r="AM390" t="s" s="0">
        <v>169</v>
      </c>
      <c r="AN390" t="s" s="0">
        <v>169</v>
      </c>
      <c r="AO390" t="s" s="0">
        <v>77</v>
      </c>
      <c r="AP390" t="s" s="0">
        <v>77</v>
      </c>
      <c r="AQ390" t="s" s="0">
        <v>8675</v>
      </c>
      <c r="AR390" t="s" s="0">
        <v>8676</v>
      </c>
      <c r="AS390" t="s" s="0">
        <v>8677</v>
      </c>
      <c r="AT390" t="s" s="0">
        <v>8678</v>
      </c>
      <c r="AU390" t="s" s="0">
        <v>8679</v>
      </c>
      <c r="AV390" t="s" s="0">
        <v>81</v>
      </c>
      <c r="AW390" t="s" s="0">
        <v>8680</v>
      </c>
      <c r="AX390" t="s" s="0">
        <v>8681</v>
      </c>
      <c r="AY390" t="s" s="0">
        <v>81</v>
      </c>
      <c r="AZ390" t="s" s="0">
        <v>144</v>
      </c>
      <c r="BA390" t="s" s="0">
        <v>81</v>
      </c>
      <c r="BB390" t="s" s="0">
        <v>81</v>
      </c>
      <c r="BC390" t="s" s="0">
        <v>81</v>
      </c>
      <c r="BD390" t="s" s="0">
        <v>81</v>
      </c>
      <c r="BE390" t="s" s="0">
        <v>81</v>
      </c>
      <c r="BF390" t="s" s="0">
        <v>81</v>
      </c>
      <c r="BG390" t="s" s="0">
        <v>81</v>
      </c>
      <c r="BH390" t="s" s="0">
        <v>81</v>
      </c>
      <c r="BI390" t="s" s="0">
        <v>81</v>
      </c>
      <c r="BJ390" t="s" s="0">
        <v>8682</v>
      </c>
      <c r="BK390" t="s" s="774">
        <f>HYPERLINK("http://dx.doi.org/10.1017/ice.2026.10480","http://dx.doi.org/10.1017/ice.2026.10480")</f>
        <v>8683</v>
      </c>
      <c r="BL390" t="s" s="0">
        <v>81</v>
      </c>
      <c r="BM390" t="s" s="0">
        <v>532</v>
      </c>
      <c r="BN390" t="s" s="0">
        <v>210</v>
      </c>
      <c r="BO390" t="s" s="0">
        <v>8684</v>
      </c>
      <c r="BP390" t="s" s="0">
        <v>8684</v>
      </c>
      <c r="BQ390" t="s" s="0">
        <v>8685</v>
      </c>
      <c r="BR390" t="s" s="0">
        <v>8686</v>
      </c>
      <c r="BS390" t="s" s="0">
        <v>8687</v>
      </c>
      <c r="BT390" t="s" s="775">
        <f>HYPERLINK("https://www.webofscience.com/wos/woscc/full-record/WOS:001787411700001","View Record in Web of Science")</f>
        <v>120</v>
      </c>
      <c r="BU390" t="s" s="0">
        <v>186</v>
      </c>
      <c r="BV390" t="s" s="0">
        <v>81</v>
      </c>
      <c r="BW390" t="s" s="0">
        <v>81</v>
      </c>
      <c r="BX390" t="s" s="0">
        <v>122</v>
      </c>
    </row>
    <row r="391">
      <c r="A391" t="s" s="0">
        <v>77</v>
      </c>
      <c r="B391" t="s" s="0">
        <v>77</v>
      </c>
      <c r="C391" t="s" s="0">
        <v>169</v>
      </c>
      <c r="D391" t="s" s="0">
        <v>77</v>
      </c>
      <c r="E391" t="s" s="0">
        <v>8688</v>
      </c>
      <c r="F391" t="s" s="0">
        <v>8689</v>
      </c>
      <c r="G391" t="s" s="0">
        <v>8690</v>
      </c>
      <c r="H391" t="s" s="0">
        <v>81</v>
      </c>
      <c r="I391" t="s" s="0">
        <v>218</v>
      </c>
      <c r="J391" t="s" s="0">
        <v>8691</v>
      </c>
      <c r="K391" t="s" s="0">
        <v>8692</v>
      </c>
      <c r="L391" t="s" s="0">
        <v>8693</v>
      </c>
      <c r="M391" t="s" s="0">
        <v>8694</v>
      </c>
      <c r="N391" t="s" s="0">
        <v>8695</v>
      </c>
      <c r="O391" t="s" s="0">
        <v>8696</v>
      </c>
      <c r="P391" t="s" s="0">
        <v>8697</v>
      </c>
      <c r="Q391" t="s" s="0">
        <v>90</v>
      </c>
      <c r="R391" t="s" s="0">
        <v>81</v>
      </c>
      <c r="S391" t="s" s="0">
        <v>81</v>
      </c>
      <c r="T391" t="s" s="0">
        <v>81</v>
      </c>
      <c r="U391" t="s" s="0">
        <v>81</v>
      </c>
      <c r="V391" t="s" s="0">
        <v>8698</v>
      </c>
      <c r="W391" t="s" s="0">
        <v>8699</v>
      </c>
      <c r="X391" t="s" s="0">
        <v>81</v>
      </c>
      <c r="Y391" t="s" s="0">
        <v>81</v>
      </c>
      <c r="Z391" t="s" s="0">
        <v>93</v>
      </c>
      <c r="AA391" t="s" s="0">
        <v>94</v>
      </c>
      <c r="AB391" t="s" s="0">
        <v>81</v>
      </c>
      <c r="AC391" t="s" s="0">
        <v>81</v>
      </c>
      <c r="AD391" t="s" s="0">
        <v>81</v>
      </c>
      <c r="AE391" t="s" s="0">
        <v>81</v>
      </c>
      <c r="AF391" t="s" s="0">
        <v>81</v>
      </c>
      <c r="AG391" t="s" s="0">
        <v>8700</v>
      </c>
      <c r="AH391" t="s" s="0">
        <v>8701</v>
      </c>
      <c r="AI391" t="s" s="0">
        <v>8702</v>
      </c>
      <c r="AJ391" t="s" s="0">
        <v>8703</v>
      </c>
      <c r="AK391" t="s" s="0">
        <v>81</v>
      </c>
      <c r="AL391" t="s" s="0">
        <v>2098</v>
      </c>
      <c r="AM391" t="s" s="0">
        <v>265</v>
      </c>
      <c r="AN391" t="s" s="0">
        <v>352</v>
      </c>
      <c r="AO391" t="s" s="0">
        <v>452</v>
      </c>
      <c r="AP391" t="s" s="0">
        <v>438</v>
      </c>
      <c r="AQ391" t="s" s="0">
        <v>103</v>
      </c>
      <c r="AR391" t="s" s="0">
        <v>104</v>
      </c>
      <c r="AS391" t="s" s="0">
        <v>105</v>
      </c>
      <c r="AT391" t="s" s="0">
        <v>8704</v>
      </c>
      <c r="AU391" t="s" s="0">
        <v>81</v>
      </c>
      <c r="AV391" t="s" s="0">
        <v>81</v>
      </c>
      <c r="AW391" t="s" s="0">
        <v>8699</v>
      </c>
      <c r="AX391" t="s" s="0">
        <v>8705</v>
      </c>
      <c r="AY391" t="s" s="0">
        <v>110</v>
      </c>
      <c r="AZ391" t="s" s="0">
        <v>110</v>
      </c>
      <c r="BA391" t="s" s="0">
        <v>320</v>
      </c>
      <c r="BB391" t="s" s="0">
        <v>81</v>
      </c>
      <c r="BC391" t="s" s="0">
        <v>81</v>
      </c>
      <c r="BD391" t="s" s="0">
        <v>81</v>
      </c>
      <c r="BE391" t="s" s="0">
        <v>81</v>
      </c>
      <c r="BF391" t="s" s="0">
        <v>81</v>
      </c>
      <c r="BG391" t="s" s="0">
        <v>81</v>
      </c>
      <c r="BH391" t="s" s="0">
        <v>81</v>
      </c>
      <c r="BI391" t="s" s="0">
        <v>8706</v>
      </c>
      <c r="BJ391" t="s" s="0">
        <v>8707</v>
      </c>
      <c r="BK391" t="s" s="776">
        <f>HYPERLINK("http://dx.doi.org/10.2196/70176","http://dx.doi.org/10.2196/70176")</f>
        <v>8708</v>
      </c>
      <c r="BL391" t="s" s="0">
        <v>81</v>
      </c>
      <c r="BM391" t="s" s="0">
        <v>81</v>
      </c>
      <c r="BN391" t="s" s="0">
        <v>320</v>
      </c>
      <c r="BO391" t="s" s="0">
        <v>1433</v>
      </c>
      <c r="BP391" t="s" s="0">
        <v>1433</v>
      </c>
      <c r="BQ391" t="s" s="0">
        <v>8709</v>
      </c>
      <c r="BR391" t="s" s="0">
        <v>8710</v>
      </c>
      <c r="BS391" t="s" s="0">
        <v>8711</v>
      </c>
      <c r="BT391" t="s" s="777">
        <f>HYPERLINK("https://www.webofscience.com/wos/woscc/full-record/WOS:001580587400001","View Record in Web of Science")</f>
        <v>120</v>
      </c>
      <c r="BU391" t="s" s="0">
        <v>121</v>
      </c>
      <c r="BV391" t="s" s="0">
        <v>81</v>
      </c>
      <c r="BW391" t="s" s="0">
        <v>81</v>
      </c>
      <c r="BX391" t="s" s="0">
        <v>122</v>
      </c>
    </row>
    <row r="392">
      <c r="A392" t="s" s="0">
        <v>77</v>
      </c>
      <c r="B392" t="s" s="0">
        <v>77</v>
      </c>
      <c r="C392" t="s" s="0">
        <v>101</v>
      </c>
      <c r="D392" t="s" s="0">
        <v>169</v>
      </c>
      <c r="E392" t="s" s="0">
        <v>8712</v>
      </c>
      <c r="F392" t="s" s="0">
        <v>8713</v>
      </c>
      <c r="G392" t="s" s="0">
        <v>8714</v>
      </c>
      <c r="H392" t="s" s="0">
        <v>81</v>
      </c>
      <c r="I392" t="s" s="0">
        <v>82</v>
      </c>
      <c r="J392" t="s" s="0">
        <v>8715</v>
      </c>
      <c r="K392" t="s" s="0">
        <v>8716</v>
      </c>
      <c r="L392" t="s" s="0">
        <v>81</v>
      </c>
      <c r="M392" t="s" s="0">
        <v>81</v>
      </c>
      <c r="N392" t="s" s="0">
        <v>81</v>
      </c>
      <c r="O392" t="s" s="0">
        <v>8717</v>
      </c>
      <c r="P392" t="s" s="0">
        <v>8718</v>
      </c>
      <c r="Q392" t="s" s="0">
        <v>90</v>
      </c>
      <c r="R392" t="s" s="0">
        <v>81</v>
      </c>
      <c r="S392" t="s" s="0">
        <v>81</v>
      </c>
      <c r="T392" t="s" s="0">
        <v>81</v>
      </c>
      <c r="U392" t="s" s="0">
        <v>81</v>
      </c>
      <c r="V392" t="s" s="0">
        <v>8719</v>
      </c>
      <c r="W392" t="s" s="0">
        <v>317</v>
      </c>
      <c r="X392" t="s" s="0">
        <v>81</v>
      </c>
      <c r="Y392" t="s" s="0">
        <v>81</v>
      </c>
      <c r="Z392" t="s" s="0">
        <v>93</v>
      </c>
      <c r="AA392" t="s" s="0">
        <v>94</v>
      </c>
      <c r="AB392" t="s" s="0">
        <v>81</v>
      </c>
      <c r="AC392" t="s" s="0">
        <v>81</v>
      </c>
      <c r="AD392" t="s" s="0">
        <v>81</v>
      </c>
      <c r="AE392" t="s" s="0">
        <v>81</v>
      </c>
      <c r="AF392" t="s" s="0">
        <v>81</v>
      </c>
      <c r="AG392" t="s" s="0">
        <v>81</v>
      </c>
      <c r="AH392" t="s" s="0">
        <v>8720</v>
      </c>
      <c r="AI392" t="s" s="0">
        <v>8721</v>
      </c>
      <c r="AJ392" t="s" s="0">
        <v>8722</v>
      </c>
      <c r="AK392" t="s" s="0">
        <v>81</v>
      </c>
      <c r="AL392" t="s" s="0">
        <v>671</v>
      </c>
      <c r="AM392" t="s" s="0">
        <v>136</v>
      </c>
      <c r="AN392" t="s" s="0">
        <v>671</v>
      </c>
      <c r="AO392" t="s" s="0">
        <v>77</v>
      </c>
      <c r="AP392" t="s" s="0">
        <v>328</v>
      </c>
      <c r="AQ392" t="s" s="0">
        <v>321</v>
      </c>
      <c r="AR392" t="s" s="0">
        <v>322</v>
      </c>
      <c r="AS392" t="s" s="0">
        <v>323</v>
      </c>
      <c r="AT392" t="s" s="0">
        <v>324</v>
      </c>
      <c r="AU392" t="s" s="0">
        <v>81</v>
      </c>
      <c r="AV392" t="s" s="0">
        <v>81</v>
      </c>
      <c r="AW392" t="s" s="0">
        <v>325</v>
      </c>
      <c r="AX392" t="s" s="0">
        <v>326</v>
      </c>
      <c r="AY392" t="s" s="0">
        <v>8723</v>
      </c>
      <c r="AZ392" t="s" s="0">
        <v>592</v>
      </c>
      <c r="BA392" t="s" s="0">
        <v>386</v>
      </c>
      <c r="BB392" t="s" s="0">
        <v>169</v>
      </c>
      <c r="BC392" t="s" s="0">
        <v>81</v>
      </c>
      <c r="BD392" t="s" s="0">
        <v>81</v>
      </c>
      <c r="BE392" t="s" s="0">
        <v>81</v>
      </c>
      <c r="BF392" t="s" s="0">
        <v>81</v>
      </c>
      <c r="BG392" t="s" s="0">
        <v>81</v>
      </c>
      <c r="BH392" t="s" s="0">
        <v>81</v>
      </c>
      <c r="BI392" t="s" s="0">
        <v>8724</v>
      </c>
      <c r="BJ392" t="s" s="0">
        <v>8725</v>
      </c>
      <c r="BK392" t="s" s="778">
        <f>HYPERLINK("http://dx.doi.org/10.1038/s41746-024-01336-w","http://dx.doi.org/10.1038/s41746-024-01336-w")</f>
        <v>8726</v>
      </c>
      <c r="BL392" t="s" s="0">
        <v>81</v>
      </c>
      <c r="BM392" t="s" s="0">
        <v>81</v>
      </c>
      <c r="BN392" t="s" s="0">
        <v>452</v>
      </c>
      <c r="BO392" t="s" s="0">
        <v>116</v>
      </c>
      <c r="BP392" t="s" s="0">
        <v>116</v>
      </c>
      <c r="BQ392" t="s" s="0">
        <v>8727</v>
      </c>
      <c r="BR392" t="s" s="0">
        <v>8728</v>
      </c>
      <c r="BS392" t="s" s="0">
        <v>8729</v>
      </c>
      <c r="BT392" t="s" s="779">
        <f>HYPERLINK("https://www.webofscience.com/wos/woscc/full-record/WOS:001359496300001","View Record in Web of Science")</f>
        <v>120</v>
      </c>
      <c r="BU392" t="s" s="0">
        <v>121</v>
      </c>
      <c r="BV392" t="s" s="0">
        <v>81</v>
      </c>
      <c r="BW392" t="s" s="0">
        <v>81</v>
      </c>
      <c r="BX392" t="s" s="0">
        <v>122</v>
      </c>
    </row>
    <row r="393"/>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T184" r:id="rId365"/>
    <hyperlink ref="BK185" r:id="rId366"/>
    <hyperlink ref="BT185" r:id="rId367"/>
    <hyperlink ref="BK186" r:id="rId368"/>
    <hyperlink ref="BT186" r:id="rId369"/>
    <hyperlink ref="BK187" r:id="rId370"/>
    <hyperlink ref="BT187" r:id="rId371"/>
    <hyperlink ref="BK188" r:id="rId372"/>
    <hyperlink ref="BT188" r:id="rId373"/>
    <hyperlink ref="BK189" r:id="rId374"/>
    <hyperlink ref="BT189" r:id="rId375"/>
    <hyperlink ref="BK190" r:id="rId376"/>
    <hyperlink ref="BT190" r:id="rId377"/>
    <hyperlink ref="BK191" r:id="rId378"/>
    <hyperlink ref="BT191" r:id="rId379"/>
    <hyperlink ref="BK192" r:id="rId380"/>
    <hyperlink ref="BT192" r:id="rId381"/>
    <hyperlink ref="BK193" r:id="rId382"/>
    <hyperlink ref="BT193" r:id="rId383"/>
    <hyperlink ref="BK194" r:id="rId384"/>
    <hyperlink ref="BT194" r:id="rId385"/>
    <hyperlink ref="BK195" r:id="rId386"/>
    <hyperlink ref="BT195" r:id="rId387"/>
    <hyperlink ref="BK196" r:id="rId388"/>
    <hyperlink ref="BT196" r:id="rId389"/>
    <hyperlink ref="BK197" r:id="rId390"/>
    <hyperlink ref="BT197" r:id="rId391"/>
    <hyperlink ref="BK198" r:id="rId392"/>
    <hyperlink ref="BT198" r:id="rId393"/>
    <hyperlink ref="BK199" r:id="rId394"/>
    <hyperlink ref="BT199" r:id="rId395"/>
    <hyperlink ref="BK200" r:id="rId396"/>
    <hyperlink ref="BT200" r:id="rId397"/>
    <hyperlink ref="BK201" r:id="rId398"/>
    <hyperlink ref="BT201" r:id="rId399"/>
    <hyperlink ref="BK202" r:id="rId400"/>
    <hyperlink ref="BT202" r:id="rId401"/>
    <hyperlink ref="BK203" r:id="rId402"/>
    <hyperlink ref="BT203" r:id="rId403"/>
    <hyperlink ref="BK204" r:id="rId404"/>
    <hyperlink ref="BT204" r:id="rId405"/>
    <hyperlink ref="BK205" r:id="rId406"/>
    <hyperlink ref="BT205" r:id="rId407"/>
    <hyperlink ref="BK206" r:id="rId408"/>
    <hyperlink ref="BT206" r:id="rId409"/>
    <hyperlink ref="BK207" r:id="rId410"/>
    <hyperlink ref="BT207" r:id="rId411"/>
    <hyperlink ref="BK208" r:id="rId412"/>
    <hyperlink ref="BT208" r:id="rId413"/>
    <hyperlink ref="BT209" r:id="rId414"/>
    <hyperlink ref="BK210" r:id="rId415"/>
    <hyperlink ref="BT210" r:id="rId416"/>
    <hyperlink ref="BK211" r:id="rId417"/>
    <hyperlink ref="BT211" r:id="rId418"/>
    <hyperlink ref="BK212" r:id="rId419"/>
    <hyperlink ref="BT212" r:id="rId420"/>
    <hyperlink ref="BK213" r:id="rId421"/>
    <hyperlink ref="BT213" r:id="rId422"/>
    <hyperlink ref="BK214" r:id="rId423"/>
    <hyperlink ref="BT214" r:id="rId424"/>
    <hyperlink ref="BK215" r:id="rId425"/>
    <hyperlink ref="BT215" r:id="rId426"/>
    <hyperlink ref="BK216" r:id="rId427"/>
    <hyperlink ref="BT216" r:id="rId428"/>
    <hyperlink ref="BK217" r:id="rId429"/>
    <hyperlink ref="BT217" r:id="rId430"/>
    <hyperlink ref="BK218" r:id="rId431"/>
    <hyperlink ref="BT218" r:id="rId432"/>
    <hyperlink ref="BK219" r:id="rId433"/>
    <hyperlink ref="BT219" r:id="rId434"/>
    <hyperlink ref="BK220" r:id="rId435"/>
    <hyperlink ref="BT220" r:id="rId436"/>
    <hyperlink ref="BK221" r:id="rId437"/>
    <hyperlink ref="BT221" r:id="rId438"/>
    <hyperlink ref="BK222" r:id="rId439"/>
    <hyperlink ref="BT222" r:id="rId440"/>
    <hyperlink ref="BK223" r:id="rId441"/>
    <hyperlink ref="BT223" r:id="rId442"/>
    <hyperlink ref="BK224" r:id="rId443"/>
    <hyperlink ref="BT224" r:id="rId444"/>
    <hyperlink ref="BK225" r:id="rId445"/>
    <hyperlink ref="BT225" r:id="rId446"/>
    <hyperlink ref="BK226" r:id="rId447"/>
    <hyperlink ref="BT226" r:id="rId448"/>
    <hyperlink ref="BK227" r:id="rId449"/>
    <hyperlink ref="BT227" r:id="rId450"/>
    <hyperlink ref="BK228" r:id="rId451"/>
    <hyperlink ref="BT228" r:id="rId452"/>
    <hyperlink ref="BK229" r:id="rId453"/>
    <hyperlink ref="BT229" r:id="rId454"/>
    <hyperlink ref="BK230" r:id="rId455"/>
    <hyperlink ref="BT230" r:id="rId456"/>
    <hyperlink ref="BK231" r:id="rId457"/>
    <hyperlink ref="BT231" r:id="rId458"/>
    <hyperlink ref="BK232" r:id="rId459"/>
    <hyperlink ref="BT232" r:id="rId460"/>
    <hyperlink ref="BK233" r:id="rId461"/>
    <hyperlink ref="BT233" r:id="rId462"/>
    <hyperlink ref="BK234" r:id="rId463"/>
    <hyperlink ref="BT234" r:id="rId464"/>
    <hyperlink ref="BK235" r:id="rId465"/>
    <hyperlink ref="BT235" r:id="rId466"/>
    <hyperlink ref="BK236" r:id="rId467"/>
    <hyperlink ref="BT236" r:id="rId468"/>
    <hyperlink ref="BK237" r:id="rId469"/>
    <hyperlink ref="BT237" r:id="rId470"/>
    <hyperlink ref="BK238" r:id="rId471"/>
    <hyperlink ref="BT238" r:id="rId472"/>
    <hyperlink ref="BK239" r:id="rId473"/>
    <hyperlink ref="BT239" r:id="rId474"/>
    <hyperlink ref="BK240" r:id="rId475"/>
    <hyperlink ref="BT240" r:id="rId476"/>
    <hyperlink ref="BK241" r:id="rId477"/>
    <hyperlink ref="BT241" r:id="rId478"/>
    <hyperlink ref="BK242" r:id="rId479"/>
    <hyperlink ref="BT242" r:id="rId480"/>
    <hyperlink ref="BK243" r:id="rId481"/>
    <hyperlink ref="BT243" r:id="rId482"/>
    <hyperlink ref="BK244" r:id="rId483"/>
    <hyperlink ref="BT244" r:id="rId484"/>
    <hyperlink ref="BK245" r:id="rId485"/>
    <hyperlink ref="BT245" r:id="rId486"/>
    <hyperlink ref="BK246" r:id="rId487"/>
    <hyperlink ref="BT246" r:id="rId488"/>
    <hyperlink ref="BK247" r:id="rId489"/>
    <hyperlink ref="BT247" r:id="rId490"/>
    <hyperlink ref="BK248" r:id="rId491"/>
    <hyperlink ref="BT248" r:id="rId492"/>
    <hyperlink ref="BK249" r:id="rId493"/>
    <hyperlink ref="BT249" r:id="rId494"/>
    <hyperlink ref="BK250" r:id="rId495"/>
    <hyperlink ref="BT250" r:id="rId496"/>
    <hyperlink ref="BK251" r:id="rId497"/>
    <hyperlink ref="BT251" r:id="rId498"/>
    <hyperlink ref="BK252" r:id="rId499"/>
    <hyperlink ref="BT252" r:id="rId500"/>
    <hyperlink ref="BK253" r:id="rId501"/>
    <hyperlink ref="BT253" r:id="rId502"/>
    <hyperlink ref="BK254" r:id="rId503"/>
    <hyperlink ref="BT254" r:id="rId504"/>
    <hyperlink ref="BK255" r:id="rId505"/>
    <hyperlink ref="BT255" r:id="rId506"/>
    <hyperlink ref="BK256" r:id="rId507"/>
    <hyperlink ref="BT256" r:id="rId508"/>
    <hyperlink ref="BK257" r:id="rId509"/>
    <hyperlink ref="BT257" r:id="rId510"/>
    <hyperlink ref="BK258" r:id="rId511"/>
    <hyperlink ref="BT258" r:id="rId512"/>
    <hyperlink ref="BK259" r:id="rId513"/>
    <hyperlink ref="BT259" r:id="rId514"/>
    <hyperlink ref="BK260" r:id="rId515"/>
    <hyperlink ref="BT260" r:id="rId516"/>
    <hyperlink ref="BK261" r:id="rId517"/>
    <hyperlink ref="BT261" r:id="rId518"/>
    <hyperlink ref="BK262" r:id="rId519"/>
    <hyperlink ref="BT262" r:id="rId520"/>
    <hyperlink ref="BK263" r:id="rId521"/>
    <hyperlink ref="BT263" r:id="rId522"/>
    <hyperlink ref="BK264" r:id="rId523"/>
    <hyperlink ref="BT264" r:id="rId524"/>
    <hyperlink ref="BK265" r:id="rId525"/>
    <hyperlink ref="BT265" r:id="rId526"/>
    <hyperlink ref="BK266" r:id="rId527"/>
    <hyperlink ref="BT266" r:id="rId528"/>
    <hyperlink ref="BK267" r:id="rId529"/>
    <hyperlink ref="BT267" r:id="rId530"/>
    <hyperlink ref="BK268" r:id="rId531"/>
    <hyperlink ref="BT268" r:id="rId532"/>
    <hyperlink ref="BK269" r:id="rId533"/>
    <hyperlink ref="BT269" r:id="rId534"/>
    <hyperlink ref="BK270" r:id="rId535"/>
    <hyperlink ref="BT270" r:id="rId536"/>
    <hyperlink ref="BK271" r:id="rId537"/>
    <hyperlink ref="BT271" r:id="rId538"/>
    <hyperlink ref="BK272" r:id="rId539"/>
    <hyperlink ref="BT272" r:id="rId540"/>
    <hyperlink ref="BK273" r:id="rId541"/>
    <hyperlink ref="BT273" r:id="rId542"/>
    <hyperlink ref="BK274" r:id="rId543"/>
    <hyperlink ref="BT274" r:id="rId544"/>
    <hyperlink ref="BK275" r:id="rId545"/>
    <hyperlink ref="BT275" r:id="rId546"/>
    <hyperlink ref="BK276" r:id="rId547"/>
    <hyperlink ref="BT276" r:id="rId548"/>
    <hyperlink ref="BK277" r:id="rId549"/>
    <hyperlink ref="BT277" r:id="rId550"/>
    <hyperlink ref="BK278" r:id="rId551"/>
    <hyperlink ref="BT278" r:id="rId552"/>
    <hyperlink ref="BK279" r:id="rId553"/>
    <hyperlink ref="BT279" r:id="rId554"/>
    <hyperlink ref="BK280" r:id="rId555"/>
    <hyperlink ref="BT280" r:id="rId556"/>
    <hyperlink ref="BK281" r:id="rId557"/>
    <hyperlink ref="BT281" r:id="rId558"/>
    <hyperlink ref="BK282" r:id="rId559"/>
    <hyperlink ref="BT282" r:id="rId560"/>
    <hyperlink ref="BK283" r:id="rId561"/>
    <hyperlink ref="BT283" r:id="rId562"/>
    <hyperlink ref="BK284" r:id="rId563"/>
    <hyperlink ref="BT284" r:id="rId564"/>
    <hyperlink ref="BK285" r:id="rId565"/>
    <hyperlink ref="BT285" r:id="rId566"/>
    <hyperlink ref="BK286" r:id="rId567"/>
    <hyperlink ref="BT286" r:id="rId568"/>
    <hyperlink ref="BK287" r:id="rId569"/>
    <hyperlink ref="BT287" r:id="rId570"/>
    <hyperlink ref="BK288" r:id="rId571"/>
    <hyperlink ref="BT288" r:id="rId572"/>
    <hyperlink ref="BK289" r:id="rId573"/>
    <hyperlink ref="BT289" r:id="rId574"/>
    <hyperlink ref="BK290" r:id="rId575"/>
    <hyperlink ref="BT290" r:id="rId576"/>
    <hyperlink ref="BK291" r:id="rId577"/>
    <hyperlink ref="BT291" r:id="rId578"/>
    <hyperlink ref="BK292" r:id="rId579"/>
    <hyperlink ref="BT292" r:id="rId580"/>
    <hyperlink ref="BK293" r:id="rId581"/>
    <hyperlink ref="BT293" r:id="rId582"/>
    <hyperlink ref="BK294" r:id="rId583"/>
    <hyperlink ref="BT294" r:id="rId584"/>
    <hyperlink ref="BK295" r:id="rId585"/>
    <hyperlink ref="BT295" r:id="rId586"/>
    <hyperlink ref="BK296" r:id="rId587"/>
    <hyperlink ref="BT296" r:id="rId588"/>
    <hyperlink ref="BK297" r:id="rId589"/>
    <hyperlink ref="BT297" r:id="rId590"/>
    <hyperlink ref="BK298" r:id="rId591"/>
    <hyperlink ref="BT298" r:id="rId592"/>
    <hyperlink ref="BK299" r:id="rId593"/>
    <hyperlink ref="BT299" r:id="rId594"/>
    <hyperlink ref="BK300" r:id="rId595"/>
    <hyperlink ref="BT300" r:id="rId596"/>
    <hyperlink ref="BK301" r:id="rId597"/>
    <hyperlink ref="BT301" r:id="rId598"/>
    <hyperlink ref="BK302" r:id="rId599"/>
    <hyperlink ref="BT302" r:id="rId600"/>
    <hyperlink ref="BK303" r:id="rId601"/>
    <hyperlink ref="BT303" r:id="rId602"/>
    <hyperlink ref="BK304" r:id="rId603"/>
    <hyperlink ref="BT304" r:id="rId604"/>
    <hyperlink ref="BK305" r:id="rId605"/>
    <hyperlink ref="BT305" r:id="rId606"/>
    <hyperlink ref="BK306" r:id="rId607"/>
    <hyperlink ref="BT306" r:id="rId608"/>
    <hyperlink ref="BK307" r:id="rId609"/>
    <hyperlink ref="BT307" r:id="rId610"/>
    <hyperlink ref="BK308" r:id="rId611"/>
    <hyperlink ref="BT308" r:id="rId612"/>
    <hyperlink ref="BK309" r:id="rId613"/>
    <hyperlink ref="BT309" r:id="rId614"/>
    <hyperlink ref="BK310" r:id="rId615"/>
    <hyperlink ref="BT310" r:id="rId616"/>
    <hyperlink ref="BK311" r:id="rId617"/>
    <hyperlink ref="BT311" r:id="rId618"/>
    <hyperlink ref="BK312" r:id="rId619"/>
    <hyperlink ref="BT312" r:id="rId620"/>
    <hyperlink ref="BK313" r:id="rId621"/>
    <hyperlink ref="BT313" r:id="rId622"/>
    <hyperlink ref="BK314" r:id="rId623"/>
    <hyperlink ref="BT314" r:id="rId624"/>
    <hyperlink ref="BK315" r:id="rId625"/>
    <hyperlink ref="BT315" r:id="rId626"/>
    <hyperlink ref="BK316" r:id="rId627"/>
    <hyperlink ref="BT316" r:id="rId628"/>
    <hyperlink ref="BK317" r:id="rId629"/>
    <hyperlink ref="BT317" r:id="rId630"/>
    <hyperlink ref="BK318" r:id="rId631"/>
    <hyperlink ref="BT318" r:id="rId632"/>
    <hyperlink ref="BK319" r:id="rId633"/>
    <hyperlink ref="BT319" r:id="rId634"/>
    <hyperlink ref="BK320" r:id="rId635"/>
    <hyperlink ref="BT320" r:id="rId636"/>
    <hyperlink ref="BK321" r:id="rId637"/>
    <hyperlink ref="BT321" r:id="rId638"/>
    <hyperlink ref="BK322" r:id="rId639"/>
    <hyperlink ref="BT322" r:id="rId640"/>
    <hyperlink ref="BK323" r:id="rId641"/>
    <hyperlink ref="BT323" r:id="rId642"/>
    <hyperlink ref="BK324" r:id="rId643"/>
    <hyperlink ref="BT324" r:id="rId644"/>
    <hyperlink ref="BK325" r:id="rId645"/>
    <hyperlink ref="BT325" r:id="rId646"/>
    <hyperlink ref="BK326" r:id="rId647"/>
    <hyperlink ref="BT326" r:id="rId648"/>
    <hyperlink ref="BK327" r:id="rId649"/>
    <hyperlink ref="BT327" r:id="rId650"/>
    <hyperlink ref="BK328" r:id="rId651"/>
    <hyperlink ref="BT328" r:id="rId652"/>
    <hyperlink ref="BK329" r:id="rId653"/>
    <hyperlink ref="BT329" r:id="rId654"/>
    <hyperlink ref="BK330" r:id="rId655"/>
    <hyperlink ref="BT330" r:id="rId656"/>
    <hyperlink ref="BK331" r:id="rId657"/>
    <hyperlink ref="BT331" r:id="rId658"/>
    <hyperlink ref="BK332" r:id="rId659"/>
    <hyperlink ref="BT332" r:id="rId660"/>
    <hyperlink ref="BK333" r:id="rId661"/>
    <hyperlink ref="BT333" r:id="rId662"/>
    <hyperlink ref="BK334" r:id="rId663"/>
    <hyperlink ref="BT334" r:id="rId664"/>
    <hyperlink ref="BK335" r:id="rId665"/>
    <hyperlink ref="BT335" r:id="rId666"/>
    <hyperlink ref="BK336" r:id="rId667"/>
    <hyperlink ref="BT336" r:id="rId668"/>
    <hyperlink ref="BK337" r:id="rId669"/>
    <hyperlink ref="BT337" r:id="rId670"/>
    <hyperlink ref="BK338" r:id="rId671"/>
    <hyperlink ref="BT338" r:id="rId672"/>
    <hyperlink ref="BK339" r:id="rId673"/>
    <hyperlink ref="BT339" r:id="rId674"/>
    <hyperlink ref="BK340" r:id="rId675"/>
    <hyperlink ref="BT340" r:id="rId676"/>
    <hyperlink ref="BK341" r:id="rId677"/>
    <hyperlink ref="BT341" r:id="rId678"/>
    <hyperlink ref="BK342" r:id="rId679"/>
    <hyperlink ref="BT342" r:id="rId680"/>
    <hyperlink ref="BK343" r:id="rId681"/>
    <hyperlink ref="BT343" r:id="rId682"/>
    <hyperlink ref="BK344" r:id="rId683"/>
    <hyperlink ref="BT344" r:id="rId684"/>
    <hyperlink ref="BK345" r:id="rId685"/>
    <hyperlink ref="BT345" r:id="rId686"/>
    <hyperlink ref="BK346" r:id="rId687"/>
    <hyperlink ref="BT346" r:id="rId688"/>
    <hyperlink ref="BK347" r:id="rId689"/>
    <hyperlink ref="BT347" r:id="rId690"/>
    <hyperlink ref="BK348" r:id="rId691"/>
    <hyperlink ref="BT348" r:id="rId692"/>
    <hyperlink ref="BK349" r:id="rId693"/>
    <hyperlink ref="BT349" r:id="rId694"/>
    <hyperlink ref="BK350" r:id="rId695"/>
    <hyperlink ref="BT350" r:id="rId696"/>
    <hyperlink ref="BK351" r:id="rId697"/>
    <hyperlink ref="BT351" r:id="rId698"/>
    <hyperlink ref="BK352" r:id="rId699"/>
    <hyperlink ref="BT352" r:id="rId700"/>
    <hyperlink ref="BK353" r:id="rId701"/>
    <hyperlink ref="BT353" r:id="rId702"/>
    <hyperlink ref="BK354" r:id="rId703"/>
    <hyperlink ref="BT354" r:id="rId704"/>
    <hyperlink ref="BK355" r:id="rId705"/>
    <hyperlink ref="BT355" r:id="rId706"/>
    <hyperlink ref="BK356" r:id="rId707"/>
    <hyperlink ref="BT356" r:id="rId708"/>
    <hyperlink ref="BK357" r:id="rId709"/>
    <hyperlink ref="BT357" r:id="rId710"/>
    <hyperlink ref="BK358" r:id="rId711"/>
    <hyperlink ref="BT358" r:id="rId712"/>
    <hyperlink ref="BK359" r:id="rId713"/>
    <hyperlink ref="BT359" r:id="rId714"/>
    <hyperlink ref="BK360" r:id="rId715"/>
    <hyperlink ref="BT360" r:id="rId716"/>
    <hyperlink ref="BK361" r:id="rId717"/>
    <hyperlink ref="BT361" r:id="rId718"/>
    <hyperlink ref="BK362" r:id="rId719"/>
    <hyperlink ref="BT362" r:id="rId720"/>
    <hyperlink ref="BK363" r:id="rId721"/>
    <hyperlink ref="BT363" r:id="rId722"/>
    <hyperlink ref="BK364" r:id="rId723"/>
    <hyperlink ref="BT364" r:id="rId724"/>
    <hyperlink ref="BK365" r:id="rId725"/>
    <hyperlink ref="BT365" r:id="rId726"/>
    <hyperlink ref="BK366" r:id="rId727"/>
    <hyperlink ref="BT366" r:id="rId728"/>
    <hyperlink ref="BK367" r:id="rId729"/>
    <hyperlink ref="BT367" r:id="rId730"/>
    <hyperlink ref="BK368" r:id="rId731"/>
    <hyperlink ref="BT368" r:id="rId732"/>
    <hyperlink ref="BK369" r:id="rId733"/>
    <hyperlink ref="BT369" r:id="rId734"/>
    <hyperlink ref="BK370" r:id="rId735"/>
    <hyperlink ref="BT370" r:id="rId736"/>
    <hyperlink ref="BK371" r:id="rId737"/>
    <hyperlink ref="BT371" r:id="rId738"/>
    <hyperlink ref="BK372" r:id="rId739"/>
    <hyperlink ref="BT372" r:id="rId740"/>
    <hyperlink ref="BK373" r:id="rId741"/>
    <hyperlink ref="BT373" r:id="rId742"/>
    <hyperlink ref="BK374" r:id="rId743"/>
    <hyperlink ref="BT374" r:id="rId744"/>
    <hyperlink ref="BK375" r:id="rId745"/>
    <hyperlink ref="BT375" r:id="rId746"/>
    <hyperlink ref="BK376" r:id="rId747"/>
    <hyperlink ref="BT376" r:id="rId748"/>
    <hyperlink ref="BK377" r:id="rId749"/>
    <hyperlink ref="BT377" r:id="rId750"/>
    <hyperlink ref="BK378" r:id="rId751"/>
    <hyperlink ref="BT378" r:id="rId752"/>
    <hyperlink ref="BK379" r:id="rId753"/>
    <hyperlink ref="BT379" r:id="rId754"/>
    <hyperlink ref="BK380" r:id="rId755"/>
    <hyperlink ref="BT380" r:id="rId756"/>
    <hyperlink ref="BK381" r:id="rId757"/>
    <hyperlink ref="BT381" r:id="rId758"/>
    <hyperlink ref="BT382" r:id="rId759"/>
    <hyperlink ref="BK383" r:id="rId760"/>
    <hyperlink ref="BT383" r:id="rId761"/>
    <hyperlink ref="BK384" r:id="rId762"/>
    <hyperlink ref="BT384" r:id="rId763"/>
    <hyperlink ref="BK385" r:id="rId764"/>
    <hyperlink ref="BT385" r:id="rId765"/>
    <hyperlink ref="BK386" r:id="rId766"/>
    <hyperlink ref="BT386" r:id="rId767"/>
    <hyperlink ref="BK387" r:id="rId768"/>
    <hyperlink ref="BT387" r:id="rId769"/>
    <hyperlink ref="BK388" r:id="rId770"/>
    <hyperlink ref="BT388" r:id="rId771"/>
    <hyperlink ref="BK389" r:id="rId772"/>
    <hyperlink ref="BT389" r:id="rId773"/>
    <hyperlink ref="BK390" r:id="rId774"/>
    <hyperlink ref="BT390" r:id="rId775"/>
    <hyperlink ref="BK391" r:id="rId776"/>
    <hyperlink ref="BT391" r:id="rId777"/>
    <hyperlink ref="BK392" r:id="rId778"/>
    <hyperlink ref="BT392" r:id="rId779"/>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2026-08-26T14:30:21Z</dcterms:created>
  <dc:creator>Apache POI</dc:creator>
</cp:coreProperties>
</file>
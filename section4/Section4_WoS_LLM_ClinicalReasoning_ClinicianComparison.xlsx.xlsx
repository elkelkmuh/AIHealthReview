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<sst xmlns="http://schemas.openxmlformats.org/spreadsheetml/2006/main" count="15886" uniqueCount="4989">
  <si>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</si>
  <si>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</si>
  <si>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</si>
  <si>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</si>
  <si>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</si>
  <si>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</si>
  <si>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</si>
  <si>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</si>
  <si>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</si>
  <si>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</si>
  <si>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</si>
  <si>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</si>
  <si>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</si>
  <si>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</si>
  <si>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</si>
  <si>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</si>
  <si>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</si>
  <si>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</si>
  <si>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</si>
  <si>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</si>
  <si>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</si>
  <si>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</si>
  <si>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</si>
  <si>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</si>
  <si>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</si>
  <si>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</si>
  <si>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</si>
  <si>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</si>
  <si>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</si>
  <si>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</si>
  <si>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</si>
  <si>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</si>
  <si>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</si>
  <si>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</si>
  <si>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</si>
  <si>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</si>
  <si>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</si>
  <si>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</si>
  <si>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</si>
  <si>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</si>
  <si>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</si>
  <si>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</si>
  <si>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</si>
  <si>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</si>
  <si>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</si>
  <si>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</si>
  <si>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</si>
  <si>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</si>
  <si>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</si>
  <si>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</si>
  <si>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</si>
  <si>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</si>
  <si>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</si>
  <si>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</si>
  <si>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</si>
  <si>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</si>
  <si>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</si>
  <si>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</si>
  <si>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</si>
  <si>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</si>
  <si>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</si>
  <si>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</si>
  <si>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</si>
  <si>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</si>
  <si>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</si>
  <si>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</si>
  <si>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</si>
  <si>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</si>
  <si>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</si>
  <si>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</si>
  <si>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</si>
  <si>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</si>
  <si>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</si>
  <si>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</si>
  <si>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</si>
  <si>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</si>
  <si>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</si>
  <si>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</si>
  <si>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2</t>
  </si>
  <si>
    <t>Patel, A; Ruoff, C; Helgeson, SA; Carvalho, DZ; Castillo, PR; Cheung, J</t>
  </si>
  <si>
    <t>Background: Artificial intelligence (AI), particularly large language models (LLMs) are increasingly being explored for diagnostic capabilities in medicine. Leveraging LLMs within clinical systems may augment clinicians' diagnostic reasoning. The diagnostic effectiveness of LLMs in sleep medicine remains unevaluated against expert performance in clinical case scenarios. Objective: To compare the diagnostic accuracy of three widely used LLMs and experienced sleep physicians on real-world clinical vignettes. Methods: Using sixteen diverse sleep disorder vignettes from the AASM Case Book (2019), each was independently presented to three LLMs (ChatGPT-4, Gemini 2.0, DeepSeek) and three board-certified sleep physicians. Differential diagnoses were compared to AASM reference lists (mean % matches), and final diagnoses were scored against the AASM final diagnosis (3-point Likert: 0 = No match, 1 = Partial match, 2 = Full match). Results: Analysis of differential diagnoses showed similar mean agreement percentages for ChatGPT-4 (76.7 %), Gemini 2.0 (77.7 %), DeepSeek (70.7 %), and physicians' average (72.9 %). Repeated measures ANOVA indicated no statistically significant difference in differential diagnostic accuracy between LLMs and physicians (p = 0.839). For final diagnoses, all three LLMs achieved an identical average concordance score (87.5 %), falling within the performance range of experienced physicians (81.3 %-96.9 %), indicating LLM diagnostic proficiency was comparable to experts on these case vignettes. Non-parametric Friedman testing showed no statistically significant difference among the individual entities (p = 0.602). Paired t-tests comparing average final diagnosis scores also showed no significant differences (p = 0.606). Conclusions: LLMs showed diagnostic performance comparable to experienced sleep clinicians, suggesting their potential as supplementary tools. Future research should explore broader applications and integration.</t>
  </si>
  <si>
    <t>Patel, Anshum; Ruoff, Chad; Helgeson, Scott A.; Carvalho, Diego Z.; Castillo, Pablo R.; Cheung, Joseph</t>
  </si>
  <si>
    <t/>
  </si>
  <si>
    <t>Science Citation Index Expanded (SCI-EXPANDED)</t>
  </si>
  <si>
    <t>Cheung, J (corresponding author), Mayo Clin, Div Pulm Allergy &amp; Sleep Med, 4500 San Pablo Rd, Jacksonville, FL 32224 USA.</t>
  </si>
  <si>
    <t>Cheung.Joseph@mayo.edu</t>
  </si>
  <si>
    <t>[Patel, Anshum; Helgeson, Scott A.; Castillo, Pablo R.; Cheung, Joseph] Mayo Clin, Div Pulm Allergy &amp; Sleep Med, Jacksonville, FL USA; [Ruoff, Chad] Mayo Clin, Div Pulm &amp; Sleep Med, Scottsdale, AZ USA; [Helgeson, Scott A.] Mayo Clin, Div Crit Care Med, Jacksonville, FL USA; [Carvalho, Diego Z.] Mayo Clin, Div Pulm &amp; Crit Care Med, Rochester, MN USA</t>
  </si>
  <si>
    <t>Mayo Clinic; Mayo Clinic; Mayo Clinic Phoenix; Mayo Clinic; Mayo Clinic</t>
  </si>
  <si>
    <t>J</t>
  </si>
  <si>
    <t>Diagnostic performance of Large Language Models (LLMs) compared with physicians in sleep medicine</t>
  </si>
  <si>
    <t>SLEEP MEDICINE</t>
  </si>
  <si>
    <t>English</t>
  </si>
  <si>
    <t>Article</t>
  </si>
  <si>
    <t>Artificial intelligence; ChatGPT-4; Clinical Decision Support (CDS); DeepSeek; Gemini; Large language models; Sleep medicine</t>
  </si>
  <si>
    <t>ARTIFICIAL-INTELLIGENCE</t>
  </si>
  <si>
    <t>Castillo, Pablo/R-4834-2019; Helgeson, Scott/PHN-1556-2026; Carvalho, Diego/AGK-5881-2022</t>
  </si>
  <si>
    <t>Ruoff, Chad/0000-0002-1599-0858; Cheung, Joseph/0000-0002-1222-7603</t>
  </si>
  <si>
    <t>35</t>
  </si>
  <si>
    <t>7</t>
  </si>
  <si>
    <t>ELSEVIER</t>
  </si>
  <si>
    <t>AMSTERDAM</t>
  </si>
  <si>
    <t>RADARWEG 29, 1043 NX AMSTERDAM, NETHERLANDS</t>
  </si>
  <si>
    <t>1389-9457</t>
  </si>
  <si>
    <t>1878-5506</t>
  </si>
  <si>
    <t>SLEEP MED</t>
  </si>
  <si>
    <t>Sleep Med.</t>
  </si>
  <si>
    <t>OCT 2025</t>
  </si>
  <si>
    <t>2025</t>
  </si>
  <si>
    <t>134</t>
  </si>
  <si>
    <t>106677</t>
  </si>
  <si>
    <t>10.1016/j.sleep.2025.106677</t>
  </si>
  <si>
    <t>http://dx.doi.org/10.1016/j.sleep.2025.106677</t>
  </si>
  <si>
    <t>JUL 2025</t>
  </si>
  <si>
    <t>Clinical Neurology</t>
  </si>
  <si>
    <t>Neurosciences &amp; Neurology</t>
  </si>
  <si>
    <t>6LS1H</t>
  </si>
  <si>
    <t>40684750</t>
  </si>
  <si>
    <t>WOS:001556345500002</t>
  </si>
  <si>
    <t>View Record in Web of Science</t>
  </si>
  <si>
    <t>2026-08-26</t>
  </si>
  <si>
    <t>Jung, Y; Sohn, MK; Choi, JY; Cho, KH</t>
  </si>
  <si>
    <t>Introduction/Aims Electrodiagnostic (EDX) studies comprise nerve conduction studies (NCS) and needle electromyography (EMG). However, EDX reporting is heterogeneous across laboratories and often requires time-consuming documentation. We aimed to evaluate a hybrid rule-based and constrained large language model (LLM) system that drafts EDX reports from structured EDX measurements.Methods We retrospectively analyzed EDX reports from two institutions. The system generated a structured Summary (standardized abnormal findings derived from EDX measurements using laboratory-specific cutoffs), and then used a label-constrained LLM to draft a diagnostic Interpretation (a clinician-facing diagnostic conclusion) by selecting from a predefined diagnostic-label inventory. We evaluated agreement with clinician diagnostic interpretation using a Coverage-Localization Index (CLI), which summarizes whether the same diagnostic labels were selected (coverage) and whether the site/level localization matched (localization).Results Among 500 screened examinations, 332 reports were included (241 primary-care; 91 tertiary-care). Overall CLI agreement between system and clinician diagnostic interpretation was high (mean total 96.7%, 95% CI 95.1-98.1), with lower agreement in more complex examinations.Discussion The rule-based extractor captured all rule-defined abnormal findings, and the constrained LLM drafted diagnostic interpretations that showed high agreement with clinicians, generating standardized draft reports. Only abnormal, in-scope EDX reports were included, which limits direct inference about performance in an unselected clinical stream. Future work should validate the approach on consecutive routine EDX reports, including normal and diagnostically ambiguous studies, and quantify workflow impact such as editing time and clinician acceptability.</t>
  </si>
  <si>
    <t>Jung, Yesung; Sohn, Min Kyun; Choi, Ja Young; Cho, Kang Hee</t>
  </si>
  <si>
    <t>Jung, Y; Cho, KH (corresponding author), Chungnam Natl Univ Hosp, Dept Rehabil Med, Daejeon, South Korea.; Cho, KH (corresponding author), Chungnam Natl Univ, Coll Med, Dept Rehabil Med, Daejeon, South Korea.</t>
  </si>
  <si>
    <t>jnw0719@naver.com; khcho@cnu.ac.kr</t>
  </si>
  <si>
    <t>[Jung, Yesung; Sohn, Min Kyun; Choi, Ja Young; Cho, Kang Hee] Chungnam Natl Univ Hosp, Dept Rehabil Med, Daejeon, South Korea; [Sohn, Min Kyun; Cho, Kang Hee] Chungnam Natl Univ, Coll Med, Dept Rehabil Med, Daejeon, South Korea</t>
  </si>
  <si>
    <t>Chungnam National University; Chungnam National University Hospital; Chungnam National University; Chungnam National University Hospital</t>
  </si>
  <si>
    <t>A Hybrid Rule-Based and Large Language Model Artificial Intelligence Systems for Electrodiagnostic Reporting: Two-Center Retrospective Evaluation</t>
  </si>
  <si>
    <t>MUSCLE &amp; NERVE</t>
  </si>
  <si>
    <t>electrodiagnosis; electromyography; large language model; nerve conduction studies; report generation</t>
  </si>
  <si>
    <t>DIAGNOSIS</t>
  </si>
  <si>
    <t>Jung, Yesung/0009-0006-2009-2135</t>
  </si>
  <si>
    <t>14</t>
  </si>
  <si>
    <t>WILEY</t>
  </si>
  <si>
    <t>HOBOKEN</t>
  </si>
  <si>
    <t>111 RIVER ST, HOBOKEN 07030-5774, NJ USA</t>
  </si>
  <si>
    <t>0148-639X</t>
  </si>
  <si>
    <t>1097-4598</t>
  </si>
  <si>
    <t>MUSCLE NERVE</t>
  </si>
  <si>
    <t>Muscle Nerve</t>
  </si>
  <si>
    <t>AUG 2026</t>
  </si>
  <si>
    <t>2026</t>
  </si>
  <si>
    <t>74</t>
  </si>
  <si>
    <t>390</t>
  </si>
  <si>
    <t>396</t>
  </si>
  <si>
    <t>10.1002/mus.70280</t>
  </si>
  <si>
    <t>http://dx.doi.org/10.1002/mus.70280</t>
  </si>
  <si>
    <t>JUN 2026</t>
  </si>
  <si>
    <t>Clinical Neurology; Neurosciences</t>
  </si>
  <si>
    <t>KO9CP</t>
  </si>
  <si>
    <t>42230319</t>
  </si>
  <si>
    <t>WOS:001781860400001</t>
  </si>
  <si>
    <t>hybrid; Green Submitted</t>
  </si>
  <si>
    <t>Mijares, J; Jairath, N; Zhang, AD; Que, SKT</t>
  </si>
  <si>
    <t>Background: Artificial intelligence (AI) has shown significant promise in augmenting diagnostic capabilities across medical specialties. Recent advancements in generative AI allow for synthesis and interpretation of complex clinical data including imaging and patient history to assess disease risk. Objective: To evaluate the diagnostic performance of a dermatology-trained multimodal large language model (DermFlow, Delaware, USA) in assessing malignancy risk of pigmented skin lesions. Methods: This retrospective study utilized data from 59 patients with 68 biopsy-proven pigmented skin lesions seen at Indiana University clinics from February 2023 to May 2025. De-identified patient histories and clinical images were input into DermFlow, and clinical images only were input into Claude Sonnet 4 (Claude) to generate differential diagnoses. Clinician pre-operative diagnoses were extracted from the clinical note. Assessments were compared to histopathologic diagnoses (gold standard). Results: Among 68 clinically concerning pigmented lesions, DermFlow achieved 47.1% top diagnosis accuracy and 92.6% any-diagnosis accuracy, with F1 = 0.948, sensitivity 93.9%, and specificity 89.5% (balanced accuracy 91.7%). Claude had 8.8% top diagnosis and 73.5% any-diagnosis accuracy, F1 = 0.816, sensitivity 81.6%, specificity 52.6% (balanced accuracy 67.1%). Clinicians achieved 38.2% top diagnosis and 72.1% any-diagnosis accuracy, F1 = 0.776, sensitivity 67.3%, specificity 84.2% (balanced accuracy 75.8%). DermFlow recommended biopsy in 95.6% of cases vs. 82.4% for Claude, with multiple pairwise differences favoring DermFlow (p &lt; 0.05). Conclusions: DermFlow demonstrated comparable or superior diagnostic performance to clinicians and superior performance to Claude in evaluating pigmented skin lesions. Although additional data must be gathered to further validate the model in real clinical settings, these initial findings suggest potential utility for dermatology-trained AI models in clinical practice, particularly in settings with limited dermatologist availability.</t>
  </si>
  <si>
    <t>Mijares, Joshua; Jairath, Neil; Zhang, Andrew; Que, Syril Keena T.</t>
  </si>
  <si>
    <t>Mijares, J (corresponding author), Indiana Univ Sch Med, Dept Dermatol, Indianapolis, IN 46202 USA.</t>
  </si>
  <si>
    <t>josmijar@iu.edu</t>
  </si>
  <si>
    <t>Short-Term Training Program in Biomedical Sciences Grant; National Institutes of Health [T35 HL 110854]</t>
  </si>
  <si>
    <t>Short-Term Training Program in Biomedical Sciences Grant; National Institutes of Health (United States Department of Health &amp; Human Services, National Institutes of Health (NIH) - USA)</t>
  </si>
  <si>
    <t>This project was funded, in part, with support from the Short-Term Training Program in Biomedical Sciences Grant funded, in part, by T35 HL 110854 from the National Institutes of Health. The content is solely the responsibility of the authors and does not necessarily represent the official views of the National Institutes of Health.</t>
  </si>
  <si>
    <t>[Mijares, Joshua; Jairath, Neil; Zhang, Andrew; Que, Syril Keena T.] Indiana Univ Sch Med, Dept Dermatol, Indianapolis, IN 46202 USA; [Jairath, Neil] NYU, Grossman Sch Med, Ronald O Perelman Dept Dermatol, New York, NY 10016 USA</t>
  </si>
  <si>
    <t>Indiana University System; Indiana University Bloomington; New York University</t>
  </si>
  <si>
    <t>Validation of a Dermatology-Focused Multimodal Large Language Model in Classification of Pigmented Skin Lesions</t>
  </si>
  <si>
    <t>DIAGNOSTICS</t>
  </si>
  <si>
    <t>artificial intelligence; dermatology; melanoma; skin cancer; machine learning; multimodal large language model</t>
  </si>
  <si>
    <t>CONVOLUTIONAL NEURAL-NETWORK; DERMOSCOPY; AI</t>
  </si>
  <si>
    <t>Mijares, Joshua/0009-0001-1304-9722</t>
  </si>
  <si>
    <t>37</t>
  </si>
  <si>
    <t>4</t>
  </si>
  <si>
    <t>MDPI</t>
  </si>
  <si>
    <t>BASEL</t>
  </si>
  <si>
    <t>MDPI AG, Grosspeteranlage 5, CH-4052 BASEL, SWITZERLAND</t>
  </si>
  <si>
    <t>2075-4418</t>
  </si>
  <si>
    <t>Diagnostics</t>
  </si>
  <si>
    <t>NOV 6 2025</t>
  </si>
  <si>
    <t>15</t>
  </si>
  <si>
    <t>21</t>
  </si>
  <si>
    <t>2808</t>
  </si>
  <si>
    <t>10.3390/diagnostics15212808</t>
  </si>
  <si>
    <t>http://dx.doi.org/10.3390/diagnostics15212808</t>
  </si>
  <si>
    <t>16</t>
  </si>
  <si>
    <t>Medicine, General &amp; Internal</t>
  </si>
  <si>
    <t>General &amp; Internal Medicine</t>
  </si>
  <si>
    <t>9UN8C</t>
  </si>
  <si>
    <t>41226100</t>
  </si>
  <si>
    <t>WOS:001615360000001</t>
  </si>
  <si>
    <t>gold; Green Submitted</t>
  </si>
  <si>
    <t>Li, TS; Ma, ZQ; Wang, BD; Fan, N; Wang, AB; Zang, L</t>
  </si>
  <si>
    <t>Background: Orthopedic-related rare diseases are difficult to diagnose because of their low prevalence, heterogeneous phenotypes, and fragmented knowledge. Large language models (LLMs) can serve as dynamic knowledge-support tools, but their diagnostic performance and effect on physicians' decision-making remain unclear. Objective: This study aims to compare the diagnostic performance of advanced LLMs for orthopedic-related rare diseases and to evaluate the effect of a 2-stage LLM-assisted diagnostic workflow on physicians' diagnostic accuracy and subjective acceptance. Methods: We selected 40 orthopedic-related rare diseases from the Chinese Rare Disease Catalog. A total of 4 general-purpose LLMs each generated 1 primary diagnosis and 5 differential diagnoses per case. Diagnostic accuracy, defined as a correct primary diagnosis, was compared using the Cochran Q test and pairwise McNemar tests with Bonferroni correction. A representative LLM was integrated into a 2-stage workflow involving 27 intermediate and 15 senior orthopedic physicians. Physicians first diagnosed all cases independently and then rediagnosed the same cases after reviewing nonauthoritative LLM suggestions. Physician diagnostic data were primarily analyzed using mixed-effects logistic regression at the individual-diagnosis level. Case-level group accuracy was additionally assessed using &gt;50% and &gt;= 2/3 accurate-physician thresholds. After both rounds, physicians completed an 8-item Likert-scale questionnaire assessing subjective acceptance and workflow perceptions. Results: Claude Sonnet 4.5, ChatGPT-5.0, and Gemini 2.5 Pro each achieved 90% (36/40) primary-diagnosis accuracy, whereas DeepSeek-V3.2 achieved 67.5% (27/40; Cochran Q P&lt;.001). Before LLM assistance, mean physician-level accuracy was 42.22% for intermediate physicians and 58.67% for senior physicians; after assistance, it increased to 68.80% and 83.33%, respectively. In the primary mixed-effects logistic regression analysis, physician seniority group and LLM assistance stage were significantly associated with diagnostic correctness (both P&lt;.001), whereas the group-by-stage interaction was not significant (P=.10). Secondary case-level analyses using the &gt;50% threshold showed improvement from 40% (16/40) to 67.5% (27/40) for intermediate physicians and from 57.5% (23/40) to 82.5% (33/40) for senior physicians, with similar findings using the &gt;= 2/3 threshold. Cases accurately diagnosed by all 3 agents increased from 16 to 27. The questionnaire showed high internal consistency (Cronbach alpha=0.902) and generally positive attitudes, with no significant differences between physician groups (P=.11 to P=.78). Conclusions: LLMs achieved high diagnostic accuracy for orthopedic-related rare diseases. In the 2-stage LLM-assisted workflow, LLM assistance was associated with higher diagnostic correctness in both physician groups, although seniority-related differences in the magnitude of benefit require evaluation in larger studies. Senior physicians retained higher diagnostic correctness than intermediate physicians. Secondary case-level analyses suggested attenuation of group-level gaps in case-recognition patterns. Physicians reported broadly positive workflow perceptions. Given the same-day repeated-case design and potential short-term recall bias, these exploratory findings should be interpreted cautiously and warrant prospective randomized, crossover, washout-period, independent-case, or real-world evaluations of LLM-assisted diagnostic workflows in orthopedics.</t>
  </si>
  <si>
    <t>Li, Tusheng; Ma, Ziqian; Wang, Baodong; Fan, Ning; Wang, Aobo; Zang, Lei</t>
  </si>
  <si>
    <t>Zang, L (corresponding author), Capital Med Univ, Beijing Chao Yang Hosp, 5 JingYuan Rd, Beijing 100043, Peoples R China.</t>
  </si>
  <si>
    <t>zanglei@ccmu.edu.cn</t>
  </si>
  <si>
    <t>[Li, Tusheng; Ma, Ziqian; Wang, Baodong; Fan, Ning; Wang, Aobo; Zang, Lei] Capital Med Univ, Beijing Chao Yang Hosp, 5 JingYuan Rd, Beijing 100043, Peoples R China</t>
  </si>
  <si>
    <t>Capital Medical University</t>
  </si>
  <si>
    <t>Diagnostic Performance of Large Language Models for Orthopedic-Related Rare Diseases and Their Impact on Physicians' Diagnostic Accuracy: 2-Stage Comparative Evaluation Study Based on the Chinese Rare Disease Catalog</t>
  </si>
  <si>
    <t>JOURNAL OF MEDICAL INTERNET RESEARCH</t>
  </si>
  <si>
    <t>clinical decision support systems; diagnostic accuracy; large language model; LLM; orthopedics; rare diseases</t>
  </si>
  <si>
    <t>INFORMATION-TECHNOLOGY; USER ACCEPTANCE; LLMS</t>
  </si>
  <si>
    <t>50</t>
  </si>
  <si>
    <t>JMIR PUBLICATIONS, INC</t>
  </si>
  <si>
    <t>TORONTO</t>
  </si>
  <si>
    <t>130 QUEENS QUAY East, Unit 1100, TORONTO, ON M5A 0P6, CANADA</t>
  </si>
  <si>
    <t>1439-4456</t>
  </si>
  <si>
    <t>1438-8871</t>
  </si>
  <si>
    <t>J MED INTERNET RES</t>
  </si>
  <si>
    <t>J. Med. Internet Res.</t>
  </si>
  <si>
    <t>JUL 24 2026</t>
  </si>
  <si>
    <t>28</t>
  </si>
  <si>
    <t>e92931</t>
  </si>
  <si>
    <t>10.2196/92931</t>
  </si>
  <si>
    <t>http://dx.doi.org/10.2196/92931</t>
  </si>
  <si>
    <t>20</t>
  </si>
  <si>
    <t>Health Care Sciences &amp; Services; Medical Informatics</t>
  </si>
  <si>
    <t>LZ9OO</t>
  </si>
  <si>
    <t>42497411</t>
  </si>
  <si>
    <t>WOS:001837234800004</t>
  </si>
  <si>
    <t>Singh, J; Bohra, R; Mukhtiar, V; Fernandes, W; Bhanushali, C; Chinnamuthu, R; Kanamgode, SS; Ellis, J; Silverman, E</t>
  </si>
  <si>
    <t>Background The future of artificial intelligence in medicine includes the use of machine learning and large language models to improve diagnostic accuracy, as a point-of-care tool, at the time of admission to an acute care hospital. The large language model, ChatGPT-4, has been shown to diagnose complex medical conditions with accuracies comparable to experienced clinicians, however, most published studies involved curated cases or examination-like questions and are not point-of-care. To test the hypothesis that ChatGPT-4 can make an accurate medical diagnosis using real-world medical cases and a convenient cut and paste strategy, we performed a retrospective case study involving critically ill patients admitted to a community hospital medical intensive care unit.Methods A redacted H&amp;P was essentially cut and pasted into ChatGPT-4 with uniform instructions to make a leading diagnosis and a list of 5 possibilities as a differential diagnosis. All features that could be used to identify patients were removed to ensure privacy and HIPAA compliance. The ChatGPT-4 diagnoses were compared with critical care physician diagnoses using a blinded longitudinal chart review as the ground truth diagnosis.Results A total of 120 randomly selected cases were included in the study. The diagnostic accuracy was 88.3% for physicians and 85.0% for ChatGPT-4, with no significant difference by McNemar testing (p-value of 0.249). The agreement between physician diagnosis and ChatGPT-4 diagnosis was moderate, 0.57 (95% CI: 0.35-0.79), based on Cohen's kappa statistic.Conclusion These results suggest that ChatGTP-4 achieved diagnostic accuracy comparable to board certified physicians in the context of critically ill patients admitted to a community medical intensive care unit. Furthermore, the agreement was only moderate, suggesting that there may be complementary ways of combining the diagnostic acumen of physicians and ChatGPT-4 to improve overall accuracy. A prospective study would be necessary to determine if ChatGPT-4 could improve patient outcomes as a point-of-care tool at the time of admission.</t>
  </si>
  <si>
    <t>Singh, Jassimran; Bohra, Rhea; Mukhtiar, Vaibhavi; Fernandes, Warren; Bhanushali, Charmi; Chinnamuthu, Rajaeaswaran; Kanamgode, Shihla Shireen; Ellis, June; Silverman, Eric</t>
  </si>
  <si>
    <t>Silverman, E (corresponding author), 129 Cherry Brook Rd, Weston, MA 02493 USA.</t>
  </si>
  <si>
    <t>esilverman@pamw.org</t>
  </si>
  <si>
    <t>[Singh, Jassimran; Bohra, Rhea; Mukhtiar, Vaibhavi; Fernandes, Warren; Bhanushali, Charmi; Chinnamuthu, Rajaeaswaran] St Vincent Hosp, Dept Internal Med, Worcester, MA 01608 USA; [Kanamgode, Shihla Shireen] UMass Mem, Dept Pulm &amp; Crit Care, Worcester, MA 01608 USA; [Ellis, June] St Vincent Hosp, Dept Nursing, Worcester, MA 01608 USA; [Silverman, Eric] St Vincent Hosp, Dept Med, Div Pulm &amp; Crit Care, Worcester, MA 01608 USA</t>
  </si>
  <si>
    <t>University of Massachusetts System; University of Massachusetts Worcester</t>
  </si>
  <si>
    <t>Diagnostic Accuracy of a Large Language Model (ChatGPT-4) for Patients Admitted to a Community Hospital Medical Intensive Care Unit: A Retrospective Case Study</t>
  </si>
  <si>
    <t>JOURNAL OF INTENSIVE CARE MEDICINE</t>
  </si>
  <si>
    <t>Large Language Model (LLM); ChatGPT-4; diagnostic accuracy; Medical Intensive Care Unit (MICU); artificial intelligence in medicine</t>
  </si>
  <si>
    <t>ARTIFICIAL-INTELLIGENCE; ERRORS</t>
  </si>
  <si>
    <t>Singh, Jassimran/0009-0009-1096-2055</t>
  </si>
  <si>
    <t>1</t>
  </si>
  <si>
    <t>SAGE PUBLICATIONS INC</t>
  </si>
  <si>
    <t>THOUSAND OAKS</t>
  </si>
  <si>
    <t>2455 TELLER RD, THOUSAND OAKS, CA 91320 USA</t>
  </si>
  <si>
    <t>0885-0666</t>
  </si>
  <si>
    <t>1525-1489</t>
  </si>
  <si>
    <t>J INTENSIVE CARE MED</t>
  </si>
  <si>
    <t>J. Intensive Care Med.</t>
  </si>
  <si>
    <t>MAY 2026</t>
  </si>
  <si>
    <t>41</t>
  </si>
  <si>
    <t>5</t>
  </si>
  <si>
    <t>413</t>
  </si>
  <si>
    <t>420</t>
  </si>
  <si>
    <t>10.1177/08850666251368270</t>
  </si>
  <si>
    <t>http://dx.doi.org/10.1177/08850666251368270</t>
  </si>
  <si>
    <t>8</t>
  </si>
  <si>
    <t>Critical Care Medicine</t>
  </si>
  <si>
    <t>HD5KR</t>
  </si>
  <si>
    <t>40820407</t>
  </si>
  <si>
    <t>WOS:001551333600001</t>
  </si>
  <si>
    <t>Bronze</t>
  </si>
  <si>
    <t>Guo, YB; Meng, XB; Yu, ER; Zhang, WW; Yang, YD; Ma, HR; Shao, CL; Wang, WY; Wang, RJ; Wang, HF; Meng, R; Zhao, WB; Song, Z; Ji, XM; Wu, CJ</t>
  </si>
  <si>
    <t>Large language models (LLMs) show promise in emergency medicine; however, their role in emergency neurology remains unclear. We developed a customized LLM, Xuanwu-NeuroAid, and prospectively enrolled 433 patients. The diagnostic outputs of the model and emergency physicians were compared with confirmed diagnoses, and an expert panel performed blinded evaluations of the recommendations generated by both the model and physicians. The independent diagnostic accuracy of the model was 79.4%, which was significantly higher than that of emergency physicians (65.4%, p &lt; 0.001). Blinded expert assessments indicated that the model's recommendations for examinations and treatments were significantly more comprehensive, accurate, and clinically applicable than those of physicians (p &lt; 0.001). Moreover, the inclusion of demographic information altered the model's recommendations for health education, suggesting a sensitivity to sociodemographic factors. Our findings highlight the potential of the LLM to enhance diagnostic precision and support decision-making in emergency neurology under simulated clinical conditions. This study was registered at ClinicalTrials.gov (NCT06779292; January 6, 2025).</t>
  </si>
  <si>
    <t>Guo, Yibing; Meng, Xiangbin; Yu, Erlan; Zhang, Wanwan; Yang, Yaodong; Ma, Hongrui; Shao, Chunli; Wang, Wenyao; Wang, Rongjie; Wang, Haofei; Meng, Ran; Zhao, Wenbo; Song, Zhen; Ji, Xunming; Wu, Chuanjie</t>
  </si>
  <si>
    <t>Ji, XM; Wu, CJ (corresponding author), Capital Med Univ, Xuanwu Hosp, Dept Neurol, Beijing, Peoples R China.; Song, Z (corresponding author), Pengcheng Lab, Shenzhen, Peoples R China.</t>
  </si>
  <si>
    <t>wuchuanjie@ccmu.edu.cn; songzh01@pcl.ac.cn; jixunming1989@163.com</t>
  </si>
  <si>
    <t>The Major Key Project of PCL [No.: PCL2025A12]; National Natural Science Foundation of China [82271507]; the Beijing Natural Science Foundation [JQ24041]</t>
  </si>
  <si>
    <t>The Major Key Project of PCL; National Natural Science Foundation of China (National Natural Science Foundation of China (NSFC)); the Beijing Natural Science Foundation (Beijing Natural Science Foundation)</t>
  </si>
  <si>
    <t>We would like to thank all patients and doctors who participated in this study for their cooperation. The authors would like to acknowledge financial support from the Beijing Natural Science Foundation (JQ24041), the Major Key Project of PCL (No.: PCL2025A12), National Natural Science Foundation of China (82271507).</t>
  </si>
  <si>
    <t>[Guo, Yibing; Yu, Erlan; Zhang, Wanwan; Ma, Hongrui; Meng, Ran; Zhao, Wenbo; Ji, Xunming; Wu, Chuanjie] Capital Med Univ, Xuanwu Hosp, Dept Neurol, Beijing, Peoples R China; [Meng, Xiangbin; Wang, Rongjie; Wang, Haofei; Song, Zhen] Pengcheng Lab, Shenzhen, Peoples R China; [Yang, Yaodong] Peking Univ, Inst AI, Beijing, Peoples R China; [Shao, Chunli; Wang, Wenyao] Peking Univ Third Hosp, Inst Vasc Med, Dept Cardiol, Beijing, Peoples R China</t>
  </si>
  <si>
    <t>Capital Medical University; Peking University; Peking University</t>
  </si>
  <si>
    <t>Development and prospective shadow evaluation of a domain-specific large language model for emergency neurological diagnosis</t>
  </si>
  <si>
    <t>NPJ DIGITAL MEDICINE</t>
  </si>
  <si>
    <t>ACUTE ISCHEMIC-STROKE; MIMICS; THROMBOLYSIS; SAFETY</t>
  </si>
  <si>
    <t>Ji, Xunming/AAN-3370-2021</t>
  </si>
  <si>
    <t>3</t>
  </si>
  <si>
    <t>NATURE PORTFOLIO</t>
  </si>
  <si>
    <t>BERLIN</t>
  </si>
  <si>
    <t>HEIDELBERGER PLATZ 3, BERLIN, 14197, GERMANY</t>
  </si>
  <si>
    <t>2398-6352</t>
  </si>
  <si>
    <t>NPJ DIGIT MED</t>
  </si>
  <si>
    <t>npj Digit. Med.</t>
  </si>
  <si>
    <t>APR 18 2026</t>
  </si>
  <si>
    <t>9</t>
  </si>
  <si>
    <t>470</t>
  </si>
  <si>
    <t>10.1038/s41746-026-02644-z</t>
  </si>
  <si>
    <t>http://dx.doi.org/10.1038/s41746-026-02644-z</t>
  </si>
  <si>
    <t>APR 2026</t>
  </si>
  <si>
    <t>11</t>
  </si>
  <si>
    <t>JR6QV</t>
  </si>
  <si>
    <t>42000879</t>
  </si>
  <si>
    <t>WOS:001796344900003</t>
  </si>
  <si>
    <t>Eren, E; Ilgün, M; Kibar, B; Okur, S; Arslan, T; Aktas, MS; Eroglu, MS</t>
  </si>
  <si>
    <t>This multicenter observer-performance study evaluated whether systemic diseases in cats can be inferred from fundus images and structured fundus descriptors and compared the diagnostic performance of large language models (LLMs) with experienced and novice veterinary clinicians. A total of 50 feline cases with representative fundus photographs and harmonized descriptors were retrospectively collected from three centers in T &amp; uuml;rkiye. Each case was assigned a single canonical diagnosis by a masked expert panel. Two LLMs (ChatGPT-5, ChatGPT-5 Thinking) are tested in text-only and text and image (multimodal) modes and compared with two expert ophthalmologists and two novice clinicians. The primary endpoint was an ordinal diagnostic score (0-3), while secondary endpoints included Top-1/Top-2/Top-3 accuracy, inter-reader agreement, and response times. Multimodal LLMs achieved near-expert diagnostic performance, with Top-1, Top-2, and Top-3 accuracies ranging from 34 % to 46 %, 62-74 %, and 74-86 %, respectively. Multimodal LLMs performed significantly better than novice readers (p &lt; 0.05), whereas no significant differences were found between LLMs and expert clinicians. Response times were substantially shorter for LLMs (13.7-84.6 s) compared to humans (117-132 s), indicating potential workflow efficiency gains. These findings suggest that multimodal LLMs can provide rapid, near-expert-level diagnostic support in interpreting feline fundus images for systemic disease screening. Incorporating LLM assisted analysis into veterinary ophthalmology workflows could enhance diagnostic efficiency without compromising clinician oversight.</t>
  </si>
  <si>
    <t>Eren, Emre; Ilgun, Murat; Kibar, Busra; Okur, Sitkican; Arslan, Taner; Aktas, Mustafa Sinan; Eroglu, Muhammed Sertac</t>
  </si>
  <si>
    <t>Eren, E (corresponding author), Ataturk Univ, Fac Vet Med, Dept Internal Med, Erzurum, Turkiye.</t>
  </si>
  <si>
    <t>emre.eren@atauni.edu.tr</t>
  </si>
  <si>
    <t>[Eren, Emre; Aktas, Mustafa Sinan; Eroglu, Muhammed Sertac] Ataturk Univ, Fac Vet Med, Dept Internal Med, Erzurum, Turkiye; [Ilgun, Murat] Vet Clin, DVM Grad, Istanbul, Turkiye; [Kibar, Busra] Aydin Adnan Menderes Univ, Dept Vet Surg, Aydin, Turkiye; [Okur, Sitkican; Arslan, Taner] Ataturk Univ, Dept Vet Surg, Erzurum, Turkiye</t>
  </si>
  <si>
    <t>Ataturk University; Adnan Menderes University; Ataturk University</t>
  </si>
  <si>
    <t>Reading systemic disease from the feline fundus: A multicenter comparison of multimodal large language models and veterinary clinicians</t>
  </si>
  <si>
    <t>VETERINARY JOURNAL</t>
  </si>
  <si>
    <t>Retinal imaging; Reader study; Observer performance; Inter-rater agreement; Proportional odds model; Clinical decision support</t>
  </si>
  <si>
    <t>CATS</t>
  </si>
  <si>
    <t>EREN, EMRE/KUC-8203-2024; EROGLU, Muhammed Sertac/AAW-6570-2021; EROGLU, Muhammed/AAW-6570-2021; Okur, Sıtkıcan/AAA-7176-2021</t>
  </si>
  <si>
    <t>Kibar, Büşra/0000-0002-1490-8832; Arslan, Taner/0009-0001-4222-3718; EREN, EMRE/0000-0003-3118-7384; EROGLU, Muhammed Sertac/0000-0003-1061-8421</t>
  </si>
  <si>
    <t>23</t>
  </si>
  <si>
    <t>ELSEVIER SCI LTD</t>
  </si>
  <si>
    <t>London</t>
  </si>
  <si>
    <t>125 London Wall, London, ENGLAND</t>
  </si>
  <si>
    <t>1090-0233</t>
  </si>
  <si>
    <t>1532-2971</t>
  </si>
  <si>
    <t>VET J</t>
  </si>
  <si>
    <t>Vet. J.</t>
  </si>
  <si>
    <t>DEC 2025</t>
  </si>
  <si>
    <t>314</t>
  </si>
  <si>
    <t>106476</t>
  </si>
  <si>
    <t>10.1016/j.tvjl.2025.106476</t>
  </si>
  <si>
    <t>http://dx.doi.org/10.1016/j.tvjl.2025.106476</t>
  </si>
  <si>
    <t>NOV 2025</t>
  </si>
  <si>
    <t>6</t>
  </si>
  <si>
    <t>Veterinary Sciences</t>
  </si>
  <si>
    <t>9UI2B</t>
  </si>
  <si>
    <t>41183651</t>
  </si>
  <si>
    <t>WOS:001615213200001</t>
  </si>
  <si>
    <t>83</t>
  </si>
  <si>
    <t>Goh, E; Gallo, R; Hom, J; Strong, E; Weng, YJ; Kerman, H; Cool, JA; Kanjee, Z; Parsons, AS; Ahuja, N; Horvitz, E; Yang, DN; Milstein, A; Olson, APJ; Rodman, A; Chen, JH</t>
  </si>
  <si>
    <t>IMPORTANCE Large language models (LLMs) have shown promise in their performance on both multiple-choice and open-ended medical reasoning examinations, but it remains unknown whether the use of such tools improves physician diagnostic reasoning. OBJECTIVE To assess the effect of an LLM on physicians' diagnostic reasoning compared with conventional resources. DESIGN, SETTING, AND PARTICIPANTS A single-blind randomized clinical trial was conducted from November 29 to December 29, 2023. Using remote video conferencing and in-person participation across multiple academic medical institutions, physicians with training in family medicine, internal medicine, or emergency medicine were recruited. INTERVENTION Participants were randomized to either access the LLM in addition to conventional diagnostic resources or conventional resources only, stratified by career stage. Participants were allocated 60 minutes to review up to 6 clinical vignettes. MAIN OUTCOMES AND MEASURES The primary outcome was performance on a standardized rubric of diagnostic performance based on differential diagnosis accuracy, appropriateness of supporting and opposing factors, and next diagnostic evaluation steps, validated and graded via blinded expert consensus. Secondary outcomes included time spent per case (in seconds) and final diagnosis accuracy. All analyses followed the intention-to-treat principle. A secondary exploratory analysis evaluated the standalone performance of the LLM by comparing the primary outcomes between the LLM alone group and the conventional resource group. RESULTS Fifty physicians (26 attendings, 24 residents; median years in practice, 3 [IQR, 2-8]) participated virtually as well as at 1 in-person site. The median diagnostic reasoning score per case was 76% (IQR, 66%-87%) for the LLM group and 74% (IQR, 63%-84%) for the conventional resources-only group, with an adjusted difference of 2 percentage points (95% CI, -4 to 8 percentage points; P = .60). The median time spent per case for the LLM group was 519 (IQR, 371-668) seconds, compared with 565 (IQR, 456-788) seconds for the conventional resources group, with a time difference of -82 (95% CI, -195 to 31; P = .20) seconds. The LLM alone scored 16 percentage points (95% CI, 2-30 percentage points; P = .03) higher than the conventional resources group. CONCLUSIONS AND RELEVANCE In this trial, the availability of an LLM to physicians as a diagnostic aid did not significantly improve clinical reasoning compared with conventional resources. The LLM alone demonstrated higher performance than both physician groups, indicating the need for technology and workforce development to realize the potential of physician-artificial intelligence collaboration in clinical practice.</t>
  </si>
  <si>
    <t>Goh, Ethan; Gallo, Robert; Hom, Jason; Strong, Eric; Weng, Yingjie; Kerman, Hannah; Cool, Josephine A.; Kanjee, Zahir; Parsons, Andrew S.; Ahuja, Neera; Horvitz, Eric; Yang, Daniel; Milstein, Arnold; Olson, Andrew P. J.; Rodman, Adam; Chen, Jonathan H.</t>
  </si>
  <si>
    <t>Goh, E (corresponding author), Stanford Univ, Stanford Clin Excellence Res Ctr, Stanford Ctr Biomed Informat Res, Sch Med, 453 Quarry Rd, Palo Alto, CA 94304 USA.</t>
  </si>
  <si>
    <t>ethangoh@stanford.edu</t>
  </si>
  <si>
    <t>Gordon and Betty Moore Foundation</t>
  </si>
  <si>
    <t>Gordon and Betty Moore Foundation (Gordon &amp; Betty Moore Foundation)</t>
  </si>
  <si>
    <t>This study was funded by the Gordon and Betty Moore Foundation.</t>
  </si>
  <si>
    <t>[Goh, Ethan; Chen, Jonathan H.] Stanford Univ, Stanford Ctr Biomed Informat Res, Stanford, CA USA; [Goh, Ethan; Milstein, Arnold; Chen, Jonathan H.] Stanford Univ, Stanford Clin Excellence Res Ctr, Stanford, CA USA; [Gallo, Robert] VA Palo Alto Hlth Care Syst, Ctr Innovat Implementat, Palo Alto, CA USA; [Hom, Jason; Strong, Eric; Ahuja, Neera] Stanford Univ, Dept Hosp Med, Sch Med, Stanford, CA USA; [Weng, Yingjie] Stanford Univ, Sch Med, Quantitat Sci Unit, Stanford, CA USA; [Kerman, Hannah; Cool, Josephine A.; Kanjee, Zahir; Rodman, Adam] Beth Israel Deaconess Med Ctr, Dept Hosp Med, Boston, MA USA; [Kerman, Hannah; Cool, Josephine A.; Kanjee, Zahir; Rodman, Adam] Harvard Med Sch, Dept Hosp Med, Boston, MA USA; [Parsons, Andrew S.] Univ Virginia, Dept Med, Sch Med, Charlottesville, VA USA; [Horvitz, Eric] Microsoft Corp, Redmond, WA USA; [Horvitz, Eric] Stanford Inst Human Ctr Artificial Intelligence, Stanford, CA USA; [Yang, Daniel] Kaiser Permanente, Dept Hosp Med, Oakland, CA USA; [Olson, Andrew P. J.] Univ Minnesota, Med Sch, Dept Med, Minneapolis, MN USA; [Chen, Jonathan H.] Stanford Univ, Div Hosp Med, Stanford, CA USA</t>
  </si>
  <si>
    <t>Stanford Medicine; Stanford University; Stanford University; US Department of Veterans Affairs; Veterans Health Administration (VHA); VA Palo Alto Health Care System; Stanford University; Stanford Medicine; Stanford University; Stanford Medicine; Harvard University; Harvard University Medical Affiliates; Beth Israel Deaconess Medical Center; Harvard University; Harvard Medical School; University of Virginia (UVA) Health System; University of Virginia; Microsoft; Kaiser Permanente; University of Minnesota System; University of Minnesota Twin Cities; Stanford University</t>
  </si>
  <si>
    <t>Large Language Model Influence on Diagnostic Reasoning A Randomized Clinical Trial</t>
  </si>
  <si>
    <t>JAMA NETWORK OPEN</t>
  </si>
  <si>
    <t>ACCURACY; PERFORMANCE; ERRORS; KAPPA; OSCE</t>
  </si>
  <si>
    <t>Parsons, Andrew S/AFP-0150-2022</t>
  </si>
  <si>
    <t>Parsons, Andrew S/0000-0001-5631-9465; Ahuja, Neera/0000-0002-2979-7530; Goh, Ethan/0009-0001-7491-4257; Yang, Daniel/0009-0000-3196-2198</t>
  </si>
  <si>
    <t>45</t>
  </si>
  <si>
    <t>457</t>
  </si>
  <si>
    <t>548</t>
  </si>
  <si>
    <t>26</t>
  </si>
  <si>
    <t>93</t>
  </si>
  <si>
    <t>AMER MEDICAL ASSOC</t>
  </si>
  <si>
    <t>CHICAGO</t>
  </si>
  <si>
    <t>330 N WABASH AVE, STE 39300, CHICAGO, IL 60611-5885 USA</t>
  </si>
  <si>
    <t>2574-3805</t>
  </si>
  <si>
    <t>JAMA NETW OPEN</t>
  </si>
  <si>
    <t>JAMA Netw. Open</t>
  </si>
  <si>
    <t>OCT 28 2024</t>
  </si>
  <si>
    <t>2024</t>
  </si>
  <si>
    <t>10</t>
  </si>
  <si>
    <t>e2440969</t>
  </si>
  <si>
    <t>10.1001/jamanetworkopen.2024.40969</t>
  </si>
  <si>
    <t>http://dx.doi.org/10.1001/jamanetworkopen.2024.40969</t>
  </si>
  <si>
    <t>12</t>
  </si>
  <si>
    <t>K8N8G</t>
  </si>
  <si>
    <t>39466245</t>
  </si>
  <si>
    <t>WOS:001346416900001</t>
  </si>
  <si>
    <t>Y</t>
  </si>
  <si>
    <t>McDuff, D; Schaekermann, M; Tu, T; Palepu, A; Wang, A; Garrison, J; Singhal, K; Sharma, Y; Azizi, S; Kulkarni, K; Hou, L; Cheng, Y; Liu, Y; Mahdavi, SS; Prakash, S; Pathak, A; Semturs, C; Patel, S; Webster, DR; Dominowska, E; Gottweis, J; Barral, J; Chou, K; Corrado, GS; Matias, Y; Sunshine, J; Karthikesalingam, A; Natarajan, V</t>
  </si>
  <si>
    <t>A comprehensive differential diagnosis is a cornerstone of medical care that is often reached through an iterative process of interpretation that combines clinical history, physical examination, investigations and procedures. Interactive interfaces powered by large language models present new opportunities to assist and automate aspects of this process1. Here we introduce the Articulate Medical Intelligence Explorer (AMIE), a large language model that is optimized for diagnostic reasoning, and evaluate its ability to generate a differential diagnosis alone or as an aid to clinicians. Twenty clinicians evaluated 302 challenging, real-world medical cases sourced from published case reports. Each case report was read by two clinicians, who were randomized to one of two assistive conditions: assistance from search engines and standard medical resources; or assistance from AMIE in addition to these tools. All clinicians provided a baseline, unassisted differential diagnosis prior to using the respective assistive tools. AMIE exhibited standalone performance that exceeded that of unassisted clinicians (top-10 accuracy 59.1% versus 33.6%, P = 0.04). Comparing the two assisted study arms, the differential diagnosis quality score was higher for clinicians assisted by AMIE (top-10 accuracy 51.7%) compared with clinicians without its assistance (36.1%; McNemar's test: 45.7, P &lt; 0.01) and clinicians with search (44.4%; McNemar's test: 4.75, P = 0.03). Further, clinicians assisted by AMIE arrived at more comprehensive differential lists than those without assistance from AMIE. Our study suggests that AMIE has potential to improve clinicians' diagnostic reasoning and accuracy in challenging cases, meriting further real-world evaluation for its ability to empower physicians and widen patients' access to specialist-level expertise.</t>
  </si>
  <si>
    <t>McDuff, Daniel; Schaekermann, Mike; Tu, Tao; Palepu, Anil; Wang, Amy; Garrison, Jake; Singhal, Karan; Sharma, Yash; Azizi, Shekoofeh; Kulkarni, Kavita; Hou, Le; Cheng, Yong; Liu, Yun; Mahdavi, S. Sara; Prakash, Sushant; Pathak, Anupam; Semturs, Christopher; Patel, Shwetak; Webster, Dale R.; Dominowska, Ewa; Gottweis, Juraj; Barral, Joelle; Chou, Katherine; Corrado, Greg S.; Matias, Yossi; Sunshine, Jake; Karthikesalingam, Alan; Natarajan, Vivek</t>
  </si>
  <si>
    <t>McDuff, D; Sunshine, J (corresponding author), Google Res, Seattle, WA 98040 USA.; Schaekermann, M (corresponding author), Google Res, Toronto, ON, Canada.; Natarajan, V (corresponding author), Google Res, Mountain View, CA 94043 USA.; Karthikesalingam, A (corresponding author), Google Res, London, England.</t>
  </si>
  <si>
    <t>dmcduff@google.com; mikeshake@google.com; jakesunshine@google.com; alankarthi@google.com; natviv@google.com</t>
  </si>
  <si>
    <t>Google DeepMind; Massachusetts Medical Society group</t>
  </si>
  <si>
    <t>Google DeepMind (Google Incorporated); Massachusetts Medical Society group</t>
  </si>
  <si>
    <t>This project was an extensive collaboration between many teams at Google Research and Google DeepMind. We thank A. Jain, R. Sayres, S. Lachgar, L. Winer, M. Shiels, B. Hatfield, S. W. Man, P. Singh, A. Um'rani, B. Green and P. Mansfield for their valuable insights and feedback during our research; A. Iurchenko for driving the design of the interactive user interface; M. Howell, M. Morris, C. Grade, K. DeSalvo, Z. Ghahramani, J. Manyika and J. Dean for their support during the course of this project; and the Massachusetts Medical Society group for the support and partnership.</t>
  </si>
  <si>
    <t>[McDuff, Daniel; Garrison, Jake; Patel, Shwetak; Dominowska, Ewa; Sunshine, Jake] Google Res, Seattle, WA 98040 USA; [Schaekermann, Mike; Wang, Amy] Google Res, Toronto, ON, Canada; [Tu, Tao; Singhal, Karan; Prakash, Sushant] Google Res, New York, NY USA; [Palepu, Anil; Sharma, Yash; Kulkarni, Kavita; Hou, Le; Liu, Yun; Pathak, Anupam; Semturs, Christopher; Webster, Dale R.; Chou, Katherine; Corrado, Greg S.; Matias, Yossi; Natarajan, Vivek] Google Res, Mountain View, CA 94043 USA; [Azizi, Shekoofeh; Mahdavi, S. Sara] Google DeepMind, Toronto, ON, Canada; [Cheng, Yong] Google DeepMind, Mountain View, CA USA; [Gottweis, Juraj] Google Res, Zurich, Switzerland; [Barral, Joelle] Google DeepMind, Paris, France; [Karthikesalingam, Alan] Google Res, London, England</t>
  </si>
  <si>
    <t>Alphabet Inc.; Google Incorporated; Alphabet Inc.; Google Incorporated; Alphabet Inc.; Google Incorporated; Alphabet Inc.; DeepMind; Alphabet Inc.; DeepMind; Alphabet Inc.; Google Incorporated; Alphabet Inc.; DeepMind; Alphabet Inc.; Google Incorporated</t>
  </si>
  <si>
    <t>Towards accurate differential diagnosis with large language models</t>
  </si>
  <si>
    <t>NATURE</t>
  </si>
  <si>
    <t>ARTIFICIAL-INTELLIGENCE; HEALTH</t>
  </si>
  <si>
    <t>Natarajan, Vivek/AAG-4944-2021; Azizi, Shekoofeh/T-5465-2019</t>
  </si>
  <si>
    <t>Schaekermann, Mike/0000-0002-1735-9680; Singhal, Karan/0009-0001-0286-609X; PATEL, SHWETAK NARAN/0000-0002-6300-4389; Azizi, Shekoofeh/0000-0002-7447-6031</t>
  </si>
  <si>
    <t>159</t>
  </si>
  <si>
    <t>180</t>
  </si>
  <si>
    <t>17</t>
  </si>
  <si>
    <t>66</t>
  </si>
  <si>
    <t>0028-0836</t>
  </si>
  <si>
    <t>1476-4687</t>
  </si>
  <si>
    <t>Nature</t>
  </si>
  <si>
    <t>JUN 12 2025</t>
  </si>
  <si>
    <t>642</t>
  </si>
  <si>
    <t>8067</t>
  </si>
  <si>
    <t>10.1038/s41586-025-08869-4</t>
  </si>
  <si>
    <t>http://dx.doi.org/10.1038/s41586-025-08869-4</t>
  </si>
  <si>
    <t>APR 2025</t>
  </si>
  <si>
    <t>19</t>
  </si>
  <si>
    <t>Multidisciplinary Sciences</t>
  </si>
  <si>
    <t>Science &amp; Technology - Other Topics</t>
  </si>
  <si>
    <t>3SY2M</t>
  </si>
  <si>
    <t>40205049</t>
  </si>
  <si>
    <t>WOS:001463961800001</t>
  </si>
  <si>
    <t>N</t>
  </si>
  <si>
    <t>Savage, T; Nayak, A; Gallo, R; Rangan, E; Chen, JH</t>
  </si>
  <si>
    <t>One of the major barriers to using large language models (LLMs) in medicine is the perception they use uninterpretable methods to make clinical decisions that are inherently different from the cognitive processes of clinicians. In this manuscript we develop diagnostic reasoning prompts to study whether LLMs can imitate clinical reasoning while accurately forming a diagnosis. We find that GPT-4 can be prompted to mimic the common clinical reasoning processes of clinicians without sacrificing diagnostic accuracy. This is significant because an LLM that can imitate clinical reasoning to provide an interpretable rationale offers physicians a means to evaluate whether an LLMs response is likely correct and can be trusted for patient care. Prompting methods that use diagnostic reasoning have the potential to mitigate the "black box" limitations of LLMs, bringing them one step closer to safe and effective use in medicine.</t>
  </si>
  <si>
    <t>Savage, Thomas; Nayak, Ashwin; Gallo, Robert; Rangan, Ekanath; Chen, Jonathan H.</t>
  </si>
  <si>
    <t>Savage, T (corresponding author), Stanford Univ, Dept Med, Stanford, CA 94305 USA.; Savage, T (corresponding author), Stanford Univ, Div Hosp Med, Stanford, CA 94305 USA.</t>
  </si>
  <si>
    <t>tsavage@stanford.edu</t>
  </si>
  <si>
    <t>NIH/National Institute of Allergy and Infectious Diseases [1R01AI17812101]; NIH/National Institute on Drug Abuse Clinical Trials Network [UG1DA015815-CTN-0136]; Gordon and Betty Moore Foundation [12409]; Google Inc.; NIH-NCATS-CTSA [UL1TR003142]; VA Advanced Fellowship in Medical Informatics</t>
  </si>
  <si>
    <t>NIH/National Institute of Allergy and Infectious Diseases (United States Department of Health &amp; Human Services, National Institutes of Health (NIH) - USA, NIH National Institute of Allergy &amp; Infectious Diseases (NIAID)); NIH/National Institute on Drug Abuse Clinical Trials Network; Gordon and Betty Moore Foundation (Gordon &amp; Betty Moore Foundation); Google Inc. (Google Incorporated); NIH-NCATS-CTSA (United States Department of Health &amp; Human Services, National Institutes of Health (NIH) - USA, NIH National Center for Advancing Translational Sciences (NCATS)); VA Advanced Fellowship in Medical Informatics</t>
  </si>
  <si>
    <t>J.H.C. has received research funding support in part by the NIH/National Institute of Allergy and Infectious Diseases (1R01AI17812101), NIH/National Institute on Drug Abuse Clinical Trials Network (UG1DA015815-CTN-0136), Gordon and Betty Moore Foundation (Grant #12409), Stanford Artificial Intelligence in Medicine and Imaging-Human-Centered Artificial Intelligence (AIMI-HAI) Partnership Grant, Google Inc. Research collaboration, American Heart Association-Strategically Focused Research Network-Diversity in Clinical Trials, and the NIH-NCATS-CTSA grant (UL1TR003142) for common research resources. R.G. is supported by a VA Advanced Fellowship in Medical Informatics. The views expressed are those of the authors and not necessarily those of the Department of Veterans Affairs or those of the United States Government.</t>
  </si>
  <si>
    <t>[Savage, Thomas; Nayak, Ashwin; Rangan, Ekanath; Chen, Jonathan H.] Stanford Univ, Dept Med, Stanford, CA 94305 USA; [Savage, Thomas; Nayak, Ashwin; Chen, Jonathan H.] Stanford Univ, Div Hosp Med, Stanford, CA 94305 USA; [Gallo, Robert] Palo Alto Vet Affairs Med Ctr, Palo Alto, CA USA; [Gallo, Robert] Stanford Univ, Dept Hlth Policy, Stanford, CA USA; [Chen, Jonathan H.] Stanford Univ, Stanford Ctr Biomed Informat Res, Stanford, CA USA; [Chen, Jonathan H.] Stanford Univ, Clin Excellence Res Ctr, Stanford, CA USA</t>
  </si>
  <si>
    <t>Stanford Medicine; Stanford University; Stanford University; Stanford University; Stanford University; Stanford Medicine; Stanford University; Stanford Medicine</t>
  </si>
  <si>
    <t>Diagnostic reasoning prompts reveal the potential for large language model interpretability in medicine</t>
  </si>
  <si>
    <t>Rangan, Ekanath/0000-0001-5168-3508; Chen, Jonathan H/0000-0002-4387-8740; Nayak, Ashwin/0009-0003-2024-3683</t>
  </si>
  <si>
    <t>190</t>
  </si>
  <si>
    <t>223</t>
  </si>
  <si>
    <t>117</t>
  </si>
  <si>
    <t>JAN 24 2024</t>
  </si>
  <si>
    <t>10.1038/s41746-024-01010-1</t>
  </si>
  <si>
    <t>http://dx.doi.org/10.1038/s41746-024-01010-1</t>
  </si>
  <si>
    <t>FU2H5</t>
  </si>
  <si>
    <t>38267608</t>
  </si>
  <si>
    <t>WOS:001148298600001</t>
  </si>
  <si>
    <t>Spitzer, P; Hendriks, D; Rudolph, J; Schlaeger, S; Ricke, J; Kühl, N; Hoppe, BF; Feuerriegel, S</t>
  </si>
  <si>
    <t>Large language models (LLMs) are increasingly used by physicians for diagnostic support. A key advantage of LLMs is the ability to generate explanations that can help physicians understand the reasoning behind a diagnosis. However, the best-suited format for LLM-generated explanations remains unclear. In this large-scale study, we examined the effect of different formats for LLM explanations on clinical decision-making. For this, we conducted a randomized experiment with radiologists reviewing patient cases with radiological images (N = 2020 assessments). Participants received either no LLM support (control group) or were supported by one of three LLM-generated explanations: (1) a standard output providing the diagnosis without explanation; (2) a differential diagnosis comparing multiple possible diagnoses; or (3) a chain-of-thought explanation offering a detailed reasoning process for the diagnosis. We find that the format of explanations significantly influences diagnostic accuracy. The chain-of-thought explanations yielded the best performance, improving the diagnostic accuracy by 12.2% compared to the control condition without LLM support (P = 0.001). The chain-of-thought explanations are also superior to the standard output without explanation ( + 7.2%; P = 0.040) and the differential diagnosis format ( + 9.7%; P = 0.004). We further assessed the robustness of these findings across case difficulty and different physician backgrounds, such as general vs. specialized radiologists. Evidently, in the controlled setting of our vignette study, explaining the reasoning for a diagnosis helps physicians to identify and correct potential errors in LLM predictions and thus improve overall decisions. Altogether, the results highlight the importance of explanations in medical LLMs to support the reasoning processes of physicians, so that medical LLMs can improve diagnostic performance and, ultimately, patient outcomes.</t>
  </si>
  <si>
    <t>Spitzer, Philipp; Hendriks, Daniel; Rudolph, Jan; Schlaeger, Sarah; Ricke, Jens; Kuhl, Niklas; Hoppe, Boj Friedrich; Feuerriegel, Stefan</t>
  </si>
  <si>
    <t>Feuerriegel, S (corresponding author), Munich Ctr Machine Learning, Munich, Germany.; Feuerriegel, S (corresponding author), Ludwig Maximilians Univ Munchen, Munich, Germany.</t>
  </si>
  <si>
    <t>feuerriegel@lmu.de</t>
  </si>
  <si>
    <t>Schweizerischer Nationalfonds zur Frderung der Wissenschaftlichen Forschung [186932]</t>
  </si>
  <si>
    <t>Schweizerischer Nationalfonds zur Frderung der Wissenschaftlichen Forschung</t>
  </si>
  <si>
    <t>Open Access funding enabled and organized by Projekt DEAL.</t>
  </si>
  <si>
    <t>[Spitzer, Philipp; Hendriks, Daniel] Karlsruhe Inst Technol, Karlsruhe, Germany; [Rudolph, Jan; Schlaeger, Sarah; Ricke, Jens; Hoppe, Boj Friedrich] LMU Univ Hosp, Dept Radiol, LMU Munich, Munich, Germany; [Kuhl, Niklas] Univ Bayreuth, Bayreuth, Germany; [Kuhl, Niklas] Fraunhofer FIT, Bayreuth, Germany; [Hoppe, Boj Friedrich; Feuerriegel, Stefan] Munich Ctr Machine Learning, Munich, Germany; [Feuerriegel, Stefan] Ludwig Maximilians Univ Munchen, Munich, Germany</t>
  </si>
  <si>
    <t>Helmholtz Association; Karlsruhe Institute of Technology; University of Munich; University of Bayreuth; Fraunhofer Gesellschaft; Fraunhofer Germany; Fraunhofer Institute Center Schloss Birlinghoven; University of Munich</t>
  </si>
  <si>
    <t>The effect of medical explanations from large language models on diagnostic accuracy in radiology</t>
  </si>
  <si>
    <t>AI</t>
  </si>
  <si>
    <t>Feuerriegel, Stefan/ABD-6599-2021; Rudolph, Jan/JRX-8049-2023</t>
  </si>
  <si>
    <t>75</t>
  </si>
  <si>
    <t>APR 23 2026</t>
  </si>
  <si>
    <t>333</t>
  </si>
  <si>
    <t>10.1038/s41746-026-02619-0</t>
  </si>
  <si>
    <t>http://dx.doi.org/10.1038/s41746-026-02619-0</t>
  </si>
  <si>
    <t>13</t>
  </si>
  <si>
    <t>GW9MS</t>
  </si>
  <si>
    <t>42026140</t>
  </si>
  <si>
    <t>WOS:001747014300001</t>
  </si>
  <si>
    <t>Wan, XH; Liu, MX; Zhang, Y; Kou, GJ; Xu, LQ; Liu, H; Yang, XY; Zuo, XL; Li, YQ</t>
  </si>
  <si>
    <t>BACKGROUND Gastrointestinal diseases have complex etiologies and clinical presentations. An accurate diagnosis requires physicians to integrate diverse information, including medical history, laboratory test results, and imaging findings. Existing artificial intelligence-assisted diagnostic tools are limited to single-modality information, resulting in recommendations that are often incomplete and may be associated with clinical or legal risks. AIM To develop and evaluate a collaborative multimodal large language model (LLM) framework for clinical decision-making in digestive diseases. METHODS In this observational study, DeepGut, a multimodal LLM collaborative diagnostic framework, was developed to integrate four distinct large models into a four-tiered structure. The framework sequentially accomplishes multimodal information extraction, logical "chain" construction, diagnostic and treatment suggestion generation, and risk analysis. The model was evaluated using objective metrics, which assess the reliability and comprehensiveness of model-generated results, and subjective expert opinions, which examine the effectiveness of the framework in assisting physicians. RESULTS The diagnostic and treatment recommendations generated by the DeepGut framework achieved exceptional performance, with a diagnostic accuracy of 97.8%, diagnostic completeness of 93.9%, treatment plan accuracy of 95.2%, and treatment plan completeness of 98.0%, significantly surpassing the capabilities of single-modal LLM-based diagnostic tools. Experts evaluating the framework commended the completeness, relevance, and logical coherence of its outputs. However, the collaborative multimodal LLM approach resulted in increased input and output token counts, leading to higher computational costs and extended diagnostic times. CONCLUSION The framework achieves successful integration of multimodal diagnostic data, demonstrating enhanced performance enabled by multimodal LLM collaboration, which opens new horizons for the clinical application of artificial intelligence-assisted technology.</t>
  </si>
  <si>
    <t>Wan, Xiao-Han; Liu, Mei-Xia; Zhang, Yan; Kou, Guan-Jun; Xu, Lei-Qi; Liu, Han; Yang, Xiao-Yun; Zuo, Xiu-Li; Li, Yan-Qing</t>
  </si>
  <si>
    <t>Li, YQ (corresponding author), Shandong Univ, Dept Gastroenterol, Qilu Hosp, 107 Wenhuaxi Rd, Jinan 250012, Shandong, Peoples R China.</t>
  </si>
  <si>
    <t>liyanqing@sdu.edu.cn</t>
  </si>
  <si>
    <t>China Health Promotion Foundation Young Doctors' Research Foundation for Inflammatory Bowel Disease; Taishan Scholars Program of Shandong Province, China [tsqn202306343]; National Natural Science Foundation of China [82270580, 82070552, 82270578, 82300599]</t>
  </si>
  <si>
    <t>China Health Promotion Foundation Young Doctors' Research Foundation for Inflammatory Bowel Disease; Taishan Scholars Program of Shandong Province, China; National Natural Science Foundation of China (National Natural Science Foundation of China (NSFC))</t>
  </si>
  <si>
    <t>China Health Promotion Foundation Young Doctors' Research Foundation for Inflammatory Bowel Disease; Taishan Scholars Program of Shandong Province, China, NO. tsqn202306343; and National Natural Science Foundation of China, No. 82270580, No. 82070552, No. 82270578, and No. 82300599.</t>
  </si>
  <si>
    <t>[Wan, Xiao-Han; Liu, Mei-Xia; Zhang, Yan; Kou, Guan-Jun; Xu, Lei-Qi; Liu, Han; Yang, Xiao-Yun; Zuo, Xiu-Li; Li, Yan-Qing] Shandong Univ, Dept Gastroenterol, Qilu Hosp, 107 Wenhuaxi Rd, Jinan 250012, Shandong, Peoples R China</t>
  </si>
  <si>
    <t>Shandong University</t>
  </si>
  <si>
    <t>DeepGut: A collaborative multimodal large language model framework for digestive disease assisted diagnosis and treatment</t>
  </si>
  <si>
    <t>WORLD JOURNAL OF GASTROENTEROLOGY</t>
  </si>
  <si>
    <t>Gastrointestinal diseases; Artificial intelligence-assisted diagnosis and treatment; Multimodal large language model; Multiple large language model collaboration; DeepGut</t>
  </si>
  <si>
    <t>Liu, Han/GVT-8296-2022</t>
  </si>
  <si>
    <t>LIU, HAN/0009-0009-7504-9873</t>
  </si>
  <si>
    <t>BAISHIDENG PUBLISHING GROUP INC</t>
  </si>
  <si>
    <t>PLEASANTON</t>
  </si>
  <si>
    <t>7041 Koll Center Parkway, Suite 160, PLEASANTON, CA, UNITED STATES</t>
  </si>
  <si>
    <t>1007-9327</t>
  </si>
  <si>
    <t>2219-2840</t>
  </si>
  <si>
    <t>WORLD J GASTROENTERO</t>
  </si>
  <si>
    <t>World J. Gastroenterol.</t>
  </si>
  <si>
    <t>AUG 21 2025</t>
  </si>
  <si>
    <t>31</t>
  </si>
  <si>
    <t>109948</t>
  </si>
  <si>
    <t>10.3748/wjg.v31.i31.109948</t>
  </si>
  <si>
    <t>http://dx.doi.org/10.3748/wjg.v31.i31.109948</t>
  </si>
  <si>
    <t>Gastroenterology &amp; Hepatology</t>
  </si>
  <si>
    <t>6PL5F</t>
  </si>
  <si>
    <t>40901691</t>
  </si>
  <si>
    <t>WOS:001558890600007</t>
  </si>
  <si>
    <t>hybrid; Green Accepted</t>
  </si>
  <si>
    <t>Wu, XZ; Li, GX; Wang, X; Xu, ZY; Wang, YN; Lei, SG; Xian, JM; Wang, XY; Zhang, YB; Li, G; Yuan, KH</t>
  </si>
  <si>
    <t>Objective. Liver cancer has a high incidence rate, but experienced doctors are lacking in primary healthcare settings. The development of large models offers new possibilities for diagnosis. However, in liver cancer diagnosis, large models face certain limitations, such as insufficient understanding of specific medical images, inadequate consideration of liver vessel factors, and inaccuracies in reasoning logic. Therefore, this study proposes a diagnostic assistance tool specific to liver cancer to enhance the diagnostic capabilities of primary care doctors. Approach. A liver cancer diagnosis framework combining large and small models is proposed. A more accurate model for liver tumor segmentation and a more precise model for liver vessel segmentation are developed. The features extracted from the segmentation results of the small models are combined with the patient's medical records and then provided to the large model. The large model employs chain of thought prompts to simulate expert diagnostic reasoning and uses Retrieval-Augmented Generation to provide reliable answers based on trusted medical knowledge and cases. Main results. In the small model part, the proposed liver tumor and liver vessel segmentation methods achieve improved performance. In the large model part, this approach receives higher evaluation scores from doctors when analyzing patient imaging and medical records. Significance. First, a diagnostic framework combining small models and large models is proposed to optimize the liver cancer diagnosis process. Second, two segmentation models are introduced to compensate for the large model's shortcomings in extracting semantic information from images. Third, by simulating doctors' reasoning and integrating trusted knowledge, the framework enhances the reliability and interpretability of the large model's responses while reducing hallucination phenomena.</t>
  </si>
  <si>
    <t>Wu, Xuzhou; Li, Guangxin; Wang, Xing; Xu, Zeyu; Wang, Yingni; Lei, Shuge; Xian, Jianming; Wang, Xueyu; Zhang, Yibao; Li, Gong; Yuan, Kehong</t>
  </si>
  <si>
    <t>yuankh@sz.tsinghua.edu.cn</t>
  </si>
  <si>
    <t>National Natural Science Foundation of Chinahttp://dx.doi.org/10.13039/501100001809 [2022A1515011120]; Guangdong Provincial Science and Technology Program for Basic Research [320.6750.2023-21-7]; Wu Jieping Medical Foundation [12275012,12475309,12411530076,82202941]; National Natural Science Foundation of China [Z210008, PKU2025LCXQ050]; Beijing Natural Science Foundation</t>
  </si>
  <si>
    <t>National Natural Science Foundation of Chinahttp://dx.doi.org/10.13039/501100001809; Guangdong Provincial Science and Technology Program for Basic Research; Wu Jieping Medical Foundation; National Natural Science Foundation of China (National Natural Science Foundation of China (NSFC)); Beijing Natural Science Foundation (Beijing Natural Science Foundation)</t>
  </si>
  <si>
    <t>This study was supported in part by Guangdong Provincial Science and Technology Program for Basic Research No. 2022A1515011120; Wu Jieping Medical Foundation No. 320.6750.2023-21-7; National Natural Science Foundation of China under Grant Nos. 12275012,12475309,12411530076,82202941; Beijing Natural Science Foundation (Z210008); Fundamental Research Funds for the Central Universities/Clinical Medicine Plus X-Young Scholars Project of Peking University (PKU2025LCXQ050).</t>
  </si>
  <si>
    <t>[Wu, Xuzhou; Xian, Jianming; Wang, Xueyu; Yuan, Kehong] Tsinghua Univ, Inst Biopharmaceut &amp; Hlth Engn, SIGS, Beijing, Peoples R China; [Li, Guangxin; Wang, Xing; Xu, Zeyu; Li, Gong] Beijing Tsinghua Changgung Hosp, Radiotherapy Dept, Beijing, Peoples R China; [Wang, Yingni] Tsinghua Univ, Sch Biomed Engn, Beijing, Peoples R China; [Zhang, Yibao] Peking Univ, Canc &amp; Hosp Inst, Dept Radiat Oncol, Key Lab Carcinogenesis &amp; Translat Res Minist Educ, Beijing, Peoples R China; [Lei, Shuge] Univ South Carolina, Molinaroli Coll Engn &amp; Comp, Dept Comp Sci &amp; Engn, Columbia, SC USA</t>
  </si>
  <si>
    <t>Tsinghua University; Tsinghua Shenzhen International Graduate School; Tsinghua University; Peking University; University of South Carolina System; University of South Carolina Columbia</t>
  </si>
  <si>
    <t>Diagnosis assistant for liver cancer utilizing a large language model with three types of knowledge</t>
  </si>
  <si>
    <t>PHYSICS IN MEDICINE AND BIOLOGY</t>
  </si>
  <si>
    <t>large language models; liver cancer diagnostic assistant; image segmentation; image feature</t>
  </si>
  <si>
    <t>VESSEL SEGMENTATION; NETWORK</t>
  </si>
  <si>
    <t>Zhang, Yibao/PII-6255-2026</t>
  </si>
  <si>
    <t>Zhang, Yibao/0000-0003-3658-0687</t>
  </si>
  <si>
    <t>43</t>
  </si>
  <si>
    <t>IOP Publishing Ltd</t>
  </si>
  <si>
    <t>BRISTOL</t>
  </si>
  <si>
    <t>TEMPLE CIRCUS, TEMPLE WAY, BRISTOL BS1 6BE, ENGLAND</t>
  </si>
  <si>
    <t>0031-9155</t>
  </si>
  <si>
    <t>1361-6560</t>
  </si>
  <si>
    <t>PHYS MED BIOL</t>
  </si>
  <si>
    <t>Phys. Med. Biol.</t>
  </si>
  <si>
    <t>MAY 4 2025</t>
  </si>
  <si>
    <t>70</t>
  </si>
  <si>
    <t>095009</t>
  </si>
  <si>
    <t>10.1088/1361-6560/adcb17</t>
  </si>
  <si>
    <t>http://dx.doi.org/10.1088/1361-6560/adcb17</t>
  </si>
  <si>
    <t>Engineering, Biomedical; Radiology, Nuclear Medicine &amp; Medical Imaging</t>
  </si>
  <si>
    <t>Engineering; Radiology, Nuclear Medicine &amp; Medical Imaging</t>
  </si>
  <si>
    <t>2DU6C</t>
  </si>
  <si>
    <t>40203862</t>
  </si>
  <si>
    <t>WOS:001480266600001</t>
  </si>
  <si>
    <t>Yu, HB; Chen, T; Zhang, X; Yang, YF; Liu, QY; Yang, CL; Shen, K; Li, H; Tang, WJ; Zhong, XS; Shuai, X; Yu, XM; Liao, Y; Wang, CY; Zhu, HL; Wu, Y</t>
  </si>
  <si>
    <t>Background: Rare hematologic diseases are frequently underdiagnosed or misdiagnosed due to their clinical complexity. Whether new-generation large language models (LLMs), particularly those using chain-of-thought reasoning, can improve diagnostic accuracy remains unclear. Objective: This study aimed to evaluate the diagnostic performance of new-generation commercial LLMs in rare hematologic diseases and to determine whether the LLM output enhances physicians' diagnostic accuracy. Methods: We conducted a 2-phase study. In the retrospective phase, we evaluated 7 mainstream LLMs on 158 nonpublic real-world admission records covering 9 rare hematologic diseases, assessed diagnostic performance using top-10 accuracy and mean reciprocal rank (MRR), and evaluated ranking stability via Jaccard similarity and entropy. Spearman rank correlation was used to examine the association between physicians' diagnoses and LLM-generated outputs. In the prospective phase, 28 physicians with varying levels of experience diagnosed 5 cases each, gaining access to LLM-generated diagnoses across 3 sequential steps to assess whether LLMs can improve diagnostic accuracy. Results: In the retrospective phase, ChatGPT-o1-preview demonstrated the highest top-10 accuracy (70.3%) and MRR (0.577), and DeepSeek-R1 ranked second. Diagnostic performance was low for amyloid light-chain (AL) amyloidosis; Castleman disease; Erdheim-Chester disease; and polyneuropathy, organomegaly, endocrinopathy, monoclonal gammopathy, and skin changes (POEMS) syndrome. Interestingly, higher accuracy often correlated with lower ranking stability across most LLMs. The physician performance showed a strong correlation with both top-10 accuracy (rho=0.565) and MRR (rho=0.650). In the prospective phase, LLMs significantly improved the diagnostic accuracy of less-experienced physicians; no significant benefit was observed for specialists. However, when LLMs generated biased responses, physician performance often failed to improve or even declined. Conclusions: Without fine-tuning, new-generation commercial LLMs, particularly those with chain-of-thought reasoning, can identify diagnoses of rare hematologic diseases with high accuracy and significantly enhance the diagnostic performance of less-experienced physicians. Nevertheless, biased LLM outputs may mislead clinicians, highlighting the need for critical appraisal and cautious clinical integration with appropriate safeguard systems. Trial Registration: Chinese Clinical Trial Registry ChiCTR2400089959; https://www.chictr.org.cn/hvshowpro-ject.html?id=260575</t>
  </si>
  <si>
    <t>Yu, Hongbin; Chen, Tian; Zhang, Xin; Yang, Yunfan; Liu, Qinyu; Yang, Chenlu; Shen, Kai; Li, He; Tang, Wenjiao; Zhong, Xushu; Shuai, Xiao; Yu, Xinmei; Liao, Yi; Wang, Chiyi; Zhu, Huanling; Wu, Yu</t>
  </si>
  <si>
    <t>Wu, Y (corresponding author), Sichuan Univ, West China Hosp, Dept Hematol, Guoxue Alley 37th, Chengdu 610041, Peoples R China.</t>
  </si>
  <si>
    <t>wu_yu@scu.edu.cn</t>
  </si>
  <si>
    <t>National Natural Science Foundation [82370171]; Natural Science Foundation of Sichuan Province [2025ZNSFSC0989]</t>
  </si>
  <si>
    <t>National Natural Science Foundation (National Natural Science Foundation of China (NSFC)); Natural Science Foundation of Sichuan Province</t>
  </si>
  <si>
    <t>This research was supported by the National Natural Science Foundation (82370171) and the Natural Science Foundation of Sichuan Province (2025ZNSFSC0989). The funder played no role in study design, data collection, analysis and interpretation of data, or the writing of this manuscript. The project was supported at the curricular level as part of the Sichuan University's first knowledge graph-based artificial intelligence courses. The authors sincerely thank all the physicians from West China Hospital of Sichuan University who participated in the prospective phase of this study. The authors also thank Professor Wenqiang Lei from the College of Computer Science, Sichuan University, for his valuable review and comments before manuscript submission.</t>
  </si>
  <si>
    <t>[Yu, Hongbin; Chen, Tian; Zhang, Xin; Yang, Yunfan; Liu, Qinyu; Yang, Chenlu; Shen, Kai; Li, He; Tang, Wenjiao; Zhong, Xushu; Shuai, Xiao; Yu, Xinmei; Liao, Yi; Wang, Chiyi; Zhu, Huanling; Wu, Yu] Sichuan Univ, West China Hosp, Dept Hematol, Guoxue Alley 37th, Chengdu 610041, Peoples R China</t>
  </si>
  <si>
    <t>Sichuan University</t>
  </si>
  <si>
    <t>Performance of Large Language Models in Diagnosing Rare Hematologic Diseases and the Impact of Their Diagnostic Outputs on Physicians: Combined Retrospective and Prospective Study</t>
  </si>
  <si>
    <t>rare hematologic disease; large language model; LLM; hematology; ChatGPT; artificial intelligence; AI; rare hematologic disease; large language model; LLM; hematology; ChatGPT; artificial intelligence; AI</t>
  </si>
  <si>
    <t>Shen, Kai/OGR-4972-2025; Yu, Hongbin/IZP-7754-2023</t>
  </si>
  <si>
    <t>Zhang, Xin/0000-0001-7975-9965; Shen, Kai/0000-0002-7772-8011; Chen, Tian/0009-0008-9894-4398; Tang, Wenjiao/0000-0001-5576-1788; Yu, Hongbin/0000-0001-9511-9044</t>
  </si>
  <si>
    <t>57</t>
  </si>
  <si>
    <t>OCT 9 2025</t>
  </si>
  <si>
    <t>27</t>
  </si>
  <si>
    <t>e77334</t>
  </si>
  <si>
    <t>10.2196/77334</t>
  </si>
  <si>
    <t>http://dx.doi.org/10.2196/77334</t>
  </si>
  <si>
    <t>9LP0C</t>
  </si>
  <si>
    <t>41070713</t>
  </si>
  <si>
    <t>WOS:001609266600003</t>
  </si>
  <si>
    <t>Barish, P; Auerbach, AD; Ranji, SR</t>
  </si>
  <si>
    <t>Diagnostic error remains a major patient safety challenge in hospital medicine. Large language models (LLMs) are increasingly used by clinicians to aid in diagnosis, yet most lack a structured approach for doing so safely and effectively. In this piece, we propose a practical, clinician-centered framework for LLM-assisted diagnosis. The 5R's Framework promotes a human-in-the-loop approach that harnesses LLMs to reduce diagnostic error while preserving critical reasoning skills.</t>
  </si>
  <si>
    <t>Barish, Peter; Auerbach, Andrew D.; Ranji, Sumant R.</t>
  </si>
  <si>
    <t>Barish, P (corresponding author), Univ Calif San Francisco, Div Hosp Med, 505 Parnassus Ave, San Francisco, CA 94143 USA.</t>
  </si>
  <si>
    <t>peter.barish@ucsf.edu</t>
  </si>
  <si>
    <t>[Barish, Peter; Auerbach, Andrew D.] Univ Calif San Francisco, Div Hosp Med, 505 Parnassus Ave, San Francisco, CA 94143 USA; [Ranji, Sumant R.] Univ Calif San Francisco, San Francisco Gen Hosp, Div Hosp Med, San Francisco, CA USA; [Ranji, Sumant R.] Univ Calif San Francisco, Div Clin Informat &amp; Digital Transformat, San Francisco, CA USA</t>
  </si>
  <si>
    <t>University of California System; University of California San Francisco; University of California System; University of California San Francisco; University of California System; University of California San Francisco</t>
  </si>
  <si>
    <t>The 5R's of large language model-assisted diagnosis: A practical framework for hospitalists</t>
  </si>
  <si>
    <t>JOURNAL OF HOSPITAL MEDICINE</t>
  </si>
  <si>
    <t>Article; Early Access</t>
  </si>
  <si>
    <t>ACCURACY</t>
  </si>
  <si>
    <t>1553-5592</t>
  </si>
  <si>
    <t>1553-5606</t>
  </si>
  <si>
    <t>J HOSP MED</t>
  </si>
  <si>
    <t>J. Hosp. Med.</t>
  </si>
  <si>
    <t>10.1002/jhm.70390</t>
  </si>
  <si>
    <t>http://dx.doi.org/10.1002/jhm.70390</t>
  </si>
  <si>
    <t>JUL 2026</t>
  </si>
  <si>
    <t>KM1WO</t>
  </si>
  <si>
    <t>42396645</t>
  </si>
  <si>
    <t>WOS:001810254100001</t>
  </si>
  <si>
    <t>hybrid</t>
  </si>
  <si>
    <t>Károlyi, M; Wilzeck, VC; Tramèr, L; Groenhoff, L; von Spiczak, J; Bigvava, T; Alkadhi, H; Manka, R</t>
  </si>
  <si>
    <t>The study explored the feasibility of using a large language model (LLM) for etiologic classification in patients with suspected myocardial infarction with non-obstructive coronary arteries (MINOCA) based on cardiovascular magnetic resonance (CMR) reports. We included 156 patients with MINOCA from a prospective (n = 50) and a retrospective (n = 106) pooled cohort. A large language model and three human readers with different experience levels independently classified CMR reports into eight predefined diagnostic categories, using the final expert CMR diagnosis as the reference standard. Performance and agreement were assessed using standard multiclass classification metrics. In the pooled cohort, the LLM achieved an exact-match diagnostic accuracy of 67.3% (95% CI 59.6-74.2%), lower than the expert reader (80.1%, 95% CI 73.2-85.6) but comparable to the intermediate and junior readers (both 68.6%, 95% CI 60.9-75.4%). Diagnosis-specific analysis showed consistently high specificity for the LLM (mean 94.9%), with sensitivities up to 86.0% and F1-scores up to 85.1% for common etiologies. Agreement between the LLM and the reference standard was substantial (ICC 0.84, 95% CI: 0.79-0.89) and comparable to experienced readers, whereas agreement with the junior reader was markedly lower, indicating greater diagnostic variability despite similar accuracy. A large language model shows promise as a supportive tool for etiologic classification in suspected MINOCA from CMR reports, with performance comparable to less experienced readers and high agreement with the final expert CMR diagnosis. Integration into structured reporting workflows may enhance diagnostic consistency in routine clinical practice.</t>
  </si>
  <si>
    <t>Karolyi, Mihaly; Wilzeck, Verena C.; Tramer, Lucas; Groenhoff, Leon; von Spiczak, Jochen; Bigvava, Tamar; Alkadhi, Hatem; Manka, Robert</t>
  </si>
  <si>
    <t>Manka, R (corresponding author), Univ Zurich, Univ Hosp Zurich, Diagnost &amp; Intervent Radiol, Zurich, Switzerland.; Manka, R (corresponding author), Univ Zurich, Univ Heart Ctr, Univ Hosp Zurich, Dept Cardiol, Raemistr 100, CH-8091 Zurich, Switzerland.; Manka, R (corresponding author), Univ Zurich, Inst Biomed Engn, Zurich, Switzerland.; Manka, R (corresponding author), Swiss Fed Inst Technol, Zurich, Switzerland.</t>
  </si>
  <si>
    <t>Robert.Manka@usz.ch</t>
  </si>
  <si>
    <t>[Karolyi, Mihaly; Wilzeck, Verena C.; Groenhoff, Leon; von Spiczak, Jochen; Bigvava, Tamar; Alkadhi, Hatem; Manka, Robert] Univ Zurich, Univ Hosp Zurich, Diagnost &amp; Intervent Radiol, Zurich, Switzerland; [Karolyi, Mihaly; Wilzeck, Verena C.; Tramer, Lucas; Manka, Robert] Univ Zurich, Univ Heart Ctr, Univ Hosp Zurich, Dept Cardiol, Raemistr 100, CH-8091 Zurich, Switzerland; [Wilzeck, Verena C.; von Spiczak, Jochen; Manka, Robert] Univ Zurich, Inst Biomed Engn, Zurich, Switzerland; [Wilzeck, Verena C.; von Spiczak, Jochen; Manka, Robert] Swiss Fed Inst Technol, Zurich, Switzerland</t>
  </si>
  <si>
    <t>University of Zurich; University Zurich Hospital; University of Zurich; University Zurich Hospital; University of Zurich; Swiss Federal Institutes of Technology Domain; ETH Zurich</t>
  </si>
  <si>
    <t>Etiologic classification of suspected MINOCA using cardiovascular magnetic resonance reports: a comparison of a large language model and human readers</t>
  </si>
  <si>
    <t>INTERNATIONAL JOURNAL OF CARDIOVASCULAR IMAGING</t>
  </si>
  <si>
    <t>Diagnostic classification; Large language model; Magnetic resonance imaging; MINOCA</t>
  </si>
  <si>
    <t>MYOCARDIAL-INFARCTION</t>
  </si>
  <si>
    <t>SPRINGER</t>
  </si>
  <si>
    <t>DORDRECHT</t>
  </si>
  <si>
    <t>VAN GODEWIJCKSTRAAT 30, 3311 GZ DORDRECHT, NETHERLANDS</t>
  </si>
  <si>
    <t>1569-5794</t>
  </si>
  <si>
    <t>1875-8312</t>
  </si>
  <si>
    <t>INT J CARDIOVAS IMAG</t>
  </si>
  <si>
    <t>Int. J. Cardiovasc. Imaging</t>
  </si>
  <si>
    <t>42</t>
  </si>
  <si>
    <t>1395</t>
  </si>
  <si>
    <t>1406</t>
  </si>
  <si>
    <t>10.1007/s10554-026-03689-7</t>
  </si>
  <si>
    <t>http://dx.doi.org/10.1007/s10554-026-03689-7</t>
  </si>
  <si>
    <t>MAR 2026</t>
  </si>
  <si>
    <t>Cardiac &amp; Cardiovascular Systems; Radiology, Nuclear Medicine &amp; Medical Imaging</t>
  </si>
  <si>
    <t>Cardiovascular System &amp; Cardiology; Radiology, Nuclear Medicine &amp; Medical Imaging</t>
  </si>
  <si>
    <t>LG3KR</t>
  </si>
  <si>
    <t>41870764</t>
  </si>
  <si>
    <t>WOS:001720585400001</t>
  </si>
  <si>
    <t>Kumar, V; Mann, NS; Sharma, K</t>
  </si>
  <si>
    <t>Accurate diagnosis is the cornerstone of successful endodontic care, yet it often remains a challenge in daily practice. Artificial intelligence (AI), particularly large language models (LLMs), is being explored as a possible support tool for clinicians. In this study, we compared the diagnostic ability of three LLMs: ChatGPT-5, Gemini, and Perplexity with the judgment of an experienced endodontist across 40 anonymized clinical cases. ChatGPT-5 reached perfect agreement with the expert (100% accuracy, kappa = 1.00). Gemini (97.5% accuracy, kappa = 0.95) and Perplexity (92.5% accuracy, kappa = 0.85) also performed well but showed different error patterns: Gemini made one false positive, while Perplexity missed three positive cases. Overall, ChatGPT-5 and Gemini showed the best sensitivity, and ChatGPT-5 and Perplexity maintained full specificity. These results show that the latest LLMs can approach expert-level diagnostic performance, but further testing is needed before they can be relied upon in everyday clinical practice.</t>
  </si>
  <si>
    <t>Kumar, Vishal; Mann, Navjot Singh; Sharma, Kritika</t>
  </si>
  <si>
    <t>Kumar, V (corresponding author), Natl Dent Coll &amp; Hosp, Dept Conservat Dent &amp; Endodont, Dera Bassi, Punjab, India.</t>
  </si>
  <si>
    <t>aiimsvishal@gmail.com</t>
  </si>
  <si>
    <t>[Kumar, Vishal; Mann, Navjot Singh; Sharma, Kritika] Natl Dent Coll &amp; Hosp, Dept Conservat Dent &amp; Endodont, Dera Bassi, Punjab, India</t>
  </si>
  <si>
    <t>Large Language Models for Endodontic Diagnosis: A Comparative Study Against an Expert Reference Standard</t>
  </si>
  <si>
    <t>AUSTRALIAN ENDODONTIC JOURNAL</t>
  </si>
  <si>
    <t>artificial intelligence; ChatGPT; clinical decision support; endodontic diagnosis; Gemini; large language models</t>
  </si>
  <si>
    <t>AGREEMENT</t>
  </si>
  <si>
    <t>Kumar, Vishal/0000-0001-9500-3770; Mann, Navjot Singh/0000-0001-6929-5343; Sharma, Kritika/0009-0002-0082-757X</t>
  </si>
  <si>
    <t>1329-1947</t>
  </si>
  <si>
    <t>1747-4477</t>
  </si>
  <si>
    <t>AUST ENDOD J</t>
  </si>
  <si>
    <t>Aust. Endod. J.</t>
  </si>
  <si>
    <t>52</t>
  </si>
  <si>
    <t>185</t>
  </si>
  <si>
    <t>191</t>
  </si>
  <si>
    <t>10.1111/aej.70046</t>
  </si>
  <si>
    <t>http://dx.doi.org/10.1111/aej.70046</t>
  </si>
  <si>
    <t>Dentistry, Oral Surgery &amp; Medicine</t>
  </si>
  <si>
    <t>GD7OW</t>
  </si>
  <si>
    <t>41449661</t>
  </si>
  <si>
    <t>WOS:001648216000001</t>
  </si>
  <si>
    <t>Shamsabadi, MA; Vatankhah, R; Jalilvand, H; OmraniNava, A; Shahabian, M; Rajabzadeh, S; Azizi, SM</t>
  </si>
  <si>
    <t>Background Timely and highly accurate diagnoses by physicians play a crucial role in improving the quality and effectiveness of patient treatment outcomes. Currently, the use of artificial intelligence capabilities in this area has garnered the attention of many health science researchers. Therefore, the main goal of this preliminary study was to compare the text-based diagnostic reasoning performance of emergency medicine physicians and large language models in definitive and differential diagnoses using standardized clinical vignettes.Methods This descriptive comparative study evaluated the diagnostic accuracy of 10 emergency medicine physicians and 4 large language models (LLMs)-ChatGPT (GPT-5.2), Gemini 3, Microsoft Copilot (GPT-4), and Claude Opus 4.1-using 10 standardized clinical vignettes. All LLMs were accessed via official web interfaces. Clinical vignettes were developed from emergency department presentations, validated by an expert panel, and presented as text-only inputs to all evaluators. Diagnostic accuracy was assessed using a standardized scoring protocol: definitive diagnoses required an exact match with expert-derived reference standards, while differential diagnoses required &gt;= 3 matches. Overall diagnostic accuracy was the primary outcome. Data were analyzed using Pearson's Chi-square test, McNemar's test, and Generalized Estimating Equation (GEE) logistic regression with Bonferroni correction (SPSS version 28).Results A total of 280 diagnostic evaluations (10 clinical cases assessed by 14 evaluators across 2 diagnosis types) were analyzed. Overall diagnostic accuracy was 61.79%. AI models demonstrated significantly higher overall accuracy (73.75%) compared to emergency medicine physicians (57.00%, p = 0.014). Across all evaluators, definitive diagnoses were more accurate than differential diagnoses (70.71% vs. 52.86%). Generalized Estimating Equation (GEE) analysis revealed a significant interaction between evaluator group and diagnosis type (p = 0.036). Specifically, physicians experienced a significant decline in accuracy when providing differential diagnoses compared to definitive diagnoses (45.0% vs. 69.0%, p = 0.003; remained significant after Bonferroni correction). In contrast, AI models maintained consistently high accuracy across both diagnosis types, with no significant difference between definitive (75.0%) and differential (72.5%) diagnoses (p = 1.000).Conclusion Large language models outperformed emergency medicine physicians in overall diagnostic accuracy and demonstrated superior consistency across different types of diagnostic tasks. While human physicians struggled significantly with differential diagnoses, AI models maintained high and stable performance regardless of the diagnostic complexity. These findings indicate that AI possesses robust pattern-recognition and reasoning capabilities, suggesting it could serve as a highly reliable clinical decision support tool, particularly in complex scenarios requiring differential diagnostic reasoning. Due to study limitations, such as the small number of clinical scenarios and assessors, these findings should be interpreted with significant caution.</t>
  </si>
  <si>
    <t>Shamsabadi, Mehdi Arzani; Vatankhah, Roya; Jalilvand, Hasan; OmraniNava, Ali; Shahabian, Masoud; Rajabzadeh, Somayeh; Azizi, Seyyed Mohsen</t>
  </si>
  <si>
    <t>Emerging Sources Citation Index (ESCI)</t>
  </si>
  <si>
    <t>Rajabzadeh, S (corresponding author), SMART Univ Med Sci, Dept E Learning Med Sci, Tehran, Iran.</t>
  </si>
  <si>
    <t>aliomraninava@ajaums.ac.ir; vatankhahr1@mums.ac.ir; hassanjaliilvand@gmail.com; elmpajooh.ac.ir@gmail.com; mehdiarzani56@gmail.com; somaye.rajabzade@yahoo.com; smohsenazizi@yahoo.com</t>
  </si>
  <si>
    <t>[Shamsabadi, Mehdi Arzani; Jalilvand, Hasan; OmraniNava, Ali] AJA Univ Med Sci, Emergency Med Dept, Paramed Fac, Tehran, Iran; [Vatankhah, Roya] Mashhad Univ Med Sci, Med Sci Educ Res Ctr, Mashhad, Iran; [Shahabian, Masoud] AJA Univ Med Sci, Besat Hosp, Clin Res Dev Unit, Tehran, Iran; [Rajabzadeh, Somayeh] SMART Univ Med Sci, Dept E Learning Med Sci, Tehran, Iran; [Azizi, Seyyed Mohsen] Arak Univ Med Sci, Med Educ Dev Ctr, Arak, Iran</t>
  </si>
  <si>
    <t>Aja University of Medical Sciences In Iran; Mashhad University of Medical Sciences</t>
  </si>
  <si>
    <t>Comparing the text-based diagnostic reasoning performance of emergency medicine physicians and large language models in both definitive and differential diagnoses using standardized clinical vignettes: a preliminary study</t>
  </si>
  <si>
    <t>INTERNATIONAL JOURNAL OF EMERGENCY MEDICINE</t>
  </si>
  <si>
    <t>Emergency medicine specialists; Large language models; Definitive diagnoses; Differential diagnoses; Clinical vignettes</t>
  </si>
  <si>
    <t>Shahabian, Masoud/ADL-8131-2022</t>
  </si>
  <si>
    <t>BMC</t>
  </si>
  <si>
    <t>LONDON</t>
  </si>
  <si>
    <t>CAMPUS, 4 CRINAN ST, LONDON N1 9XW, ENGLAND</t>
  </si>
  <si>
    <t>1865-1372</t>
  </si>
  <si>
    <t>1865-1380</t>
  </si>
  <si>
    <t>INT J EMERG MED</t>
  </si>
  <si>
    <t>Int. J. Emergency Medicine</t>
  </si>
  <si>
    <t>JUL 31 2026</t>
  </si>
  <si>
    <t>192</t>
  </si>
  <si>
    <t>10.1186/s12245-026-01324-9</t>
  </si>
  <si>
    <t>http://dx.doi.org/10.1186/s12245-026-01324-9</t>
  </si>
  <si>
    <t>Emergency Medicine</t>
  </si>
  <si>
    <t>LZ6MN</t>
  </si>
  <si>
    <t>42538544</t>
  </si>
  <si>
    <t>WOS:001837020800001</t>
  </si>
  <si>
    <t>Hack, S; Frankel, T; Zalzal, HG; Attal, R; Farzad, A; Crew, LA; Tessler, I; Gvili, B; Shivatzki, S; Wolfovitz, A; Rozendorn, N</t>
  </si>
  <si>
    <t>Purpose: Artificial intelligence systems known as large language models are being evaluated for clinical decision support, yet their role in emergency and primary care remains limited. Physicians in these settings often encounter ear, nose, and throat conditions where diagnostic uncertainty, unnecessary testing, and inappropriate referrals contribute to patient risk and healthcare inefficiency. This study compared the performance of advanced large language models with physicians in diagnosis, management, and referral across common and high-acuity otolaryngologic scenarios. Methods: Twelve clinical vignettes representing routine and urgent presentations were developed and validated by otolaryngologists. One hundred practicing physicians in family medicine and emergency medicine, including residents and attending physicians, completed all vignettes by providing a diagnosis, management plan, and referral decision. Four large language models (Gemini-2.0, ChatGPT-4.0, ChatGPT-5, and OpenEvidence) were tested using identical prompts. Model outputs were anonymized, randomized, and rated by a blinded expert panel using the Quality Analysis of Medical Artificial Intelligence tool, which assesses accuracy, clarity, completeness, sourcing, relevance, and usefulness. Results: Physicians achieved mean diagnostic accuracy of 91.6% and management accuracy of 87.9%. In nonurgent cases, 30.4% of responses represented inappropriate referral. Only half recognized the need for urgent referral in a cerebrospinal fluid leak scenario. Large language models demonstrated comparable diagnostic and management accuracy with higher referral appropriateness. Conclusions: Large language models showed consistent, guideline-concordant reasoning in simulated emergency and primary-care otolaryngology cases. Their potential lies in supporting, not replacing, clinical judgment through responsible integration and real-world validation. (c) 2026 The Authors. Published by Elsevier Inc. This is an open access article under the CC BY license (http:// creativecommons.org/licenses/by/4.0/).</t>
  </si>
  <si>
    <t>Hack, Sholem; Frankel, Talya; Zalzal, Habib G.; Attal, Rebecca; Farzad, Armin; Crew, Lilia Ann; Tessler, Idit; Gvili, Ben; Shivatzki, Shaked; Wolfovitz, Amit; Rozendorn, Noa</t>
  </si>
  <si>
    <t>Hack, S (corresponding author), City St Georges Univ London, Univ Nicosia, Chaim Sheba Med Ctr, Sch Med, Derech Sheba 2, Ramat Gan, Israel.</t>
  </si>
  <si>
    <t>sholemhack1@gmail.com</t>
  </si>
  <si>
    <t>[Hack, Sholem; Attal, Rebecca] City St Georges Univ London, Univ Nicosia, Chaim Sheba Med Ctr, Sch Med, Derech Sheba 2, Ramat Gan, Israel; [Zalzal, Habib G.] Childrens Natl Hosp, Div Otolaryngol Head &amp; Neck Surg, Washington, DC USA; [Farzad, Armin] Cit St Georges Univ London, Sch Med, London SW17 0RE, England; [Crew, Lilia Ann] Touro Coll Osteopath Med Montanna, Great Falls, MT USA; [Tessler, Idit; Gvili, Ben; Shivatzki, Shaked; Wolfovitz, Amit; Rozendorn, Noa] Sheba Med Ctr, Dept Otolaryngol Head &amp; Neck Surg, Tel Hashomer, Israel; [Tessler, Idit; Gvili, Ben; Shivatzki, Shaked; Wolfovitz, Amit; Rozendorn, Noa] Tel Aviv Univ, Gray Fac Med &amp; Hlth Sci, Tel Aviv, Israel; [Frankel, Talya] Clalit Hlth Serv, Tel Aviv, Israel; [Tessler, Idit; Gvili, Ben; Shivatzki, Shaked; Wolfovitz, Amit; Rozendorn, Noa] Tel Aviv Univ, Fac Med, Tel Aviv, Israel</t>
  </si>
  <si>
    <t>Chaim Sheba Medical Center; Tel Aviv University; Sackler Faculty of Medicine; Children's National Health System; Chaim Sheba Medical Center; Tel Aviv University; Sackler Faculty of Medicine; Tel Aviv University; Clalit Health Services; Tel Aviv University; Sackler Faculty of Medicine</t>
  </si>
  <si>
    <t>Empowering front-line physicians with AI: Evaluating large language models in everyday ENT care</t>
  </si>
  <si>
    <t>AMERICAN JOURNAL OF EMERGENCY MEDICINE</t>
  </si>
  <si>
    <t>Artificial intelligence; Large language models; Otolaryngology; Clinical decision support; Referral patterns; Diagnostic accuracy</t>
  </si>
  <si>
    <t>PATTERNS</t>
  </si>
  <si>
    <t>Hack, Sholem/ODK-2792-2025; Crew, Lilia/OYD-3390-2025; Zalzal, Habib/GZL-7218-2022</t>
  </si>
  <si>
    <t>W B SAUNDERS CO-ELSEVIER INC</t>
  </si>
  <si>
    <t>PHILADELPHIA</t>
  </si>
  <si>
    <t>1600 JOHN F KENNEDY BOULEVARD, STE 1800, PHILADELPHIA, PA 19103-2899 USA</t>
  </si>
  <si>
    <t>0735-6757</t>
  </si>
  <si>
    <t>1532-8171</t>
  </si>
  <si>
    <t>AM J EMERG MED</t>
  </si>
  <si>
    <t>Am. J. Emerg. Med.</t>
  </si>
  <si>
    <t>102</t>
  </si>
  <si>
    <t>90</t>
  </si>
  <si>
    <t>97</t>
  </si>
  <si>
    <t>10.1016/j.ajem.2026.01.029</t>
  </si>
  <si>
    <t>http://dx.doi.org/10.1016/j.ajem.2026.01.029</t>
  </si>
  <si>
    <t>JAN 2026</t>
  </si>
  <si>
    <t>CY3IQ</t>
  </si>
  <si>
    <t>41579527</t>
  </si>
  <si>
    <t>WOS:001677327600001</t>
  </si>
  <si>
    <t>Zhuang, Y; Wang, B; Yin, CL; Zhang, JY; Meng, FQ; Zhao, JF; Su, QY; Zhao, X; Li, XX; Hu, P; Liu, SY; Wu, RLG; Hua, Y; Dong, W; Wei, B; Zhang, L; Zheng, L; Conde, J; Shi, G; Feng, C; He, KL</t>
  </si>
  <si>
    <t>In the quest to enhance medical consultation, our study introduces AI4Doctor, a sophisticated large-language model (LLM) tailored for the clinical domain. At the heart of AI4Doctor is an innovative integration strategy that synergizes distilled data extracted from electronic medical records (EMR) with empirical insights gathered from practicing physicians during the supervised fine-tuning. Although existing platforms offer informative responses, they fall short of replicating the nuanced decision-making processes of medical professionals, particularly in complex, integrative diagnostic scenarios. Motivated by the need to create a realistic medical practice environment, we propose that a combination of direct knowledge transfer from seasoned doctors and the strategic use of EMR can augment the abilities of LLM, enabling it to more closely mimic the clinical acumen of healthcare practitioners. To navigate the complexities of merging diverse instructional sources, we employ a curriculum learning approach during the fine-tuning process. Moreover, we advance our model's performance by developing a reward system that incentivizes the alignment of the LLM's outputs with the valuable attributes inherent in both doctors' expertise, including diagnostic priors, risk thresholds, and heuristic saliencies accumulated from practice and EMR data. This is achieved through a novel reinforcement-learning approach. Besides, we introduce a new benchmark involving a comparative evaluation. We utilize a subjective evaluation system wherein experts critically assess the responses from a professional perspective as well. Our research underscores the potential of this hybrid model to serve as a robust tool in medical consultations, bridging the gap between artificial intelligence and real-world clinical practice.</t>
  </si>
  <si>
    <t>Zhuang, Yan; Wang, Bo; Yin, Chengliang; Zhang, Junyan; Meng, Fanqing; Zhao, Jianfei; Su, Qingyong; Zhao, Xuan; Li, Xiuxing; Hu, Ping; Liu, Shiyuan; Wu, Rilige; Hua, Yun; Dong, Wei; Wei, Bing; Zhang, Li; Zheng, Lei; Conde, Joao; Shi, Ge; Feng, Chong; He, Kunlun</t>
  </si>
  <si>
    <t>He, KL (corresponding author), Chinese Peoples Liberat Army Gen Hosp, Med Innovat Res Dept, Beijing, Peoples R China.; He, KL (corresponding author), Chinese Peoples Liberat Army Gen Hosp, Natl Engn Lab Med Big Data Applicat Technol, Beijing, Peoples R China.; Shi, G; Feng, C (corresponding author), Beijing Inst Technol, Sch Comp Sci &amp; Technol, Beijing, Peoples R China.; Conde, J (corresponding author), Univ NOVA Lisboa, Fac Ciencias Med, Comprehens Hlth Res Ctr, NOVA Med Sch, Lisbon, Portugal.</t>
  </si>
  <si>
    <t>joao.conde@nms.unl.pt; tinkersxy@gmail.com; fengchong@bit.edu.cn; kunlunhe@plagh.org</t>
  </si>
  <si>
    <t>Joint Fund of the Beijing Natural Science Foundation of China [BHQ090003000X03]; National Natural Science Foundation of China [L232119]; Beijing Natural Science Foundation [62372466]</t>
  </si>
  <si>
    <t>Joint Fund of the Beijing Natural Science Foundation of China; National Natural Science Foundation of China (National Natural Science Foundation of China (NSFC)); Beijing Natural Science Foundation (Beijing Natural Science Foundation)</t>
  </si>
  <si>
    <t>This work was supported by the Research Project (BHQ090003000X03), Joint Fund of the Beijing Natural Science Foundation of China (L232119), National Natural Science Foundation of China(62372466), and Beijing Natural Science Foundation (L222006).</t>
  </si>
  <si>
    <t>[Zhuang, Yan; Yin, Chengliang; Zhang, Junyan; Hu, Ping; Wu, Rilige; Hua, Yun; He, Kunlun] Chinese Peoples Liberat Army Gen Hosp, Med Innovat Res Dept, Beijing, Peoples R China; [Zhuang, Yan; Yin, Chengliang; Zhang, Junyan; Hu, Ping; Wu, Rilige; Hua, Yun; He, Kunlun] Chinese Peoples Liberat Army Gen Hosp, Natl Engn Lab Med Big Data Applicat Technol, Beijing, Peoples R China; [Wang, Bo; Meng, Fanqing; Zhao, Jianfei; Su, Qingyong; Zhao, Xuan; Li, Xiuxing; Shi, Ge; Feng, Chong] Beijing Inst Technol, Sch Comp Sci &amp; Technol, Beijing, Peoples R China; [Liu, Shiyuan] Xi An Jiao Tong Univ, Affiliated Hosp 2, Dept Thorac Surg, Xian, Shaanxi, Peoples R China; [Dong, Wei] Peoples Liberat Army Gen Hosp, Med Ctr 6, Dept Crit Care Med, Cardiol Div, Beijing, Peoples R China; [Wei, Bing; Zhang, Li; Zheng, Lei] Peoples Liberat Army Gen Hosp, Med Supplies Ctr, Dept Informat, Beijing, Peoples R China; [Conde, Joao] Univ NOVA Lisboa, Fac Ciencias Med, Comprehens Hlth Res Ctr, NOVA Med Sch, Lisbon, Portugal</t>
  </si>
  <si>
    <t>Chinese People's Liberation Army General Hospital; Chinese People's Liberation Army General Hospital; Beijing Institute of Technology; Xi'an Jiaotong University; Universidade Nova de Lisboa</t>
  </si>
  <si>
    <t>Clinical large language model centered on electronic medical records</t>
  </si>
  <si>
    <t>Conde, João/F-2231-2011</t>
  </si>
  <si>
    <t>56</t>
  </si>
  <si>
    <t>JUN 19 2026</t>
  </si>
  <si>
    <t>511</t>
  </si>
  <si>
    <t>10.1038/s41746-026-02509-5</t>
  </si>
  <si>
    <t>http://dx.doi.org/10.1038/s41746-026-02509-5</t>
  </si>
  <si>
    <t>KQ0QI</t>
  </si>
  <si>
    <t>42321427</t>
  </si>
  <si>
    <t>WOS:001812890000001</t>
  </si>
  <si>
    <t>Tian, WW; Huang, XY; Cheng, TH; He, W; Fang, JW; Feng, R; Geng, DY; Zhang, XB</t>
  </si>
  <si>
    <t>Pediatric pneumonia is the leading cause of death among children under five years worldwide, imposing a substantial burden on affected families. Currently, there are three significant hurdles in diagnosing and treating pediatric pneumonia. Firstly, pediatric pneumonia shares similar symptoms with other respiratory diseases, making rapid and accurate differential diagnosis challenging. Secondly, primary hospitals often lack sufficient medical resources and experienced doctors. Lastly, providing personalized diagnostic reports and treatment recommendations is labor-intensive and time-consuming. To tackle these challenges, we proposed a Medical Multimodal Large Language Model for Pediatric Pneumonia (P2Med-MLLM). It was capable of handling diverse clinical tasks-such as generating free-text medical records and radiology reports-within a unified framework. Specifically, P2Med-MLLM was trained on a large-scale dataset, including real clinical information from 163,999 outpatient and 8,684 inpatient cases. It can process both plain text data (e.g., outpatient and inpatient records) and interleaved image-text pairs (e.g., 2D chest X-ray images, 3D chest Computed Tomography images, and corresponding radiology reports). We designed a three-stage training strategy to enable P2Med-MLLM to comprehend medical knowledge and follow instructions for various clinical decision-support tasks. To rigorously evaluate P2Med-MLLM's performance, we conducted automatic scoring by the large language model and manual scoring by the specialist on the test set of 642 samples, meticulously verified by pediatric pulmonology specialists. The results demonstrated the reliability of automated scoring and the superiority of P2Med-MLLM. This work plays a crucial role in assisting doctors with prompt diagnosis and treatment planning, reducing severe symptom mortality rates, and optimizing the allocation of medical resources.</t>
  </si>
  <si>
    <t>Tian, Weiwei; Huang, Xinyu; Cheng, Tianhao; He, Wen; Fang, Jinwu; Feng, Rui; Geng, Daoying; Zhang, Xiaobo</t>
  </si>
  <si>
    <t>Zhang, XB (corresponding author), Fudan Univ, Childrens Hosp, Dept Resp Med, Shanghai 201102, Peoples R China.</t>
  </si>
  <si>
    <t>fangjinwu007@126.com; wwtian20@fudan.edu.cn; xinyuhuang20@fudan.edu.cn; gengdy@163.com; fengrui@fudan.edu.cn; zhangxiaobo0307@163.com; thcheng23@m.fudan.edu.cn; hewen@fudan.edu.cn</t>
  </si>
  <si>
    <t>Shanghai Municipal Commission of Economy and Informatization [2024-GZL-RGZN-01013]; Science and Technology Commission of Shanghai Municipality [21511104506]; Municipal Hospital Frontier Joint Research Project [SHDC12024136]; Applying and Evaluating a Medical Large Language Model for the Diagnosis and Treatment of Pediatric Severe Pneumonia [EKYX202409]; Trustworthy Data Generation Theory and Algorithm for Immunotherapy of Small Cell Neuroendocrine Cervical Carcinoma [XM03241799]</t>
  </si>
  <si>
    <t>Shanghai Municipal Commission of Economy and Informatization; Science and Technology Commission of Shanghai Municipality (Science &amp; Technology Commission of Shanghai Municipality (STCSM)); Municipal Hospital Frontier Joint Research Project; Applying and Evaluating a Medical Large Language Model for the Diagnosis and Treatment of Pediatric Severe Pneumonia; Trustworthy Data Generation Theory and Algorithm for Immunotherapy of Small Cell Neuroendocrine Cervical Carcinoma</t>
  </si>
  <si>
    <t>This work was supported in part by the Shanghai Municipal Commission of Economy and Informatization under Grant 2024-GZL-RGZN-01013, in part by the Science and Technology Commission of Shanghai Municipality under Grant 21511104506, in part by Municipal Hospital Frontier Joint Research Project under Grant SHDC12024136, in part by Applying and Evaluating a Medical Large Language Model for the Diagnosis and Treatment of Pediatric Severe Pneumonia under Grant EKYX202409, and in part by Trustworthy Data Generation Theory and Algorithm for Immunotherapy of Small Cell Neuroendocrine Cervical Carcinoma under Grant XM03241799. (Xinyu Huang and Tianhao Cheng contributed equally to this work.)</t>
  </si>
  <si>
    <t>[Tian, Weiwei; Feng, Rui; Geng, Daoying] Fudan Univ, Acad Engn &amp; Technol, Shanghai 200433, Peoples R China; [Huang, Xinyu; Cheng, Tianhao; Feng, Rui] Fudan Univ, Shanghai Key Lab Intelligent Informat Proc, Comp &amp; Artificial Intelligence Innovat Coll, Shanghai 200438, Peoples R China; [He, Wen; Feng, Rui; Zhang, Xiaobo] Fudan Univ, Childrens Hosp, Dept Resp Med, Shanghai 201102, Peoples R China; [Fang, Jinwu] Fudan Univ, Sch Publ Hlth, Shanghai 200032, Peoples R China; [Geng, Daoying] Fudan Univ, Huashan Hosp, Dept Radiol, Shanghai 200040, Peoples R China</t>
  </si>
  <si>
    <t>Fudan University; Fudan University; Fudan University; Fudan University; Fudan University</t>
  </si>
  <si>
    <t>A Medical Multimodal Large Language Model for Pediatric Pneumonia</t>
  </si>
  <si>
    <t>IEEE JOURNAL OF BIOMEDICAL AND HEALTH INFORMATICS</t>
  </si>
  <si>
    <t>Medical diagnostic imaging; Pneumonia; Diseases; Medical services; X-ray imaging; Training; Radiology; Computed tomography; Large language models; Hospitals; Computer-assisted diagnosis; decision support systems; large language models; multimodal integration; pneumonia</t>
  </si>
  <si>
    <t>xiaobo, zhang/PMR-9730-2026; Huang, Xin-Yu/JOZ-6120-2023; Tian, Weiwei/PRR-5151-2026; Cao, Xin/AAX-8367-2021</t>
  </si>
  <si>
    <t>IEEE-INST ELECTRICAL ELECTRONICS ENGINEERS INC</t>
  </si>
  <si>
    <t>PISCATAWAY</t>
  </si>
  <si>
    <t>445 HOES LANE, PISCATAWAY, NJ 08855-4141 USA</t>
  </si>
  <si>
    <t>2168-2194</t>
  </si>
  <si>
    <t>2168-2208</t>
  </si>
  <si>
    <t>IEEE J BIOMED HEALTH</t>
  </si>
  <si>
    <t>IEEE J. Biomed. Health Inform.</t>
  </si>
  <si>
    <t>SEP 2025</t>
  </si>
  <si>
    <t>29</t>
  </si>
  <si>
    <t>6869</t>
  </si>
  <si>
    <t>6882</t>
  </si>
  <si>
    <t>10.1109/JBHI.2025.3569361</t>
  </si>
  <si>
    <t>http://dx.doi.org/10.1109/JBHI.2025.3569361</t>
  </si>
  <si>
    <t>Computer Science, Information Systems; Computer Science, Interdisciplinary Applications; Mathematical &amp; Computational Biology; Medical Informatics</t>
  </si>
  <si>
    <t>Computer Science; Mathematical &amp; Computational Biology; Medical Informatics</t>
  </si>
  <si>
    <t>7GC5M</t>
  </si>
  <si>
    <t>40354198</t>
  </si>
  <si>
    <t>WOS:001570204100015</t>
  </si>
  <si>
    <t>Del Monte, F; Barolo, R; Circhetta, M; Delmonaco, AG; Castagno, E; Pivetta, E; Bergamasco, L; Franco, M; Olmo, G; Bondone, C</t>
  </si>
  <si>
    <t>Background The Pediatric Emergency Department (PED) faces significant challenges, such as high patient volumes, time-sensitive decisions, and complex diagnoses. Large Language Models (LLMs) have the potential to enhance patient care; however, their effectiveness in supporting the diagnostic process remains uncertain, with studies showing mixed results regarding their impact on clinical reasoning. We aimed to assess LLM-based chatbots performance in realistic PED scenarios, and to explore their use as diagnosis-making assistants in pediatric emergency. Methods We evaluated the diagnostic effectiveness of 5 LLMs (ChatGPT-4o, Gemini 1.5 Pro, Gemini 1.5 Flash, Llama-3-8B, and ChatGPT-4o mini) compared to 23 physicians (including 10 PED physicians, 6 PED residents, and 7 Emergency Medicine residents). Both LLMs and physicians had to provide one primary diagnosis and two differential diagnoses for 80 real-practice pediatric clinical cases from the PED of a tertiary care Children's Hospital, with three different levels of diagnostic complexity. The responses from both LLMs and physicians were compared to the final diagnoses assigned upon patient discharge; two independent experts evaluated the answers using a five-level accuracy scale. Each physician or LLM received a total score out of 80, based on the sum of all answer points. Results The best performing chatbots were ChatGPT-4o (score: 72.5) and Gemini 1.5 Pro (score: 62.75), the first performing better (p &lt; 0.05) than PED physicians (score: 61.88). Emergency Medicine residents performed worse (score: 43.75) than both the other physicians and chatbots (p &lt; 0.01). Chatbots' performance was inversely proportional to case difficulty, but ChatGPT-4o managed to match the majority of the correct answers even for highly difficult cases. Discussion ChatGPT-4o and Gemini 1.5 Pro could be a valid tool for ED physicians, supporting clinical decision-making without replacing the physician's judgment. Shared protocols for effective collaboration between AI chatbots and healthcare professionals are needed.</t>
  </si>
  <si>
    <t>Del Monte, Francesco; Barolo, Roberta; Circhetta, Maria; Delmonaco, Angelo Giovanni; Castagno, Emanuele; Pivetta, Emanuele; Bergamasco, Letizia; Franco, Matteo; Olmo, Gabriella; Bondone, Claudia</t>
  </si>
  <si>
    <t>Castagno, E (corresponding author), AOU Citta Salute &amp; Sci Torino, Regina Margher Childrens Hosp, Dept Pediat Emergency, Turin, Italy.</t>
  </si>
  <si>
    <t>ecastagno@cittadellasalute.to.it</t>
  </si>
  <si>
    <t>[Del Monte, Francesco; Delmonaco, Angelo Giovanni; Castagno, Emanuele; Bondone, Claudia] AOU Citta Salute &amp; Sci Torino, Regina Margher Childrens Hosp, Dept Pediat Emergency, Turin, Italy; [Barolo, Roberta] Univ Turin, Postgrad Sch Pediat, Dept Publ Hlth &amp; Pediat, Turin, Italy; [Circhetta, Maria; Bergamasco, Letizia; Olmo, Gabriella] Politecn Torino, Dept Control &amp; Comp Engn, Turin, Italy; [Pivetta, Emanuele] Citta Salute &amp; Sci Torino, Dept Med Sci, Div Emergency Med &amp; High Dependency Unit, Turin, Italy; [Pivetta, Emanuele] Univ Turin, Turin, Italy; [Bergamasco, Letizia] LINKS Fdn, Turin, Italy; [Franco, Matteo] Univ Turin, Dept Clin &amp; Biol Sci, Turin, Italy</t>
  </si>
  <si>
    <t>A.O.U. Citta della Salute e della Scienza di Torino; University of Turin; Polytechnic University of Turin; A.O.U. Citta della Salute e della Scienza di Torino; University of Turin; University of Turin</t>
  </si>
  <si>
    <t>Diagnostic efficacy of large language models in the pediatric emergency department: a pilot study</t>
  </si>
  <si>
    <t>FRONTIERS IN DIGITAL HEALTH</t>
  </si>
  <si>
    <t>artificial intelligence; chatbot; diagnostic accuracy; large language model; pediatric emergency department</t>
  </si>
  <si>
    <t>Bondone, Claudia/AAI-7088-2021; Pivetta, Emanuele/ITU-7468-2023; Castagno, Emanuele/AAU-2634-2021; OLMO, Gabriella/AAB-4987-2021</t>
  </si>
  <si>
    <t>Circhetta, Maria/0009-0003-0936-2294; OLMO, Gabriella/0000-0002-3670-9412</t>
  </si>
  <si>
    <t>FRONTIERS MEDIA SA</t>
  </si>
  <si>
    <t>LAUSANNE</t>
  </si>
  <si>
    <t>AVENUE DU TRIBUNAL FEDERAL 34, LAUSANNE, CH-1015, SWITZERLAND</t>
  </si>
  <si>
    <t>2673-253X</t>
  </si>
  <si>
    <t>FRONT DIGIT HEALTH</t>
  </si>
  <si>
    <t>Front. Digit. Health</t>
  </si>
  <si>
    <t>JUL 1 2025</t>
  </si>
  <si>
    <t>1624786</t>
  </si>
  <si>
    <t>10.3389/fdgth.2025.1624786</t>
  </si>
  <si>
    <t>http://dx.doi.org/10.3389/fdgth.2025.1624786</t>
  </si>
  <si>
    <t>4XK4Z</t>
  </si>
  <si>
    <t>40666107</t>
  </si>
  <si>
    <t>WOS:001528955900001</t>
  </si>
  <si>
    <t>Nakaura, T; Uetani, H; Yoshida, N; Kobayashi, N; Nagayama, Y; Kidoh, M; Kuroda, JI; Mukasa, A; Hirai, T</t>
  </si>
  <si>
    <t>ObjectiveAimed to evaluate the potential of large language models (LLMs) in differentiating intra-axial primary brain tumors using structured magnetic resonance imaging (MRI) reports and compare their performance with radiologists.Materials and methodsStructured reports of preoperative MRI findings from 137 surgically confirmed intra-axial primary brain tumors, including Glioblastoma (n = 77), Central Nervous System (CNS) Lymphoma (n = 22), Astrocytoma (n = 9), Oligodendroglioma (n = 9), and others (n = 20), were analyzed by multiple LLMs, including GPT-4, Claude-3-Opus, Claude-3-Sonnet, GPT-3.5, Llama-2-70B, Qwen1.5-72B, and Gemini-Pro-1.0. The models provided the top 5 differential diagnoses based on the preoperative MRI findings, and their top 1, 3, and 5 accuracies were compared with board-certified neuroradiologists' interpretations of the actual preoperative MRI images.ResultsRadiologists achieved top 1, 3, and 5 accuracies of 85.4%, 94.9%, and 94.9%, respectively. Among the LLMs, GPT-4 performed best with top 1, 3, and 5 accuracies of 65.7%, 84.7%, and 90.5%, respectively. Notably, GPT-4's top 3 accuracy of 84.7% approached the radiologists' top 1 accuracy of 85.4%. Other LLMs showed varying performance levels, with average accuracies ranging from 62.3% to 75.9%. LLMs demonstrated high accuracy for Glioblastoma but struggled with CNS Lymphoma and other less common tumors, particularly in top 1 accuracy.ConclusionLLMs show promise as assistive tools for differentiating intra-axial primary brain tumors using structured MRI reports. However, a significant gap remains between their performance and that of board-certified neuroradiologists interpreting actual images. The choice of LLM and tumor type significantly influences the results.Key PointsQuestion How do Large Language Models (LLM) perform when differentiating complex intra-axial primary brain tumors from structured MRI reports compared to radiologists interpreting images?Findings Radiologists outperformed all tested LLMs in diagnostic accuracy. The best model, GPT-4, showed promise but lagged considerably behind radiologists, particularly for less common tumors.Clinical relevance LLMs show potential as assistive tools for generating differential diagnoses from structured MRI reports, particularly for non-specialists, but they cannot currently replace the nuanced diagnostic expertise of a board-certified radiologist interpreting the primary image data.Key PointsQuestion How do Large Language Models (LLM) perform when differentiating complex intra-axial primary brain tumors from structured MRI reports compared to radiologists interpreting images?Findings Radiologists outperformed all tested LLMs in diagnostic accuracy. The best model, GPT-4, showed promise but lagged considerably behind radiologists, particularly for less common tumors.Clinical relevance LLMs show potential as assistive tools for generating differential diagnoses from structured MRI reports, particularly for non-specialists, but they cannot currently replace the nuanced diagnostic expertise of a board-certified radiologist interpreting the primary image data.Key PointsQuestion How do Large Language Models (LLM) perform when differentiating complex intra-axial primary brain tumors from structured MRI reports compared to radiologists interpreting images?Findings Radiologists outperformed all tested LLMs in diagnostic accuracy. The best model, GPT-4, showed promise but lagged considerably behind radiologists, particularly for less common tumors.Clinical relevance LLMs show potential as assistive tools for generating differential diagnoses from structured MRI reports, particularly for non-specialists, but they cannot currently replace the nuanced diagnostic expertise of a board-certified radiologist interpreting the primary image data.</t>
  </si>
  <si>
    <t>Nakaura, Takeshi; Uetani, Hiroyuki; Yoshida, Naofumi; Kobayashi, Naoki; Nagayama, Yasunori; Kidoh, Masafumi; Kuroda, Jun-Ichiro; Mukasa, Akitake; Hirai, Toshinori</t>
  </si>
  <si>
    <t>Nakaura, T (corresponding author), Kumamoto Univ, Grad Sch Med Sci, Dept Diagnost Radiol, Kumamoto, Japan.</t>
  </si>
  <si>
    <t>kff00712@nifty.com</t>
  </si>
  <si>
    <t>Kumamoto University</t>
  </si>
  <si>
    <t>Open Access funding provided by Kumamoto University</t>
  </si>
  <si>
    <t>[Nakaura, Takeshi; Uetani, Hiroyuki; Yoshida, Naofumi; Kobayashi, Naoki; Nagayama, Yasunori; Kidoh, Masafumi; Hirai, Toshinori] Kumamoto Univ, Grad Sch Med Sci, Dept Diagnost Radiol, Kumamoto, Japan; [Kuroda, Jun-Ichiro; Mukasa, Akitake] Kumamoto Univ, Grad Sch Med Sci, Dept Neurosurg, Kumamoto, Japan</t>
  </si>
  <si>
    <t>Kumamoto University; Kumamoto University</t>
  </si>
  <si>
    <t>Intra-axial primary brain tumor differentiation: comparing large language models on structured MRI reports vs. radiologists on images</t>
  </si>
  <si>
    <t>EUROPEAN RADIOLOGY</t>
  </si>
  <si>
    <t>Artificial intelligence; Large language models; Brain tumors; Structured reports; Magnetic resonance imaging</t>
  </si>
  <si>
    <t>CENTRAL-NERVOUS-SYSTEM; CLASSIFICATION</t>
  </si>
  <si>
    <t>Yoshida, Naofumi/OYE-9969-2025; Nagayama, Yasunori/GZG-5667-2022; Nakaura, Takeshi/HQZ-8072-2023</t>
  </si>
  <si>
    <t>Nagayama, Yasunori/0000-0003-3280-7346; Nakaura, Takeshi/0000-0002-9010-0341</t>
  </si>
  <si>
    <t>NEW YORK</t>
  </si>
  <si>
    <t>ONE NEW YORK PLAZA, SUITE 4600, NEW YORK, NY, UNITED STATES</t>
  </si>
  <si>
    <t>0938-7994</t>
  </si>
  <si>
    <t>1432-1084</t>
  </si>
  <si>
    <t>EUR RADIOL</t>
  </si>
  <si>
    <t>Eur. Radiol.</t>
  </si>
  <si>
    <t>FEB 2026</t>
  </si>
  <si>
    <t>36</t>
  </si>
  <si>
    <t>1594</t>
  </si>
  <si>
    <t>1604</t>
  </si>
  <si>
    <t>10.1007/s00330-025-11924-3</t>
  </si>
  <si>
    <t>http://dx.doi.org/10.1007/s00330-025-11924-3</t>
  </si>
  <si>
    <t>AUG 2025</t>
  </si>
  <si>
    <t>Radiology, Nuclear Medicine &amp; Medical Imaging</t>
  </si>
  <si>
    <t>EM6RP</t>
  </si>
  <si>
    <t>40847080</t>
  </si>
  <si>
    <t>WOS:001555501100001</t>
  </si>
  <si>
    <t>Fast, D; Adams, LC; Busch, F; Fallon, C; Huppertz, M; Siepmann, R; Prucker, P; Bayerl, N; Truhn, D; Makowski, M; Löser, A; Bressem, KK</t>
  </si>
  <si>
    <t>Autonomous Medical Evaluation for Guideline Adherence (AMEGA) is a comprehensive benchmark designed to evaluate large language models' adherence to medical guidelines across 20 diagnostic scenarios spanning 13 specialties. It includes an evaluation framework and methodology to assess models' capabilities in medical reasoning, differential diagnosis, treatment planning, and guideline adherence, using open-ended questions that mirror real-world clinical interactions. It includes 135 questions and 1337 weighted scoring elements designed to assess comprehensive medical knowledge. In tests of 17 LLMs, GPT-4 scored highest with 41.9/50, followed closely by Llama-3 70B and WizardLM-2-8x22B. For comparison, a recent medical graduate scored 25.8/50. The benchmark introduces novel content to avoid the issue of LLMs memorizing existing medical data. AMEGA's publicly available code supports further research in AI-assisted clinical decision-making, aiming to enhance patient care by aiding clinicians in diagnosis and treatment under time constraints.</t>
  </si>
  <si>
    <t>Fast, Dennis; Adams, Lisa C.; Busch, Felix; Fallon, Conor; Huppertz, Marc; Siepmann, Robert; Prucker, Philipp; Bayerl, Nadine; Truhn, Daniel; Makowski, Marcus; Loeser, Alexander; Bressem, Keno K.</t>
  </si>
  <si>
    <t>Adams, LC; Bressem, KK (corresponding author), Tech Univ Munich, TUM Univ Hosp, Sch Med &amp; Hlth, Dept Diagnost &amp; Intervent Radiol,Klinikum Rechts D, Munich, Germany.; Bressem, KK (corresponding author), Tech Univ Munich, TUM Univ Hosp, German Heart Ctr, Sch Med &amp; Hlth,Dept Cardiovasc Radiol &amp; Nucl Med, Munich, Germany.</t>
  </si>
  <si>
    <t>lisa.adams@tum.de; keno.bressem@tum.de</t>
  </si>
  <si>
    <t>Federal Ministry of Education and Research (BMBF); Free State of Bavaria under the Excellence Strategy of the Federal Government; European Union [101079894]; German Federal Ministry of Education and Research (BMBF) [16SV8857]; Deutsche Forschungsgemeinschaft (DFG, German Research Foundation) [528483508 - FIP 12]; Lander</t>
  </si>
  <si>
    <t>Federal Ministry of Education and Research (BMBF) (Federal Ministry of Education &amp; Research (BMBF)); Free State of Bavaria under the Excellence Strategy of the Federal Government; European Union (European Union (EU)); German Federal Ministry of Education and Research (BMBF) (Federal Ministry of Education &amp; Research (BMBF)); Deutsche Forschungsgemeinschaft (DFG, German Research Foundation) (German Research Foundation (DFG)); Lander</t>
  </si>
  <si>
    <t>LCA is a is an Albrecht-Struppler-Clinician Scientist Fellow, funded by the Federal Ministry of Education and Research (BMBF) and the Free State of Bavaria under the Excellence Strategy of the Federal Government and the Lander, as well as by the Technical University of Munich - Institute for Advanced Study. This research is funded by the European Union under Grant Agreement No. 101079894 (COMFORT). Views and opinions expressed are however those of the author(s) only and do not necessarily reflect those of the European Union or European Health and Digital Executive Agency (HADEA). Neither the European Union nor the granting authority can be held responsible for them. Also, DATEXIS' work is funded by the German Federal Ministry of Education and Research (BMBF) under the grant agreement 16SV8857 (KIP-SDM) and by the Deutsche Forschungsgemeinschaft (DFG, German Research Foundation) Project-ID 528483508 - FIP 12.</t>
  </si>
  <si>
    <t>[Fast, Dennis; Fallon, Conor; Loeser, Alexander] Berliner Hsch Tech BHT, DATEXIS, Berlin, Germany; [Adams, Lisa C.; Busch, Felix; Prucker, Philipp; Makowski, Marcus; Bressem, Keno K.] Tech Univ Munich, TUM Univ Hosp, Sch Med &amp; Hlth, Dept Diagnost &amp; Intervent Radiol,Klinikum Rechts D, Munich, Germany; [Huppertz, Marc; Siepmann, Robert; Truhn, Daniel] Univ Hosp Aachen, Dept Radiol, Aachen, Germany; [Bayerl, Nadine] Friedrich Alexander Univ FAU Erlangen Nuremberg, Univ Hosp Erlangen, Dept Radiol, Erlangen, Germany; [Bressem, Keno K.] Tech Univ Munich, TUM Univ Hosp, German Heart Ctr, Sch Med &amp; Hlth,Dept Cardiovasc Radiol &amp; Nucl Med, Munich, Germany</t>
  </si>
  <si>
    <t>Technical University of Munich; RWTH Aachen University; RWTH Aachen University Hospital; University of Erlangen Nuremberg; German Heart Centre Munich; Technical University of Munich</t>
  </si>
  <si>
    <t>Autonomous medical evaluation for guideline adherence of large language models</t>
  </si>
  <si>
    <t>Bressem, Keno/AAX-8241-2020; Adams, Lisa C/AAC-7163-2021; Busch, Felix/ABE-1064-2022; Bayerl, Nadine/LSM-1625-2024; Truhn, Daniel/AAG-9359-2021</t>
  </si>
  <si>
    <t>Adams, Lisa C/0000-0001-5836-4542; Busch, Felix/0000-0001-9770-8555; Bayerl, Nadine/0000-0002-8530-6783; von der Stück, Marc Sebastian/0009-0004-2801-3679</t>
  </si>
  <si>
    <t>39</t>
  </si>
  <si>
    <t>38</t>
  </si>
  <si>
    <t>DEC 12 2024</t>
  </si>
  <si>
    <t>358</t>
  </si>
  <si>
    <t>10.1038/s41746-024-01356-6</t>
  </si>
  <si>
    <t>http://dx.doi.org/10.1038/s41746-024-01356-6</t>
  </si>
  <si>
    <t>P2C0P</t>
  </si>
  <si>
    <t>39668168</t>
  </si>
  <si>
    <t>WOS:001376043900001</t>
  </si>
  <si>
    <t>Feldman, MJ; Hoffer, EP; Conley, JJ; Chang, J; Chung, JA; Jernigan, MC; Lester, WT; Strasser, ZH; Chueh, HC</t>
  </si>
  <si>
    <t>Importance Large language models (LLMs) have not yet been compared with traditional diagnostic decision support systems (DDSSs) on unpublished clinical cases. Objective To compare the performance of 2 widely used LLMs (ChatGPT, version 4 [hereafter, LLM1] and Gemini, version 1.5 [hereafter, LLM2]) with a DDSS (DXplain [hereafter, DDSS]) on 36 unpublished general medicine cases. Design, Setting, and Participants This diagnostic study, conducted from October 6, 2023, to November 22, 2024, looked for the presence of the known case diagnosis in the differential diagnoses of the LLMs and DDSS after data from previously unpublished clinical cases from 3 academic medical centers were entered. The systems' performance was assessed both with and without laboratory test data. Each case was reviewed by 3 physicians blinded to the case diagnosis. Physicians identified all clinical findings as well as the subset deemed relevant to making the diagnosis for mapping to the DDSS's controlled vocabulary. Two other physicians, also blinded to the diagnoses, entered the data from these cases into the DDSS, LLM1, and LLM2. Exposures All cases were entered into each LLM twice, with and without laboratory test results. For the DDSS, each case was entered 4 times: for all findings and for findings relevant to the diagnosis, each with and without laboratory test results. The top 25 diagnoses in each resulting differential diagnosis were reviewed. Main Outcomes and Measures Presence or absence of the case diagnosis in the system's differential diagnosis and, when present, in which quintile it appeared in the top 25 diagnoses. Results Among 36 patient cases of various races and ethnicities, genders, and ages (mean [SD] age, 51.4 [16.4] years), in the version with all findings but no laboratory test results, the DDSS listed the case diagnosis in its differential diagnosis more often (56% [20 of 36]) than LLM1 (42% [15 of 36]) and LLM2 (39% [14 of 36]), although this difference did not reach statistical significance (DDSS vs LLMI, P = .09; DDSS vs LLM2, P = .08). All 3 systems listed the case diagnosis in most cases if laboratory test results were included (all findings DDSS, 72% [26 of 36]; LLM1, 64% [23 of 36]; and LLM2, 58% [21 of 36]). Conclusions and Relevance In this diagnostic study comparing the performance of a traditional DDSS and current LLMs on unpublished clinical cases, in most cases, every system listed the case diagnosis in their top 25 diagnoses if laboratory test results were included. A hybrid approach that combines the parsing and expository linguistic capabilities of LLMs with the deterministic and explanatory capabilities of traditional DDSSs may produce synergistic benefits.</t>
  </si>
  <si>
    <t>Feldman, Mitchell J.; Hoffer, Edward P.; Conley, Jared J.; Chang, Jaime; Chung, Jeanhee A.; Jernigan, Michael C.; Lester, William T.; Strasser, Zachary H.; Chueh, Henry C.</t>
  </si>
  <si>
    <t>Feldman, MJ (corresponding author), Massachusetts Gen Hosp, Lab Comp Sci, 399 Revolut Dr,Ste 790, Somerville, MA 02145 USA.</t>
  </si>
  <si>
    <t>feldman.mitchell@mgh.harvard.edu</t>
  </si>
  <si>
    <t>National Center for Advancing Translational Sciences, National Institutes of Health through Harvard Catalyst/The Harvard Clinical and Translational Science Center [UM1TR004408]; Harvard University</t>
  </si>
  <si>
    <t>National Center for Advancing Translational Sciences, National Institutes of Health through Harvard Catalyst/The Harvard Clinical and Translational Science Center (Harvard University); Harvard University (Harvard University)</t>
  </si>
  <si>
    <t>This work was conducted with support from grant UM1TR004408 from the National Center for Advancing Translational Sciences, National Institutes of Health, awarded through Harvard Catalyst/The Harvard Clinical and Translational Science Center and with financial contributions from Harvard University and its affiliated academic health care centers.</t>
  </si>
  <si>
    <t>[Feldman, Mitchell J.; Hoffer, Edward P.; Conley, Jared J.; Chang, Jaime; Chung, Jeanhee A.; Jernigan, Michael C.; Lester, William T.; Strasser, Zachary H.; Chueh, Henry C.] Massachusetts Gen Hosp, Lab Comp Sci, Boston, MA USA</t>
  </si>
  <si>
    <t>Harvard University; Harvard University Medical Affiliates; Massachusetts General Hospital</t>
  </si>
  <si>
    <t>Dedicated AI Expert System vs Generative AI With Large Language Model for Clinical Diagnoses</t>
  </si>
  <si>
    <t>ARTIFICIAL-INTELLIGENCE; ACCURACY; MEDICINE; DXPLAIN</t>
  </si>
  <si>
    <t>18</t>
  </si>
  <si>
    <t>MAY 29 2025</t>
  </si>
  <si>
    <t>e2512994</t>
  </si>
  <si>
    <t>10.1001/jamanetworkopen.2025.12994</t>
  </si>
  <si>
    <t>http://dx.doi.org/10.1001/jamanetworkopen.2025.12994</t>
  </si>
  <si>
    <t>3FY6X</t>
  </si>
  <si>
    <t>40440012</t>
  </si>
  <si>
    <t>WOS:001499415200009</t>
  </si>
  <si>
    <t>gold; Green Published</t>
  </si>
  <si>
    <t>Launes, C; Esteller-Cucala, P; Alvarez-Estape, M; Cano, I; Pino, R; González-Grado, C; Aldemira-Liz, A; Logroño, J; Mascías, C; Do-Olmo, J; Isla, J; Cossio, Y; Garcia-Cuyas, F</t>
  </si>
  <si>
    <t>Importance: Rigorous evaluation of large language models (LLMs) in pediatric diagnosis using authentic clinical presentations remains limited, particularly regarding response consistency and rare disease recognition. Objective: To evaluate the diagnostic accuracy, consistency, and clinical usability of LLMs as diagnostic support tools in pediatric medicine compared with human clinicians using real-world cases. Methods: This cross-sectional study at Sant Joan de D &amp; eacute;u Barcelona Children's Hospital evaluated four LLMs [DxGPT/GPT-4 (0613), Claude-3.5 Sonnet, GPT-4o (0513), and o1-preview] against 78 pediatric clinicians using 50 real clinical cases (25 rare diseases, 25 common conditions) from a single tertiary pediatric center. All cases were presented using Spanish intake-style clinical summaries. Each case was queried three times per LLM and evaluated by clinicians with different experience levels. Performance was assessed using the Top-1 and Top-5 diagnostic accuracy, response consistency (intraclass correlation coefficient), and qualitative evaluation. Extended clinical information was provided for 20 cases to assess the diagnostic efficiency. Results: Advanced LLMs significantly outperformed the clinicians in terms of diagnostic accuracy. o1-preview and Claude-3.5 Sonnet achieved mean Top-1 accuracies of 60.0% and 59.0%, respectively, compared to clinicians' 48.2% (odds ratios [ORs]: 2.99 and 2.75, both P &lt; 0.001). Performance advantages were most pronounced for rare diseases, where o1-preview demonstrated 6-fold higher Top-5 diagnostic odds compared to clinicians (ORs: 6.00, P &lt; 0.001). Extended clinical information improved the accuracy of both groups, particularly for rare diseases. Human-Artificial intelligence complementarity analysis revealed 94.3% union accuracy with o1-preview, representing a 10-percentage-point uplift over clinicians alone. Clinicians rated DxGPT favorably (mean, 3.9/5), particularly for rare case support (4.1/5). Interpretation: In this proof-of-concept study of a reference care center, newer LLMs outperformed previous models and human clinicians in complex pediatric diagnostics, particularly for rare diseases. These findings support further evaluation as augmentative diagnostic tools in similar settings, with appropriate legal, ethical, and clinical oversight frameworks.</t>
  </si>
  <si>
    <t>Launes, Cristian; Esteller-Cucala, Paula; Alvarez-Estape, Marina; Cano, Ivan; Pino, Rosa; Gonzalez-Grado, Carla; Aldemira-Liz, Andrea; Logrono, Javier; Mascias, Carlos; Do-Olmo, Juanjo; Isla, Julian; Cossio, Yolima; Garcia-Cuyas, Francesc</t>
  </si>
  <si>
    <t>Launes, C (corresponding author), Univ Barcelona, Fac Med &amp; Hlth Sci, Dept Surg &amp; Med Surg Specialties, Campus Hosp Sant Joan Deu,P Sant Joan Deu 2, Esplugues 08950, Barcelona, Spain.</t>
  </si>
  <si>
    <t>claunes@ub.edu</t>
  </si>
  <si>
    <t>[Launes, Cristian; Esteller-Cucala, Paula; Alvarez-Estape, Marina; Pino, Rosa; Gonzalez-Grado, Carla; Cossio, Yolima; Garcia-Cuyas, Francesc] Hosp St Joan Deu, Digital Strategy &amp; Data Dept, Barcelona, Spain; [Launes, Cristian; Cano, Ivan; Pino, Rosa; Gonzalez-Grado, Carla; Aldemira-Liz, Andrea] Hosp St Joan Deu, Pediat Dept, Barcelona, Spain; [Launes, Cristian] Univ Barcelona, Fac Med &amp; Hlth Sci, Dept Surg &amp; Med Surg Specialties, Campus Hosp Sant Joan Deu,P Sant Joan Deu 2, Esplugues 08950, Barcelona, Spain; [Logrono, Javier; Mascias, Carlos; Do-Olmo, Juanjo; Isla, Julian] Fdn 29, Madrid, Spain; [Isla, Julian] Microsoft Ind Solut Delivery, Madrid, Spain</t>
  </si>
  <si>
    <t>University of Barcelona; University of Barcelona; University of Barcelona</t>
  </si>
  <si>
    <t>Large-language-models for pediatric diagnosis: Performance evaluation using real-world clinical notes from common and rare cases</t>
  </si>
  <si>
    <t>PEDIATRIC INVESTIGATION</t>
  </si>
  <si>
    <t>Artificial intelligence; Diagnostic; Large language models; Pediatric medicine; Rare diseases</t>
  </si>
  <si>
    <t>Launes, Cristian/ABD-8312-2020</t>
  </si>
  <si>
    <t>Launes, Cristian/0000-0002-0913-9303</t>
  </si>
  <si>
    <t>32</t>
  </si>
  <si>
    <t>2096-3726</t>
  </si>
  <si>
    <t>2574-2272</t>
  </si>
  <si>
    <t>PEDIATR INVEST</t>
  </si>
  <si>
    <t>Pediat. Invest.</t>
  </si>
  <si>
    <t>258</t>
  </si>
  <si>
    <t>268</t>
  </si>
  <si>
    <t>10.1002/ped4.70053</t>
  </si>
  <si>
    <t>http://dx.doi.org/10.1002/ped4.70053</t>
  </si>
  <si>
    <t>Pediatrics</t>
  </si>
  <si>
    <t>JZ1UD</t>
  </si>
  <si>
    <t>42358891</t>
  </si>
  <si>
    <t>WOS:001722883100001</t>
  </si>
  <si>
    <t>Xu, SC; Huang, X; Wei, ZH; Pang, L; Shen, HW; Cheng, XQ</t>
  </si>
  <si>
    <t>Clinical diagnosis in the real world often begins with ambiguous patient complaints that require iterative reasoning and testing. While large language models (LLMs) increasingly assist with specific medical queries, they currently lack the ability to autonomously drive this entire diagnostic workflow, limiting their potential to significantly alleviate physician workload. Here we present DxDirector-7B, an agentic LLM designed to navigate the full diagnostic process through advanced slow thinking capabilities. Unlike existing assistants, our model autonomously determines optimal diagnostic strategies, requesting physician intervention only for necessary clinical operations. In evaluations spanning rare diseases and complex real-world cases, DxDirector-7B achieves superior diagnostic accuracy compared to state-of-the-art medical and general-purpose LLMs with significantly larger parameters. Crucially, it drastically reduces physician involvement while maintaining a robust safety and accountability framework for high-risk conditions. These results demonstrate a paradigm shift where AI effectively leads clinical reasoning, offering a scalable solution to enhance diagnostic efficiency and accessibility.</t>
  </si>
  <si>
    <t>Xu, Shicheng; Huang, Xin; Wei, Zihao; Pang, Liang; Shen, Huawei; Cheng, Xueqi</t>
  </si>
  <si>
    <t>Pang, L (corresponding author), Chinese Acad Sci, Inst Comp Technol, State Key Lab AI Safety, Beijing, Peoples R China.</t>
  </si>
  <si>
    <t>pangliang@ict.ac.cn</t>
  </si>
  <si>
    <t>1. The National Key RD Program of China No.2022YFB3103704 2. The Key Research and Development Program of Xinjiang Uyghur Autonomous Region Grant No. 2024B03026 3. The Strategic Priority Research Program of the CAS under Grants No.XDB0680302 4. The Beijing; Beijing Nova Program [20250484765]; National Natural Science Foundation of China (National Science Foundation of China) [62276248]</t>
  </si>
  <si>
    <t>1. The National Key RD Program of China No.2022YFB3103704 2. The Key Research and Development Program of Xinjiang Uyghur Autonomous Region Grant No. 2024B03026 3. The Strategic Priority Research Program of the CAS under Grants No.XDB0680302 4. The Beijing; Beijing Nova Program (Beijing Municipal Science &amp; Technology Commission); National Natural Science Foundation of China (National Science Foundation of China) (National Natural Science Foundation of China (NSFC))</t>
  </si>
  <si>
    <t>This work is supported by: 1. The Beijing Nova Program under Grants No. 20250484765 (Liang Pang, Huawei Shen, Shicheng Xu, Zihao Wei). 2. The Strategic Priority Research Program of the CAS under Grants No.XDB0680302 (Xueqi Cheng, Huawei Shen, Liang Pang, Shicheng Xu, Zihao Wei). 3. The National Key R&amp;D Program of China No.2022YFB3103704 (Huawei Shen, Liang Pang, Shicheng Xu, Zihao Wei). 4. The National Natural Science Foundation of China (NSFC) under Grants No. 62276248 (Liang Pang, Shicheng Xu, Zihao Wei). 5. The Youth Innovation Promotion Association CAS under Grants No. 2023111 (Liang Pang, Shicheng Xu, Zihao Wei). 6. Innovation and Transformation Project of Peking University Third Hospital No. BYSYCY2024057 (Xin Huang, Liang Pang, Shicheng Xu, Zihao Wei).</t>
  </si>
  <si>
    <t>[Xu, Shicheng; Wei, Zihao; Pang, Liang; Shen, Huawei; Cheng, Xueqi] Chinese Acad Sci, Inst Comp Technol, State Key Lab AI Safety, Beijing, Peoples R China; [Xu, Shicheng; Wei, Zihao] Univ Chinese Acad Sci, Beijing, Peoples R China; [Huang, Xin] Peking Univ Third Hosp, Beijing, Peoples R China</t>
  </si>
  <si>
    <t>Chinese Academy of Sciences; Institute of Computing Technology, CAS; Chinese Academy of Sciences; University of Chinese Academy of Sciences, CAS; Peking University</t>
  </si>
  <si>
    <t>DxDirector: an agentic large language model driving the full-process clinical diagnosis</t>
  </si>
  <si>
    <t>NATURE COMMUNICATIONS</t>
  </si>
  <si>
    <t>FOUNDATION MODEL; CARE</t>
  </si>
  <si>
    <t>Pang, Liang/CAA-7686-2022</t>
  </si>
  <si>
    <t>60</t>
  </si>
  <si>
    <t>2041-1723</t>
  </si>
  <si>
    <t>NAT COMMUN</t>
  </si>
  <si>
    <t>Nat. Commun.</t>
  </si>
  <si>
    <t>5614</t>
  </si>
  <si>
    <t>10.1038/s41467-026-71928-5</t>
  </si>
  <si>
    <t>http://dx.doi.org/10.1038/s41467-026-71928-5</t>
  </si>
  <si>
    <t>24</t>
  </si>
  <si>
    <t>KK1AJ</t>
  </si>
  <si>
    <t>42026083</t>
  </si>
  <si>
    <t>WOS:001808838900026</t>
  </si>
  <si>
    <t>Sorin, V; Kapelushnik, N; Hecht, I; Zloto, O; Glicksberg, BS; Bufman, H; Livne, A; Barash, Y; Nadkarni, GN; Klang, E</t>
  </si>
  <si>
    <t>Recent advancements in generative artificial intelligence have enabled analysis of text with visual data, which could have important implications in healthcare. Diagnosis in ophthalmology is often based on a combination of ocular examination, and clinical context. The aim of this study was to evaluate the performance of multimodal GPT-4 (GPT-4 V) in an integrated analysis of ocular images and clinical text. This retrospective study included 40 patients seen in our institution with images of their ocular examinations. Cases were selected by a board-certified ophthalmologist, to represent various pathologies. We provided the model with each patient image, without and then with the clinical context. We also asked two non-ophthalmology physicians to write diagnoses for each image, without and then with the clinical context. Answers for both GPT-4 V and the non-ophthalmologists were evaluated by two board-certified ophthalmologists. Performance accuracies were calculated and compared. GPT-4 V provided the correct diagnosis in 19/40 (47.5%) cases based on images without clinical context, and in 27/40 (67.5%) cases when clinical context was provided. Non-ophthalmologist physicians provided the correct diagnoses in 24/40 (60.0%), and 23/40 (57.5%) of cases without clinical context, and in 29/40 (72.5%) and 27/40 (67.5%) with clinical context. For all study participants adding context improved accuracy (p = 0.033). GPT-4 V is currently able to simultaneously analyze and integrate visual and textual data, and arrive at accurate clinical diagnoses in the majority of cases. Multimodal large language models like GPT-4 V have significant potential to advance both patient care and research in ophthalmology.</t>
  </si>
  <si>
    <t>Sorin, Vera; Kapelushnik, Noa; Hecht, Idan; Zloto, Ofira; Glicksberg, Benjamin S.; Bufman, Hila; Livne, Adva; Barash, Yiftach; Nadkarni, Girish N.; Klang, Eyal</t>
  </si>
  <si>
    <t>Sorin, V (corresponding author), Chaim Sheba Med Ctr, Dept Diag Imaging, Emek Haela St 1, IL-52621 Ramat Gan, Israel.; Sorin, V (corresponding author), Tel Aviv Univ, Sch Med, Tel Aviv, Israel.; Sorin, V (corresponding author), Chaim Sheba Med Ctr, DeepVis Lab, Ramat Gan, Israel.</t>
  </si>
  <si>
    <t>verasrn@gmail.com</t>
  </si>
  <si>
    <t>[Sorin, Vera; Bufman, Hila; Livne, Adva; Barash, Yiftach; Klang, Eyal] Chaim Sheba Med Ctr, Dept Diag Imaging, Emek Haela St 1, IL-52621 Ramat Gan, Israel; [Sorin, Vera; Kapelushnik, Noa; Hecht, Idan; Zloto, Ofira; Bufman, Hila; Livne, Adva; Barash, Yiftach; Klang, Eyal] Tel Aviv Univ, Sch Med, Tel Aviv, Israel; [Sorin, Vera; Livne, Adva; Barash, Yiftach; Klang, Eyal] Chaim Sheba Med Ctr, DeepVis Lab, Ramat Gan, Israel; [Kapelushnik, Noa; Zloto, Ofira] Chaim Sheba Med Ctr, Goldschleger Eye Inst, Ramat Gan, Israel; [Hecht, Idan] Shamir Med Ctr, Dept Ophthalmol, Beer Yaagov, Israel; [Glicksberg, Benjamin S.; Nadkarni, Girish N.; Klang, Eyal] Icahn Sch Med Mt Sinai, Div Data Driven &amp; Digital Med D3M, New York, NY USA; [Nadkarni, Girish N.; Klang, Eyal] Icahn Sch Med Mt Sinai, Charles Bronfman Inst Personalized Med, New York, NY USA</t>
  </si>
  <si>
    <t>Chaim Sheba Medical Center; Tel Aviv University; Tel Aviv University; Sackler Faculty of Medicine; Chaim Sheba Medical Center; Tel Aviv University; Tel Aviv University; Chaim Sheba Medical Center; Shamir Medical Center (Assaf Harofeh); Tel Aviv University; Icahn School of Medicine at Mount Sinai; Icahn School of Medicine at Mount Sinai</t>
  </si>
  <si>
    <t>Integrated visual and text-based analysis of ophthalmology clinical cases using a large language model</t>
  </si>
  <si>
    <t>SCIENTIFIC REPORTS</t>
  </si>
  <si>
    <t>GPT; LLMs; Large language models; AI; Ophthalmology; Multimodal algorithms</t>
  </si>
  <si>
    <t>HISTORY</t>
  </si>
  <si>
    <t>Barash, Yiftach/MCK-5975-2025; mirzaei, hamed/X-2374-2018; Glicksberg, Benjamin/I-9500-2019; Zloto, Ofira/QAV-9525-2026; Kapelushnik, Noa/JNT-4076-2023; Hecht, Idan/HZK-7578-2023; Sorin, Vera/IAR-4247-2023</t>
  </si>
  <si>
    <t>Klang, Eyal/0000-0002-4567-3108; Kapelushnik, Noa/0000-0002-9264-764X; Livne, Adva/0009-0008-4674-9937</t>
  </si>
  <si>
    <t>22</t>
  </si>
  <si>
    <t>2045-2322</t>
  </si>
  <si>
    <t>SCI REP-UK</t>
  </si>
  <si>
    <t>Sci Rep</t>
  </si>
  <si>
    <t>FEB 10 2025</t>
  </si>
  <si>
    <t>4999</t>
  </si>
  <si>
    <t>10.1038/s41598-025-88948-8</t>
  </si>
  <si>
    <t>http://dx.doi.org/10.1038/s41598-025-88948-8</t>
  </si>
  <si>
    <t>W5B3H</t>
  </si>
  <si>
    <t>39930078</t>
  </si>
  <si>
    <t>WOS:001418722300017</t>
  </si>
  <si>
    <t>Yin, HF; Yu, T; Wu, W; Shen, LX; Shi, DM; Chen, Y; Zhao, KK; Grzybowski, A; Jin, K</t>
  </si>
  <si>
    <t>Background Distinguishing glaucomatous damage from structural and functional changes related to high myopia remains a persistent clinical challenge. Objective To evaluate multimodal large language models (LLMs) for the differential diagnosis of high myopia alone versus high myopia with glaucoma under direct-answer and chain-of-thought (CoT) prompting, and to compare physician-rated response quality across models. Methods We analyzed a fixed retrospective archive of 100 patients, including 50 patients with high myopia without glaucoma and 50 patients with high myopia and primary open-angle glaucoma (POAG). High myopia was defined according to the source clinical archive as spherical equivalent of -6.0 diopters or less and/or axial length of 26.0 mm or greater. Four multimodal LLMs were assessed in Direct and CoT modes. Two ophthalmologists, each with more than 10 years of clinical experience, independently rated each output on clinical logic, medical knowledge/conclusion accuracy, and evidence use/multimodal consistency; one rater was a chief physician and the other was an attending physician. Diagnostic correctness was compared using Cochran's Q and McNemar tests; physician ratings were compared using Friedman and Wilcoxon signed-rank tests; weighted Cohen's kappa and intraclass correlation coefficients (ICCs) were used to assess inter-rater agreement. Results In Direct mode, case-level accuracies were 83.0% for Gemini 3 Flash Preview, 75.0% for Kimi-k2.5, 65.0% for GPT-5.4, and 49.0% for Qwen3.5-Plus. In CoT mode, case-level accuracies were 78.0% for Gemini 3 Flash Preview, 75.0% for Qwen3.5-Plus, 73.0% for GPT-5.4, and 69.0% for Kimi-k2.5. Cross-model differences were significant in Direct mode (Cochran's Q = 31.16, p &lt; 0.001) but not in CoT mode (Q = 3.23, p = 0.357). Inter-rater agreement was strong, with weighted Cohen's kappa values of 0.80, 0.84, and 0.83 across the three physician-rated domains and ICC(3, k) = 0.92 for the combined total score. Conclusion Multimodal LLMs showed variable performance on this retrospective benchmark for differentiating high myopia from high myopia with glaucoma, but CoT prompting did not consistently improve diagnostic accuracy. Physician ratings provided complementary evidence on clinical coherence and multimodal evidence use, supporting a broader benchmark-oriented evaluation framework for ophthalmic LLM applications.</t>
  </si>
  <si>
    <t>Yin, Houfa; Yu, Tao; Wu, Wei; Shen, Lixia; Shi, Dongmei; Chen, Yi; Zhao, Kaikai; Grzybowski, Andrzej; Jin, Kai</t>
  </si>
  <si>
    <t>Jin, K (corresponding author), Zhejiang Univ, Eye Ctr Affiliated Hosp 2, Sch Med, Hangzhou, Peoples R China.; Jin, K (corresponding author), Zhejiang Prov Engn Inst Eye Dis, Zhejiang Prov Clin Res Ctr Eye Dis, Zhejiang Prov Key Lab Ophthalmol, Hangzhou, Peoples R China.</t>
  </si>
  <si>
    <t>jinkai@zju.edu.cn</t>
  </si>
  <si>
    <t>Natural Science Foundation of China [82201195, 82204713]; Education Reform Project of the Second Affiliated Hospital Zhejiang University School of Medicine [20240412]; Zhejiang Provincial Department of Education Research Project [Y202454784]</t>
  </si>
  <si>
    <t>Natural Science Foundation of China (National Natural Science Foundation of China (NSFC)); Education Reform Project of the Second Affiliated Hospital Zhejiang University School of Medicine; Zhejiang Provincial Department of Education Research Project</t>
  </si>
  <si>
    <t>The author(s) declared that financial support was received for this work and/or its publication. This work was financially supported by the Natural Science Foundation of China (Grant No. 82201195, 82204713), and the Education Reform Project of the Second Affiliated Hospital Zhejiang University School of Medicine (Grant No. 20240412), and the Zhejiang Provincial Department of Education Research Project (Grant No. Y202454784).</t>
  </si>
  <si>
    <t>[Yin, Houfa; Yu, Tao; Wu, Wei; Shen, Lixia; Shi, Dongmei; Zhao, Kaikai; Jin, Kai] Zhejiang Univ, Eye Ctr Affiliated Hosp 2, Sch Med, Hangzhou, Peoples R China; [Yin, Houfa; Yu, Tao; Wu, Wei; Shen, Lixia; Shi, Dongmei; Zhao, Kaikai; Jin, Kai] Zhejiang Prov Engn Inst Eye Dis, Zhejiang Prov Clin Res Ctr Eye Dis, Zhejiang Prov Key Lab Ophthalmol, Hangzhou, Peoples R China; [Chen, Yi] Hangzhou Med Coll, Sch Clin Med, Hangzhou, Peoples R China; [Grzybowski, Andrzej] Univ Warmia &amp; Mazury, Dept Ophthalmol, Olsztyn, Poland; [Grzybowski, Andrzej] Fdn Ophthalmol Dev, Inst Res Ophthalmol, Poznan, Poland</t>
  </si>
  <si>
    <t>Zhejiang University; Hangzhou Medical College; University of Warmia &amp; Mazury</t>
  </si>
  <si>
    <t>Evaluating multimodal large language models for differential diagnosis of high myopia versus high myopia with Glaucoma</t>
  </si>
  <si>
    <t>FRONTIERS IN MEDICINE</t>
  </si>
  <si>
    <t>chain-of-thought; glaucoma; high myopia; large language model; multimodal diagnosis; ophthalmology; primary open-angle glaucoma</t>
  </si>
  <si>
    <t>OPTICAL COHERENCE TOMOGRAPHY</t>
  </si>
  <si>
    <t>40</t>
  </si>
  <si>
    <t>2296-858X</t>
  </si>
  <si>
    <t>FRONT MED-LAUSANNE</t>
  </si>
  <si>
    <t>Front. Med.</t>
  </si>
  <si>
    <t>1864498</t>
  </si>
  <si>
    <t>10.3389/fmed.2026.1864498</t>
  </si>
  <si>
    <t>http://dx.doi.org/10.3389/fmed.2026.1864498</t>
  </si>
  <si>
    <t>MS7RW</t>
  </si>
  <si>
    <t>WOS:001850000500001</t>
  </si>
  <si>
    <t>Nguyen, QM; Chen, FY; Liu, C; Campbell, IM; Zhang, GB; Wu, D; Szigety, KM; Sheppard, SE; Ahimaz, P; Ta, CN; Chung, WK; Weng, CH; Wang, K</t>
  </si>
  <si>
    <t>Clinical decision making often relies on expert judgment guided by established guidelines, which can be challenging to standardize and abstract to implement. For example, selecting between gene panels and whole exome/genome sequencing (WES/WGS) for rare disease diagnosis frequently requires interpretation of evidence-based recommendations from the American College of Medical Genetics and Genomics (ACMG) guideline. Traditional machine learning (ML) models predicting suitable genetic tests often face interpretability limitations. We hypothesize that large language models (LLMs) can be fine-tuned to "mimic" clinicians' reasoning patterns by interpreting and applying clinical guidelines with chain-of-thought (CoT). We present RareDAI, an integrative approach that addresses this challenge by analyzing heterogeneous clinical data, including unstructured notes and structured Phecodes. Using seven domain-specific questions, we guide the Llama 3.1 and Qwen 3 models to generate structured CoT outputs. These outputs are refined via our proposed self-distillation fine-tuning (SDFT) approach, enabling the model to produce interpretable reasoning prior to recommendation. RareDAI outperforms traditional supervised fine-tuning and base LLMs (e.g., Llama 3.1, GPT-4) by up to 10-20% in all metrics (accuracy, precision, recall, and F1-score) on both in-house data and external data, effectively assisting clinicians in selecting between diagnostic modalities across healthcare systems.</t>
  </si>
  <si>
    <t>Nguyen, Quan M.; Chen, Fangyi; Liu, Cong; Campbell, Ian M.; Zhang, Gongbo; Wu, Da; Szigety, Katherine M.; Sheppard, Sarah E.; Ahimaz, Priyanka; Ta, Casey N.; Chung, Wendy K.; Weng, Chunhua; Wang, Kai</t>
  </si>
  <si>
    <t>Wang, K (corresponding author), Childrens Hosp Philadelphia, Raymond G Perelman Ctr Cellular &amp; Mol Therapeut, Philadelphia, PA 19104 USA.; Wang, K (corresponding author), Univ Penn, Perelman Sch Med, Dept Pathol, Lab Med, Philadelphia, PA 19104 USA.</t>
  </si>
  <si>
    <t>wangk@chop.edu</t>
  </si>
  <si>
    <t>Children's Hospital of Philadelphia; National Institutes of Health, United States [HG013031]; National Institutes of Health [HG012655]</t>
  </si>
  <si>
    <t>Children's Hospital of Philadelphia; National Institutes of Health, United States (United States Department of Health &amp; Human Services, National Institutes of Health (NIH) - USA, Office of the Administrator (NIH)); National Institutes of Health (United States Department of Health &amp; Human Services, National Institutes of Health (NIH) - USA, Office of the Administrator (NIH))</t>
  </si>
  <si>
    <t>We used OpenAI's ChatGPT@CHOP (GPT-5, July 2024 version) to improve the readability and flow of the manuscript. The original ideas, content, and analyses were entirely developed by the authors, and no scientific or conceptual discussions were conducted with the model. The exact prompt used was: "Polish the following paragraph for clarity and conciseness while preserving the original meaning." This tool was used selectively to refine language in the Introduction, Methods, Results, and Discussion sections. This study was supported by NIH grants HG012655, HG013031, HD111688, and the CHOP Research Institute.</t>
  </si>
  <si>
    <t>[Nguyen, Quan M.; Wu, Da; Wang, Kai] Childrens Hosp Philadelphia, Raymond G Perelman Ctr Cellular &amp; Mol Therapeut, Philadelphia, PA 19104 USA; [Nguyen, Quan M.] Univ Penn, Dept Bioengn, Philadelphia, PA USA; [Chen, Fangyi; Liu, Cong; Zhang, Gongbo; Ta, Casey N.; Weng, Chunhua] Columbia Univ, Dept Biomed Informat, New York, NY USA; [Liu, Cong; Chung, Wendy K.] Boston Childrens Hosp, Harvard Med Sch, Dept Pediat, Boston, MA USA; [Campbell, Ian M.; Szigety, Katherine M.; Sheppard, Sarah E.] Childrens Hosp Philadelphia, Div Human Genet, Dept Pediat, Philadelphia, PA USA; [Ahimaz, Priyanka] Columbia Univ, Dept Pediat, New York, NY USA; [Ahimaz, Priyanka] Columbia Univ, Inst Genom Med, New York, NY USA; [Wang, Kai] Univ Penn, Perelman Sch Med, Dept Pathol, Lab Med, Philadelphia, PA 19104 USA; [Sheppard, Sarah E.] Eunice Kennedy Shriver Natl Inst Child Hlth &amp; Huma, Div Translat Med, Div Intramural Res, Unit Vasc Malformat, Bethesda, MD USA</t>
  </si>
  <si>
    <t>University of Pennsylvania; Pennsylvania Medicine; Childrens Hospital of Philadelphia; University of Pennsylvania; Columbia University; Harvard University; Harvard Medical School; University of Pennsylvania; Pennsylvania Medicine; Childrens Hospital of Philadelphia; Columbia University; Columbia University; University of Pennsylvania; Pennsylvania Medicine</t>
  </si>
  <si>
    <t>Interpretable fine-tuned large language models facilitate making genetic test decisions for rare diseases</t>
  </si>
  <si>
    <t>GUIDELINES; SERVICES; SYSTEM</t>
  </si>
  <si>
    <t>68</t>
  </si>
  <si>
    <t>MAY 19 2026</t>
  </si>
  <si>
    <t>608</t>
  </si>
  <si>
    <t>10.1038/s41746-026-02733-z</t>
  </si>
  <si>
    <t>http://dx.doi.org/10.1038/s41746-026-02733-z</t>
  </si>
  <si>
    <t>MI3WO</t>
  </si>
  <si>
    <t>42156861</t>
  </si>
  <si>
    <t>WOS:001842964100001</t>
  </si>
  <si>
    <t>Chen, X; Zhou, HY; Yi, HH; You, MK; Liu, WZ; Wang, L; Qin, ZY; Li, HR; Zhang, X; Guo, YM; Li, SL; Hu, YN; Xiong, QJ; Li, RX; Fan, L; Lao, QC; Fu, WL; Li, J; Li, K</t>
  </si>
  <si>
    <t>Although Large Language Models (LLMs) possess extensive medical knowledge, they often struggle to emulate the complex, iterative process of real-world clinical diagnosis. To address this limitation, we present ClinDiag-GPT, a specialized LLM fine-tuned to execute full diagnostic procedures, supported by the ClinDiag-Framework evaluation system and ClinDiag-Benchmark, a dataset comprising 4,421 real-world cases. Our evaluation shows that existing LLMs, including GPT-4o-mini, GPT-4o, Claude-3-Haiku, Qwen2.5-72b, Qwen2.5-32b, and Qwen2.5-14b, while proficient in static tasks, fall short in dynamic diagnostic workflows and frequently commit clinical errors. In contrast, ClinDiag-GPT, trained on clinical cases, outperforms all baseline models in both diagnostic accuracy and procedural performance. Furthermore, a comparative analysis reveals that collaboration between physicians and ClinDiag-GPT yields higher diagnostic accuracy and efficiency compared to either working alone, demonstrating the utility of ClinDiag-GPT as a clinical assistant.</t>
  </si>
  <si>
    <t>Chen, Xi; Zhou, Hanyu; Yi, Huahui; You, Mingke; Liu, WeiZhi; Wang, Li; Qin, Ziyuan; Li, Hairui; Zhang, Xue; Guo, Yingman; Li, Songlin; Hu, Yunan; Xiong, Qianjiang; Li, Rongxiao; Fan, Lei; Lao, Qicheng; Fu, Weili; Li, Jian; Li, Kang</t>
  </si>
  <si>
    <t>Fu, WL; Li, J (corresponding author), Sichuan Univ, West China Hosp, Sports Med Ctr, Dept Orthoped, Chngdu, Peoples R China.; Fu, WL; Li, J (corresponding author), Sichuan Univ, West China Hosp, Orthoped Res Inst, Chngdu, Peoples R China.; Li, K (corresponding author), Sichuan Univ, West China Biomed Big Data Ctr, Med X Ctr Informat, Chengdu, Peoples R China.; Li, K (corresponding author), Sichuan Univ, Pittsburgh Inst, Chengdu, Peoples R China.</t>
  </si>
  <si>
    <t>likang@wchscu.cn; foxwin2008@163.com; lijian_sportsmed@163.com</t>
  </si>
  <si>
    <t>Department of Science and Technology of Sichuan Province (Sichuan Provincial Department of Science and Technology); Sichuan University (SCU)</t>
  </si>
  <si>
    <t>This work was funded by 1.3.5 project for disciplines of excellence, West China Hospital, Sichuan University (ZYYC21004) (Received by Kang Li); and Interdisciplinary Crossing and Integration of Medicine and Engineering for Talent Training Fund, West China Hospital, Sichuan University (Received by Kang Li); and 1.3.5 project for disciplines of excellence, West China Hospital, Sichuan University (Received by Jian Li). Icons used in the figures were sourced from Flaticon (www.flaticon.com).</t>
  </si>
  <si>
    <t>[Chen, Xi; You, Mingke; Hu, Yunan; Xiong, Qianjiang; Li, Rongxiao; Fan, Lei; Fu, Weili; Li, Jian] Sichuan Univ, West China Hosp, Sports Med Ctr, Dept Orthoped, Chngdu, Peoples R China; [Chen, Xi; You, Mingke; Hu, Yunan; Xiong, Qianjiang; Li, Rongxiao; Fan, Lei; Fu, Weili; Li, Jian] Sichuan Univ, West China Hosp, Orthoped Res Inst, Chngdu, Peoples R China; [Zhou, Hanyu] Carnegie Mellon Univ, Sch Comp Sci, Pittsburgh, PA USA; [Zhou, Hanyu; Yi, Huahui; Li, Kang] Sichuan Univ, West China Biomed Big Data Ctr, Med X Ctr Informat, Chengdu, Peoples R China; [Liu, WeiZhi; Wang, Li; Zhang, Xue] Sichuan Univ, West China Sch Med, Chengdu, Peoples R China; [Qin, Ziyuan] Emory Univ, Laney Grad Sch, Dept Math &amp; Comp Sci, Atlanta, GA USA; [Li, Hairui] West China Hosp, West China Tianfu Hosp, Dept Plast Surg, Chengdu, Peoples R China; [Guo, Yingman] Zhejiang Univ, Affiliated Hosp 1, Coll Med, Kidney Dis Ctr,Key Lab Kidney Dis, Hangzhou, Peoples R China; [Li, Songlin; Lao, Qicheng] Shandong Univ, Qilu Hosp, Dept Orthoped, Jinan, Peoples R China; [Lao, Qicheng] Beijing Univ Posts &amp; Telecommun, Artificial Intelligence, Beijing, Peoples R China; [Li, Kang] Sichuan Univ, Pittsburgh Inst, Chengdu, Peoples R China</t>
  </si>
  <si>
    <t>Sichuan University; Sichuan University; Carnegie Mellon University; Sichuan University; Sichuan University; Emory University; Sichuan University; Zhejiang University; Shandong University; Beijing University of Posts &amp; Telecommunications; Sichuan University</t>
  </si>
  <si>
    <t>Grounding large language models in clinical diagnostics</t>
  </si>
  <si>
    <t>ATYPICAL PRESENTATION; MISDIAGNOSIS; ACCURACY; RESOURCE; EVENTS</t>
  </si>
  <si>
    <t>Xiong, Qianjiang/PNI-2752-2026</t>
  </si>
  <si>
    <t>81</t>
  </si>
  <si>
    <t>MAR 25 2026</t>
  </si>
  <si>
    <t>4401</t>
  </si>
  <si>
    <t>10.1038/s41467-026-70274-w</t>
  </si>
  <si>
    <t>http://dx.doi.org/10.1038/s41467-026-70274-w</t>
  </si>
  <si>
    <t>IC3BA</t>
  </si>
  <si>
    <t>41881991</t>
  </si>
  <si>
    <t>WOS:001768283400016</t>
  </si>
  <si>
    <t>Gaber, F; Shaik, M; Allega, F; Bilecz, AJ; Busch, F; Goon, K; Franke, V; Akalin, A</t>
  </si>
  <si>
    <t>Accurate medical decision-making is critical for both patients and clinicians. Patients often struggle to interpret their symptoms, determine their severity, and select the right specialist. Simultaneously, clinicians face challenges in integrating complex patient data to make timely, accurate diagnoses. Recent advances in large language models (LLMs) offer the potential to bridge this gap by supporting decision-making for both patients and healthcare providers. In this study, we benchmark multiple LLM versions and an LLM-based workflow incorporating retrieval-augmented generation (RAG) on a curated dataset of 2000 medical cases derived from the Medical Information Mart for Intensive Care database. Our findings show that these LLMs are capable of providing personalized insights into likely diagnoses, suggesting appropriate specialists, and assessing urgent care needs. These models may also support clinicians in refining diagnoses and decision-making, offering a promising approach to improving patient outcomes and streamlining healthcare delivery.</t>
  </si>
  <si>
    <t>Gaber, Farieda; Shaik, Maqsood; Allega, Fabio; Bilecz, Agnes Julia; Busch, Felix; Goon, Kelsey; Franke, Vedran; Akalin, Altuna</t>
  </si>
  <si>
    <t>Akalin, A (corresponding author), Max Delbruck Ctr Mol Med, Berlin Inst Med Syst Biol BIMSB, Berlin, Germany.</t>
  </si>
  <si>
    <t>altuna.akalin@mdc-berlin.de</t>
  </si>
  <si>
    <t>Helmholtz-Gemeinschaft</t>
  </si>
  <si>
    <t>Helmholtz-Gemeinschaft (Helmholtz Association)</t>
  </si>
  <si>
    <t>We thank Akalin lab members for comments on the manuscript. This research received no specific funding for this work.</t>
  </si>
  <si>
    <t>[Gaber, Farieda; Shaik, Maqsood; Franke, Vedran; Akalin, Altuna] Max Delbruck Ctr Mol Med, Berlin Inst Med Syst Biol BIMSB, Berlin, Germany; [Gaber, Farieda] Humboldt Univ, Dept Comp Sci, Berlin, Germany; [Allega, Fabio] Fdn Policlin Univ Agostino Gemelli, Dept Radiat Oncol, Rome, Italy; [Bilecz, Agnes Julia; Goon, Kelsey] Univ Chicago, Dept Obstet &amp; Gynecol, Sect Gynecol Oncol, Chicago, IL USA; [Busch, Felix] Tech Univ Munich, TUM Univ Hosp Rechts Isar, TUM Sch Med &amp; Hlth, Inst Diagnost &amp; Intervent Radiol, Munich, Germany</t>
  </si>
  <si>
    <t>Helmholtz Association; Max Delbruck Center for Molecular Medicine; Humboldt University of Berlin; Catholic University of the Sacred Heart; IRCCS Policlinico Gemelli; University of Chicago; Technical University of Munich</t>
  </si>
  <si>
    <t>Evaluating large language model workflows in clinical decision support for triage and referral and diagnosis</t>
  </si>
  <si>
    <t>AKALIN, ALTUNA/A-4424-2012; allega, fabio/ODK-5352-2025; Busch, Felix/ABE-1064-2022</t>
  </si>
  <si>
    <t>Busch, Felix/0000-0001-9770-8555</t>
  </si>
  <si>
    <t>46</t>
  </si>
  <si>
    <t>91</t>
  </si>
  <si>
    <t>99</t>
  </si>
  <si>
    <t>30</t>
  </si>
  <si>
    <t>67</t>
  </si>
  <si>
    <t>MAY 9 2025</t>
  </si>
  <si>
    <t>263</t>
  </si>
  <si>
    <t>10.1038/s41746-025-01684-1</t>
  </si>
  <si>
    <t>http://dx.doi.org/10.1038/s41746-025-01684-1</t>
  </si>
  <si>
    <t>2MA1D</t>
  </si>
  <si>
    <t>40346344</t>
  </si>
  <si>
    <t>WOS:001485848400003</t>
  </si>
  <si>
    <t>Khan, MP; O'Sullivan, ED</t>
  </si>
  <si>
    <t>Introduction The rise of accessible, consumer facing large language models (LLM) provides an opportunity for immediate diagnostic support for clinicians.Objectives To compare the different performance characteristics of common LLMS utility in solving complex clinical cases and assess the utility of a novel tool to grade LLM output.Methods Using a newly developed rubric to assess the models' diagnostic utility, we measured to models' ability to answer cases according to accuracy, readability, clinical interpretability, and an assessment of safety. Here we present a comparative analysis of three LLM models-Bing, Chat GPT, and Gemini-across a diverse set of clinical cases as presented in the New England Journal of Medicines case series.Results Our results suggest that models performed differently when presented with identical clinical information, with Gemini performing best. Our grading tool had low interobserver variability and proved a reliable tool to grade LLM clinical output.Conclusion This research underscores the variation in model performance in clinical scenarios and highlights the importance of considering diagnostic model performance in diverse clinical scenarios prior to deployment. Furthermore, we provide a new tool to assess LLM output.</t>
  </si>
  <si>
    <t>Khan, Maria Palwasha; O'Sullivan, Eoin Daniel</t>
  </si>
  <si>
    <t>O'Sullivan, ED (corresponding author), Metro North Hosp &amp; Hlth Serv, Kidney Hlth Serv, Brisbane, Qld, Australia.; O'Sullivan, ED (corresponding author), Univ Queensland, Inst Mol Biosci, St Lucia, Qld, Australia.</t>
  </si>
  <si>
    <t>eoin.osullivan@health.qld.gov.au</t>
  </si>
  <si>
    <t>The author(s) declare that no financial support was received for the research, authorship, and/or publication of this article.</t>
  </si>
  <si>
    <t>[Khan, Maria Palwasha; O'Sullivan, Eoin Daniel] Metro North Hosp &amp; Hlth Serv, Kidney Hlth Serv, Brisbane, Qld, Australia; [O'Sullivan, Eoin Daniel] Univ Queensland, Inst Mol Biosci, St Lucia, Qld, Australia</t>
  </si>
  <si>
    <t>University of Queensland</t>
  </si>
  <si>
    <t>A comparison of the diagnostic ability of large language models in challenging clinical cases</t>
  </si>
  <si>
    <t>FRONTIERS IN ARTIFICIAL INTELLIGENCE</t>
  </si>
  <si>
    <t>artificial intelligence; machine learning; clinical medicine; LLM; diagnostics</t>
  </si>
  <si>
    <t>O'Sullivan, Eoin Daniel/AAL-2550-2020</t>
  </si>
  <si>
    <t>O'Sullivan, Eoin Daniel/0000-0002-7709-6595</t>
  </si>
  <si>
    <t>2624-8212</t>
  </si>
  <si>
    <t>FRONT ARTIF INTELL</t>
  </si>
  <si>
    <t>Front. Artif. Intell.</t>
  </si>
  <si>
    <t>AUG 5 2024</t>
  </si>
  <si>
    <t>1379297</t>
  </si>
  <si>
    <t>10.3389/frai.2024.1379297</t>
  </si>
  <si>
    <t>http://dx.doi.org/10.3389/frai.2024.1379297</t>
  </si>
  <si>
    <t>Computer Science, Artificial Intelligence; Computer Science, Information Systems</t>
  </si>
  <si>
    <t>Computer Science</t>
  </si>
  <si>
    <t>C9Z9E</t>
  </si>
  <si>
    <t>39161790</t>
  </si>
  <si>
    <t>WOS:001292883600001</t>
  </si>
  <si>
    <t>Arslan, B; Erdem, B; Satici, MO; Nuhoglu, Ç; Soylu, HY</t>
  </si>
  <si>
    <t>Aim: Accurate diagnosis in emergency departments relies heavily on clinical decision-making, yet cognitive errors contribute to a significant proportion of diagnostic mistakes. Since their launch, Generative Pre-trained Transformer-4 (GPT-4) based large language models (LLMs) have been reshaping healthcare, offering improvements in diagnostic accuracy, treatment planning, and patient care. This study evaluates the performance of these tools in generating primary and differential diagnoses compared to an experienced emergency medicine (EM) physician. Materials and Methods: We conducted a retrospective cross-sectional study using 468 real-world clinical vignettes from non-trauma adult patients. GPT-4-based Chat Generative Pre-trained Transformer (ChatGPT) and Copilot were tasked with generating five differential diagnoses for each vignette. Their accuracy was compared to the diagnoses provided by EM physicians, using discharge diagnoses as the reference. Statistical analysis included descriptive statistics and Cohen's kappa to assess agreement. Results: ChatGPT and Copilot demonstrated high accuracy, with correct diagnoses in the top three positions in 91.9% and 90.2% of cases, respectively, compared to 93.2% for the EM physician. Moderate agreement between the artificial intelligence (AI) tools and the EM physician was observed (kappa: 0.476 for ChatGPT and 0.414 for Copilot). Conclusion: LLM-based generative AI tools show promise as clinical decision support systems, enhancing diagnostic accuracy and assisting less-experienced clinicians. However, they should complement, not replace, human expertise in emergency settings.</t>
  </si>
  <si>
    <t>Arslan, Banu; Erdem, Busra; Satici, Merve Osoydan; Nuhoglu, Cagatay; Soylu, Hasan Yasin</t>
  </si>
  <si>
    <t>Arslan, B (corresponding author), Univ Hlth Sci Turkiye, Basaksehir Cam &amp; Sakura City Hosp, Clin Emergency Med, Istanbul, Turkiye.</t>
  </si>
  <si>
    <t>dr.banuarslan@gmail.com</t>
  </si>
  <si>
    <t>[Arslan, Banu; Soylu, Hasan Yasin] Univ Hlth Sci Turkiye, Basaksehir Cam &amp; Sakura City Hosp, Clin Emergency Med, Istanbul, Turkiye; [Erdem, Busra; Satici, Merve Osoydan; Nuhoglu, Cagatay] Univ Hlth Sci Turkiye, Sisli Hamidiye Etfal Training &amp; Res Hosp, Clin Emergency Med, Istanbul, Turkiye</t>
  </si>
  <si>
    <t>Istanbul Sisli Hamidiye Etfal Training &amp; Research Hospital</t>
  </si>
  <si>
    <t>Large Language Models in Generating Differential Diagnoses in the Emergency Department: A Comparative Study of ChatGPT, Copilot, and Emergency Physician</t>
  </si>
  <si>
    <t>EURASIAN JOURNAL OF EMERGENCY MEDICINE</t>
  </si>
  <si>
    <t>ChatGPT; Copilot; LLMs; generative artificial intelligence; differential diagnosis; emergency</t>
  </si>
  <si>
    <t>Arslan, Banu/KEH-0449-2024; Osoydan Satici, Merve/HSC-2957-2023</t>
  </si>
  <si>
    <t>Arslan, Banu/0000-0003-0982-5351; Osoydan Satici, Merve/0000-0002-3169-0724</t>
  </si>
  <si>
    <t>GALENOS PUBL HOUSE</t>
  </si>
  <si>
    <t>ISTANBUL</t>
  </si>
  <si>
    <t>Kacamak Sokak 21/1, ISTANBUL, Findikzade, TURKIYE</t>
  </si>
  <si>
    <t>2149-5807</t>
  </si>
  <si>
    <t>2149-6048</t>
  </si>
  <si>
    <t>EURASIAN J EMERG MED</t>
  </si>
  <si>
    <t>Eurasian J. Emerg. Med.</t>
  </si>
  <si>
    <t>201</t>
  </si>
  <si>
    <t>207</t>
  </si>
  <si>
    <t>10.4274/eajem.galenos.2025.60320</t>
  </si>
  <si>
    <t>http://dx.doi.org/10.4274/eajem.galenos.2025.60320</t>
  </si>
  <si>
    <t>7ES5V</t>
  </si>
  <si>
    <t>WOS:001569268200001</t>
  </si>
  <si>
    <t>Li, XS; Hou, XL; Ravi, N; Huang, ZY; Gan, Y</t>
  </si>
  <si>
    <t>Efficient patient-doctor interaction is among the key factors for a successful disease diagnosis. During the conversation, the doctor could query complementary diagnostic information, such as the patient's symptoms, previous surgery, and other related information that goes beyond medical evidence data (test results) to enhance disease diagnosis. However, this procedure is usually time-consuming and less-efficient, which can be potentially optimized through computer-assisted systems. As such, we propose a diagnostic dialogue system to automate the patient information collection procedure. By exploiting medical history and conversation logic, our conversation agents, particularly the doctor agent, can pose multi-round clinical queries to effectively collect the most relevant disease diagnostic information. Moreover, benefiting from our two-stage recommendation structure, carefully designed ranking criteria, and interactive patient agent, our model is able to overcome the under-exploration and non-flexible challenges in dialogue generation. Our experiment results in a real-world medical conversation dataset with better performance than biomedical language model-based and Deepseek-based approaches. Our experiments show that we can generate clinical queries that mimic the conversation style of real doctors, with efficient fluency, professionalism, and safety, while effectively collecting relevant disease information.</t>
  </si>
  <si>
    <t>Li, Xueshen; Hou, Xinlong; Ravi, Nirupama; Huang, Ziyi; Gan, Yu</t>
  </si>
  <si>
    <t>Gan, Y (corresponding author), Stevens Inst Technol, Hoboken, NJ 07032 USA.; Huang, ZY (corresponding author), Bell Labs, Murray Hill, NJ 07974 USA.</t>
  </si>
  <si>
    <t>zh2354@columbia.edu; xhou11@stevens.edu; nirupama.ravi@nokia-bell-labs.com; xli4@stevens.edu; ygan5@stevens.edu</t>
  </si>
  <si>
    <t>NSF-CRII [2222739]; NSF-CAREER [2239810]; Research Corporation for Science Advancement and Arnold [SA-AUT-2024-022b]; USDA/NIFA [2022-67021-36866]; NIH [21HD104164]</t>
  </si>
  <si>
    <t>NSF-CRII (National Science Foundation (NSF), NSF - Directorate for Computer &amp; Information Science &amp; Engineering (CISE)); NSF-CAREER (National Science Foundation (NSF), NSF - Office of the Director (OD)); Research Corporation for Science Advancement and Arnold; USDA/NIFA (United States Department of Agriculture (USDA)); NIH (United States Department of Health &amp; Human Services, National Institutes of Health (NIH) - USA)</t>
  </si>
  <si>
    <t>This work was supported in part by NSF-CRII 2222739, NSF-CAREER 2239810, USDA/NIFA-2022-67021-36866, NIH-21HD104164, and Scialog grant #SA-AUT-2024-022b from Research Corporation for Science Advancement and Arnold, and Mabel Beckman Foundation.</t>
  </si>
  <si>
    <t>[Li, Xueshen; Hou, Xinlong; Gan, Yu] Stevens Inst Technol, Hoboken, NJ 07032 USA; [Ravi, Nirupama; Huang, Ziyi] Bell Labs, Murray Hill, NJ 07974 USA</t>
  </si>
  <si>
    <t>Stevens Institute of Technology; AT&amp;T</t>
  </si>
  <si>
    <t>A two-stage proactive dialogue generator for efficient clinical information collection using large language model</t>
  </si>
  <si>
    <t>EXPERT SYSTEMS WITH APPLICATIONS</t>
  </si>
  <si>
    <t>Large language model; Medical dialogue system; Query generation</t>
  </si>
  <si>
    <t>Huang, Ziyi/KZT-8828-2024; Gan, Yu/HJG-7576-2022</t>
  </si>
  <si>
    <t>Huang, Ziyi/0000-0001-6985-0298; Gan, Yu/0000-0003-3409-3412; Hou, Xinlong/0009-0004-3073-3376</t>
  </si>
  <si>
    <t>PERGAMON-ELSEVIER SCIENCE LTD</t>
  </si>
  <si>
    <t>OXFORD</t>
  </si>
  <si>
    <t>THE BOULEVARD, LANGFORD LANE, KIDLINGTON, OXFORD OX5 1GB, ENGLAND</t>
  </si>
  <si>
    <t>0957-4174</t>
  </si>
  <si>
    <t>1873-6793</t>
  </si>
  <si>
    <t>EXPERT SYST APPL</t>
  </si>
  <si>
    <t>Expert Syst. Appl.</t>
  </si>
  <si>
    <t>AUG 25 2025</t>
  </si>
  <si>
    <t>287</t>
  </si>
  <si>
    <t>127833</t>
  </si>
  <si>
    <t>10.1016/j.eswa.2025.127833</t>
  </si>
  <si>
    <t>http://dx.doi.org/10.1016/j.eswa.2025.127833</t>
  </si>
  <si>
    <t>MAY 2025</t>
  </si>
  <si>
    <t>Computer Science, Artificial Intelligence; Engineering, Electrical &amp; Electronic; Operations Research &amp; Management Science</t>
  </si>
  <si>
    <t>Computer Science; Engineering; Operations Research &amp; Management Science</t>
  </si>
  <si>
    <t>3JS5W</t>
  </si>
  <si>
    <t>41676337</t>
  </si>
  <si>
    <t>WOS:001501990500003</t>
  </si>
  <si>
    <t>Green Submitted</t>
  </si>
  <si>
    <t>Shi, TY; Ma, J; Yu, ZH; Xu, HW; Yang, RX; Xiong, MQ; Xiao, MR; Li, YL; Zhao, HY; Kong, GL</t>
  </si>
  <si>
    <t>Background: With the rapid development of artificial intelligence, large language models (LLMs) have shown strong capabilities in natural language understanding, reasoning, and generation, attracting much research interest in applying LLMs to health and medicine. Critical care medicine (CCM) provides diagnosis and treatment for patients with critical illness who often require intensive monitoring and interventions in intensive care units (ICUs). Whether LLMs can be applied to CCM, and whether they can operate as ICU experts in assisting clinical decision-making rather than "stochastic parrots," remains uncertain. Objective: This scoping review aims to provide a panoramic portrait of the application of LLMs in CCM, identifying the advantages, challenges, and future potential of LLMs in this field. Methods: This study was conducted in accordance with the PRISMA-ScR (Preferred Reporting Items for Systematic Reviews and Meta-Analyses extension for Scoping Reviews) guidelines. Literature was searched across 7 databases, including PubMed, Embase, Scopus, Web of Science, CINAHL, IEEE Xplore, and ACM Digital Library, from the first available paper to August 22, 2025. Results: From an initial 2342 retrieved papers, 41 were selected for final review. LLMs played an important role in CCM through the following 3 main channels: clinical decision support, medical documentation and reporting, and medical education and doctor-patient communication. Compared to traditional artificial intelligence models, LLMs have advantages in handling unstructured data and do not require manual feature engineering. Meanwhile, applying LLMs to CCM has faced challenges, including hallucinations and poor interpretability, sensitivity to prompts, bias and alignment challenges, and privacy and ethical issues. Conclusions:Although LLMs are not yet ICU experts, they have the potential to become valuable tools in CCM, helping to improve patient outcomes and optimize health care delivery. Future research should enhance model reliability and interpretability, improve model training and deployment scalability, integrate up-to-date medical knowledge, and strengthen privacy and ethical guidelines, paving the way for LLMs to fully realize their impact in critical care. Trial Registration: OSF Registries yn328; https://osf.io/yn328/</t>
  </si>
  <si>
    <t>Shi, Tongyue; Ma, Jun; Yu, Zihan; Xu, Haowei; Yang, Rongxin; Xiong, Minqi; Xiao, Meirong; Li, Yilin; Zhao, Huiying; Kong, Guilan</t>
  </si>
  <si>
    <t>Kong, GL (corresponding author), Peking Univ, Natl Inst Hlth Data Sci, 38 Xueyuan Rd, Beijing 100191, Peoples R China.</t>
  </si>
  <si>
    <t>guilan.kong@hsc.pku.edu.cn</t>
  </si>
  <si>
    <t>National Natural Science Foundation of China [82372095]; Humanities and Social Science Project of the Chinese Ministry of Education [22YJA630036]; Zhejiang Provincial Natural Science Foundation of China [LZ22F020014]; Beijing Natural Science Foundation of China [7212201, QY23066]</t>
  </si>
  <si>
    <t>National Natural Science Foundation of China (National Natural Science Foundation of China (NSFC)); Humanities and Social Science Project of the Chinese Ministry of Education; Zhejiang Provincial Natural Science Foundation of China (Natural Science Foundation of Zhejiang Province); Beijing Natural Science Foundation of China (Beijing Natural Science Foundation)</t>
  </si>
  <si>
    <t>Acknowledgments This work was supported by Grants from the National Natural Science Foundation of China (No. 82372095) , the Humanities and Social Science Project of the Chinese Ministry of Education (No. 22YJA630036) , the Zhejiang Provincial Natural Science Foundation of China (No. LZ22F020014) , and the Beijing Natural Science Foundation of China (No. 7212201, QY23066) .</t>
  </si>
  <si>
    <t>[Shi, Tongyue; Xu, Haowei; Yang, Rongxin; Xiao, Meirong; Kong, Guilan] Peking Univ, Natl Inst Hlth Data Sci, 38 Xueyuan Rd, Beijing 100191, Peoples R China; [Shi, Tongyue; Yang, Rongxin; Xiao, Meirong; Kong, Guilan] Peking Univ, Inst Artificial Intelligence, Beijing, Peoples R China; [Shi, Tongyue; Yang, Rongxin; Xiao, Meirong; Kong, Guilan] Peking Univ, Inst Med Technol, Hlth Sci Ctr, Beijing, Peoples R China; [Shi, Tongyue; Xu, Haowei; Yang, Rongxin; Xiao, Meirong; Kong, Guilan] Peking Univ, Adv Inst Informat Technol, Hangzhou, Peoples R China; [Ma, Jun] Peking Univ Third Hosp, Beijing, Peoples R China; [Yu, Zihan] Univ Liverpool, Dept Comp Sci, Liverpool, England; [Xiong, Minqi] Johns Hopkins Univ, Sch Med, Baltimore, MD USA; [Li, Yilin] Univ Calif Los Angeles, Fielding Sch Publ Hlth, Los Angeles, CA USA; [Zhao, Huiying] Peking Univ, Dept Crit Care Med, Peoples Hosp, Beijing, Peoples R China</t>
  </si>
  <si>
    <t>Peking University; Peking University; Peking University; Peking University; Peking University; University of Liverpool; Johns Hopkins University; Johns Hopkins Medicine; University of California System; University of California Los Angeles; Peking University</t>
  </si>
  <si>
    <t>Large Language Models in Critical Care Medicine: Scoping Review</t>
  </si>
  <si>
    <t>JMIR MEDICAL INFORMATICS</t>
  </si>
  <si>
    <t>artificial intelligence; large language model; ChatGPT; critical care; intensive care; clinical decision support; intensive care unit</t>
  </si>
  <si>
    <t>MORTALITY; BIAS</t>
  </si>
  <si>
    <t>Xiao, Meirong/LXU-4035-2024; Xu, Haowei/GMW-4346-2022; Kong, Guilan/GQQ-8841-2022; Shi, Tongyue/HLX-8838-2023</t>
  </si>
  <si>
    <t>Xiao, Meirong/0000-0002-6300-1938; Xiong, Minqi/0009-0001-0289-148X; ma, jun/0000-0003-3058-4660; , Yu/0009-0003-8787-7699; Kong, Guilan/0000-0002-0851-1644</t>
  </si>
  <si>
    <t>160</t>
  </si>
  <si>
    <t>2291-9694</t>
  </si>
  <si>
    <t>JMIR MED INF</t>
  </si>
  <si>
    <t>JMIR Med. Inf.</t>
  </si>
  <si>
    <t>e76326</t>
  </si>
  <si>
    <t>10.2196/76326</t>
  </si>
  <si>
    <t>http://dx.doi.org/10.2196/76326</t>
  </si>
  <si>
    <t>25</t>
  </si>
  <si>
    <t>Medical Informatics</t>
  </si>
  <si>
    <t>Q3556</t>
  </si>
  <si>
    <t>41284992</t>
  </si>
  <si>
    <t>WOS:001634505900001</t>
  </si>
  <si>
    <t>Borgonovo, F; Matsuo, T; Petri, F; Alavi, SMA; Ndjonko, LCM; Gori, A; Berbari, EF</t>
  </si>
  <si>
    <t>Objective: To evaluate the ability of 15 different large language models (LLMs) to solve clinical cases with osteoarticular infections following published guidelines. Materials and Methods: The study evaluated 15 LLMs across 5 categories of osteoarticular infections: periprosthetic joint infection, diabetic foot infection, native vertebral osteomyelitis, fracture-related infections, and septic arthritis. Models were selected systematically, including general-purpose and medical-specific systems, ensuring robust English support. In total, 126 text-based questions, developed by the authors from published guidelines and validated by experts, assessed diagnostic, management, and treatment strategies. Each model answered individually, with responses classified as correct or incorrect based on guidelines. All tests were conducted between April 17, 2025, and April 28, 2025. Results, presented as percentages of correct answers and aggregated scores, highlight performance trends. Mixed-effects logistic regression with a random question effect was used to quantify how each LLM compared in answering the study questions. Results: The performance of 15 LLMs was evaluated, with the percentage of correct answers reported. OpenEvidence and Microsoft Copilot achieved the highest score (119/126 [94.4%]), excelling in multiple categories. ChatGPT-4o and Gemini 2.5 Pro scored 117 of the 126 (92.8%). When used as references, OpenEvidence was not inferior to any comparator and was superior to 5 LLMs. Performance varied across categories, highlighting the strengths and limitations of individual models. Conclusion: OpenEvidence and Miccrosoft Copilot achieved the highest accuracy among evaluated LLMs, highlighting their potential for precisely addressing complex clinical cases. This study emphasizes the need for specialized, validated artificial intelligence tools in medical practice. Although promising, current models face limitations in real-world applications, requiring further refinement to support clinical decision making reliably. (c) 2025 THE AUTHORS. Published by Elsevier Inc on behalf of Mayo Foundation for Medical Education and Research.</t>
  </si>
  <si>
    <t>Borgonovo, Fabio; Matsuo, Takahiro; Petri, Francesco; Alavi, Seyed Mohammad Amin; Ndjonko, Laura Chelsea Mazudie; Gori, Andrea; Berbari, Elie F.</t>
  </si>
  <si>
    <t>Berbari, EF (corresponding author), Mayo Clin, Coll Med &amp; Sci, Dept Med, Div Publ Hlth Infect Dis &amp; Occupat Med, 200 First St SW, Rochester, MN 55905 USA.</t>
  </si>
  <si>
    <t>berbari.elie@mayo.edu</t>
  </si>
  <si>
    <t>National Center for Advancing Translational Sciences (NCATS) [UL1 TR002377]</t>
  </si>
  <si>
    <t>National Center for Advancing Translational Sciences (NCATS) (United States Department of Health &amp; Human Services, National Institutes of Health (NIH) - USA, NIH National Center for Advancing Translational Sciences (NCATS))</t>
  </si>
  <si>
    <t>Grant Support: This work was supported by grant UL1 TR002377 from the National Center for Advancing Translational Sciences (NCATS) . The contents are solely the responsibility of the authors and do not necessarily represent the official views of the NIH.</t>
  </si>
  <si>
    <t>[Borgonovo, Fabio; Matsuo, Takahiro; Petri, Francesco; Berbari, Elie F.] Mayo Clin, Coll Med &amp; Sci, Dept Med, Div Publ Hlth Infect Dis &amp; Occupat Med, 200 First St SW, Rochester, MN 55905 USA; [Borgonovo, Fabio; Petri, Francesco; Gori, Andrea] Luigi Sacco Univ Hosp, Dept Infect Dis, Milan, Italy; [Alavi, Seyed Mohammad Amin] Ahvaz Jundishapur Univ Med Sci, Fac Med, Ahvaz, Iran; [Ndjonko, Laura Chelsea Mazudie] Northwestern Univ, Evanston, IL USA; [Gori, Andrea] Univ Milan, Dept Biomed &amp; Clin Sci, Milan, Italy</t>
  </si>
  <si>
    <t>Mayo Clinic; University of Milan; Luigi Sacco Hospital; Ahvaz Jundishapur University of Medical Sciences (AJUMS); Northwestern University; University of Milan; Luigi Sacco Hospital</t>
  </si>
  <si>
    <t>Battle of the Bots: Solving Clinical Cases in Osteoarticular Infections With Large Language Models</t>
  </si>
  <si>
    <t>MAYO CLINIC PROCEEDINGS: DIGITAL HEALTH</t>
  </si>
  <si>
    <t>ARTIFICIAL-INTELLIGENCE; DISEASES SOCIETY; DIAGNOSIS; AMERICA</t>
  </si>
  <si>
    <t>Borgonovo, Fabio/MBG-4434-2025; Alavi, Seyed Mohammad Amin/HOA-7526-2023</t>
  </si>
  <si>
    <t>Alavi, Seyed Mohammad Amin/0000-0001-7885-6691; Borgonovo, Fabio/0000-0001-5796-671X; Petri, Francesco/0000-0003-0125-9551; Ndjonko, Laura/0000-0002-3153-4967</t>
  </si>
  <si>
    <t>2949-7612</t>
  </si>
  <si>
    <t>MAYO CLIN P DIGIT H</t>
  </si>
  <si>
    <t>Mayo Clin. Proc. Digit. Health</t>
  </si>
  <si>
    <t>100230</t>
  </si>
  <si>
    <t>10.1016/j.mcpdig.2025.100230</t>
  </si>
  <si>
    <t>http://dx.doi.org/10.1016/j.mcpdig.2025.100230</t>
  </si>
  <si>
    <t>JUN 2025</t>
  </si>
  <si>
    <t>5VO9Q</t>
  </si>
  <si>
    <t>40583928</t>
  </si>
  <si>
    <t>WOS:001545378000001</t>
  </si>
  <si>
    <t>Taub-Tabib, H; Shamay, Y; Shlain, M; Pinhasov, M; Polak, M; Tiktinsky, A; Rahamimov, S; Bareket, D; Eyal, B; Kassis, M; Goldberg, Y; Rosenberg, TK; Vulfsons, S; Ben Sasson, M</t>
  </si>
  <si>
    <t>Differential diagnosis is a crucial aspect of medical practice, as it guides clinicians to accurate diagnoses and effective treatment plans. Traditional resources, such as medical books and services like UpToDate, are constrained by manual curation, potentially missing out on novel or less common findings. This paper introduces and analyzes two novel methods to mine etiologies from scientific literature. The first method employs a traditional Natural Language Processing (NLP) approach based on syntactic patterns. By using a novel application of human-guided pattern bootstrapping patterns are derived quickly, and symptom etiologies are extracted with significant coverage. The second method utilizes generative models, specifically GPT-4, coupled with a fact verification pipeline, marking a pioneering application of generative techniques in etiology extraction. Analyzing this second method shows that while it is highly precise, it offers lesser coverage compared to the syntactic approach. Importantly, combining both methodologies yields synergistic outcomes, enhancing the depth and reliability of etiology mining.</t>
  </si>
  <si>
    <t>Taub-Tabib, Hillel; Shamay, Yosi; Shlain, Micah; Pinhasov, Menny; Polak, Mark; Tiktinsky, Aryeh; Rahamimov, Sigal; Bareket, Dan; Eyal, Ben; Kassis, Moriya; Goldberg, Yoav; Rosenberg, Tal Kaminski; Vulfsons, Simon; Ben Sasson, Maayan</t>
  </si>
  <si>
    <t>Ben Sasson, M (corresponding author), Rambam Hlth Campus, Inst Pain Med, Haifa, Israel.; Ben Sasson, M (corresponding author), McGill Univ, Hlth Ctr, Alan Edwards Pain Management Unit, Montreal, PQ, Canada.</t>
  </si>
  <si>
    <t>maayanbensasson@gmail.com</t>
  </si>
  <si>
    <t>Israeli Science Foundation; European Research Council (ERC) under the European Union [802774]</t>
  </si>
  <si>
    <t>Israeli Science Foundation (Israel Science Foundation); European Research Council (ERC) under the European Union (European Research Council (ERC))</t>
  </si>
  <si>
    <t>We thank Layan Farraj, Heba Dahli, and Fatima Edrees for their participation in the annotation tasks, and their assistance and advice. Y.S. was funded by the Israeli Science Foundation Grant #901/19. Y.S. received funding from the European Research Council (ERC) under the European Union's Horizon 2020 research and innovation programme, Grant agreement No. 802774 (iEXTRACT).</t>
  </si>
  <si>
    <t>[Taub-Tabib, Hillel; Shlain, Micah; Pinhasov, Menny; Polak, Mark; Tiktinsky, Aryeh; Rahamimov, Sigal; Bareket, Dan; Eyal, Ben; Kassis, Moriya; Goldberg, Yoav] Allen Inst AI, Seattle, WA USA; [Shamay, Yosi] Technion, Fac Biomed Engn, Haifa, Israel; [Goldberg, Yoav] Bar Ilan Univ, Comp Sci Dept, Ramat Gan, Israel; [Rosenberg, Tal Kaminski] Technion Fac Med Lib, Haifa, Israel; [Rosenberg, Tal Kaminski] Rambam Hlth Campus Lib, Haifa, Israel; [Vulfsons, Simon; Ben Sasson, Maayan] Rambam Hlth Campus, Inst Pain Med, Haifa, Israel; [Ben Sasson, Maayan] McGill Univ, Hlth Ctr, Alan Edwards Pain Management Unit, Montreal, PQ, Canada</t>
  </si>
  <si>
    <t>Technion Israel Institute of Technology; Bar Ilan University; Technion Israel Institute of Technology; Rambam Health Care Campus; McGill University</t>
  </si>
  <si>
    <t>Identifying symptom etiologies using syntactic patterns and large language models</t>
  </si>
  <si>
    <t>Vulfsons, Simon/GMW-4924-2022; Kaminski Rosenberg, Tal/R-3165-2018</t>
  </si>
  <si>
    <t>Kaminski Rosenberg, Tal/0000-0002-3324-9158</t>
  </si>
  <si>
    <t>JUL 13 2024</t>
  </si>
  <si>
    <t>16190</t>
  </si>
  <si>
    <t>10.1038/s41598-024-65645-6</t>
  </si>
  <si>
    <t>http://dx.doi.org/10.1038/s41598-024-65645-6</t>
  </si>
  <si>
    <t>ZA0Z7</t>
  </si>
  <si>
    <t>39003296</t>
  </si>
  <si>
    <t>WOS:001272466300035</t>
  </si>
  <si>
    <t>Zhang, RY; Qiang, PP; Hao, YX; Tan, HY; Zhao, K; Cai, LJ; Wang, JP</t>
  </si>
  <si>
    <t>Background: Gastrointestinal (GI) diseases are common, chronic conditions that require personalized, long-term management, placing a heavy burden on traditional healthcare systems. While large language models (LLMs) offer potential for supporting patient care with personalized and empathetic guidance, existing models often lack domain-specific knowledge in GI diseases and suffer from issues like slow convergence and overfitting. Methodology: We first construct a high-quality GI disease QA dataset comprising 191,615 entries from diverse sources: real-world doctor-patient dialogues, medical knowledge graphs, medical guidelines, and Chinese medical licensing exam data. Then, we introduce GutGPT, an LLM fine-tuned from Baichuan-13B-Chat using Low-Rank Adaptation (LoRA) technology with self-attention mechanism parameter sharing. To evaluate the performance of GutGPT and other existing LLMs, we use a combination of expert evaluation and public dataset testing to comprehensively assess each model's accuracy and empathy. Results: We conduct comprehensive evaluations, including expert evaluations and evaluations on multiple benchmark datasets. The results show that our model outperforms 16 existing methods and achieves state-of-theart performance. In expert evaluations, GutGPT improves diagnostic accuracy by 9.59% compared to the baselines. On two public medical QA datasets, CMB and CMExam, it achieves an average accuracy improvement of 22.47%. Conclusions: GutGPT achieves high accuracy in managing GI disease patients and demonstrates strong empathy. It serves as an important auxiliary tool for both patients and physicians in disease management.</t>
  </si>
  <si>
    <t>Zhang, Rui-Ya; Qiang, Peng-Peng; Hao, Yu-Xia; Tan, Hong-Ye; Zhao, Kai; Cai, Ling-Jun; Wang, Jun-Ping</t>
  </si>
  <si>
    <t>Wang, JP (corresponding author), Shanxi Prov Peoples Hosp, Dept Gastroenterol, 29 Shuangtasi St, Taiyuan 030012, Shanxi, Peoples R China.</t>
  </si>
  <si>
    <t>wangjp8396@sxmu.edu.cn</t>
  </si>
  <si>
    <t>Shanxi Provincial Administration of Traditional Chinese Medicine [2023ZYYDA2005]</t>
  </si>
  <si>
    <t>Shanxi Provincial Administration of Traditional Chinese Medicine</t>
  </si>
  <si>
    <t>Supported by The Shanxi Provincial Administration of Traditional Chinese Medicine, No. 2023ZYYDA2005.</t>
  </si>
  <si>
    <t>[Zhang, Rui-Ya; Hao, Yu-Xia; Zhao, Kai; Wang, Jun-Ping] Shanxi Prov Peoples Hosp, Dept Gastroenterol, 29 Shuangtasi St, Taiyuan 030012, Shanxi, Peoples R China; [Zhang, Rui-Ya; Hao, Yu-Xia; Zhao, Kai; Wang, Jun-Ping] Shanxi Med Univ, Clin Med Coll 5, Dept Gastroenterol, Taiyuan, Shanxi, Peoples R China; [Qiang, Peng-Peng; Tan, Hong-Ye] Shanxi Univ, Sch Comp &amp; Informat Technol, Taiyuan, Shanxi, Peoples R China; [Cai, Ling-Jun] Nankai Univ, Med Coll, Dept Ultrasound, Tianjin, Peoples R China</t>
  </si>
  <si>
    <t>Shanxi People's Hospital; Shanxi Medical University; Shanxi University; Nankai University</t>
  </si>
  <si>
    <t>GutGPT: A multidimensional knowledge-enhanced large language model for gastrointestinal medicine</t>
  </si>
  <si>
    <t>JOURNAL OF BIOMEDICAL INFORMATICS</t>
  </si>
  <si>
    <t>Gastrointestinal diseases; Large language model; Low-rank adaptation; Disease management</t>
  </si>
  <si>
    <t>CLINICAL-PRACTICE GUIDELINE; DIAGNOSIS; CANCER; DISORDERS; AI</t>
  </si>
  <si>
    <t>王, 军平/IZE-5867-2023</t>
  </si>
  <si>
    <t>86</t>
  </si>
  <si>
    <t>ACADEMIC PRESS INC ELSEVIER SCIENCE</t>
  </si>
  <si>
    <t>SAN DIEGO</t>
  </si>
  <si>
    <t>525 B ST, STE 1900, SAN DIEGO, CA 92101-4495 USA</t>
  </si>
  <si>
    <t>1532-0464</t>
  </si>
  <si>
    <t>1532-0480</t>
  </si>
  <si>
    <t>J BIOMED INFORM</t>
  </si>
  <si>
    <t>J. Biomed. Inform.</t>
  </si>
  <si>
    <t>169</t>
  </si>
  <si>
    <t>104885</t>
  </si>
  <si>
    <t>10.1016/j.jbi.2025.104885</t>
  </si>
  <si>
    <t>http://dx.doi.org/10.1016/j.jbi.2025.104885</t>
  </si>
  <si>
    <t>Computer Science, Interdisciplinary Applications; Medical Informatics</t>
  </si>
  <si>
    <t>Computer Science; Medical Informatics</t>
  </si>
  <si>
    <t>5PZ4S</t>
  </si>
  <si>
    <t>40720988</t>
  </si>
  <si>
    <t>WOS:001541577200001</t>
  </si>
  <si>
    <t>Qin, YY; Chang, JM; Li, L; Wu, MH</t>
  </si>
  <si>
    <t>Introduction Advancements in artificial intelligence (AI) and large language models (LLMs) have the potential to revolutionize digestive endoscopy by enhancing diagnostic accuracy, improving procedural efficiency, and supporting clinical decision-making. Traditional AI-assisted endoscopic systems often rely on single-modal image analysis, which lacks contextual understanding and adaptability to complex gastrointestinal (GI) conditions. Moreover, existing methods struggle with domain shifts, data heterogeneity, and interpretability, limiting their clinical applicability.Methods To address these challenges, we propose a multimodal learning framework that integrates LLM-powered chatbots with endoscopic imaging and patient-specific medical data. Our approach employs self-supervised learning to extract clinically relevant patterns from heterogeneous sources, enabling real-time guidance and AI-assisted report generation. We introduce a domain-adaptive learning strategy to enhance model generalization across diverse patient populations and imaging conditions.Results and discussion Experimental results on multiple GI datasets demonstrate that our method significantly improves lesion detection, reduces diagnostic variability, and enhances physician-AI collaboration. This study highlights the potential of multimodal LLM-based systems in advancing gastroenterology by providing interpretable, context-aware, and adaptable AI support in digestive endoscopy.</t>
  </si>
  <si>
    <t>Qin, Yuanyuan; Chang, Jianming; Li, Li; Wu, Mianhua</t>
  </si>
  <si>
    <t>Wu, MH (corresponding author), Nanjing Univ Chinese Med, Clin Med Coll 1, Nanjing, Peoples R China.; Wu, MH (corresponding author), Nanjing Univ Chinese Med, Jiangsu Collaborat Innovat Ctr Tradit Chinese Med, Prevent &amp; Treatment Tumor, Nanjing, Peoples R China.</t>
  </si>
  <si>
    <t>110113@njucm.edu.cn</t>
  </si>
  <si>
    <t>National Natural Science Foundation of China [81774266]; Second National Famous Traditional Chinese Medicine Practitioner Inheritance Workshop [245]; Wu Mianhua National Famous Elderly Chinese Medicine Experts Inheritance Workshop [75]; Wu Mianhua Jiangsu Famous Elderly Chinese Medicine Experts Inheritance Workshop [7]; Seventh Batch of National Old Chinese Medicine Experts' Academic Experience Inheritance Work Program of the State Administration of Traditional Chinese Medicine (SATCM) [76]; Graduate Student Research and Practice Innovation Program in Jiangsu Province [SJCX23_0875]</t>
  </si>
  <si>
    <t>National Natural Science Foundation of China (National Natural Science Foundation of China (NSFC)); Second National Famous Traditional Chinese Medicine Practitioner Inheritance Workshop; Wu Mianhua National Famous Elderly Chinese Medicine Experts Inheritance Workshop; Wu Mianhua Jiangsu Famous Elderly Chinese Medicine Experts Inheritance Workshop; Seventh Batch of National Old Chinese Medicine Experts' Academic Experience Inheritance Work Program of the State Administration of Traditional Chinese Medicine (SATCM); Graduate Student Research and Practice Innovation Program in Jiangsu Province</t>
  </si>
  <si>
    <t>The author(s) declare that financial support was received for the research and/or publication of this article. This work was supported by the National Natural Science Foundation of China [grant number 81774266], the Second National Famous Traditional Chinese Medicine Practitioner Inheritance Workshop [grant number National Office of Traditional Chinese Medicine Human Education Letter (2022) No. 245], Wu Mianhua National Famous Elderly Chinese Medicine Experts Inheritance Workshop [grant number National Traditional Chinese Medicine Human Education Letter (2022) No. 75], Wu Mianhua Jiangsu Famous Elderly Chinese Medicine Experts Inheritance Workshop [grant number Jiangsu Chinese Medicine Science and Education (2021) No. 7], the Seventh Batch of National Old Chinese Medicine Experts' Academic Experience Inheritance Work Program of the State Administration of Traditional Chinese Medicine (SATCM) [grant number National TCM Human Education Letter (2022) No. 76], and the Graduate Student Research and Practice Innovation Program in Jiangsu Province [grant number SJCX23_0875].</t>
  </si>
  <si>
    <t>[Qin, Yuanyuan; Li, Li; Wu, Mianhua] Nanjing Univ Chinese Med, Clin Med Coll 1, Nanjing, Peoples R China; [Qin, Yuanyuan; Li, Li; Wu, Mianhua] Nanjing Univ Chinese Med, Jiangsu Collaborat Innovat Ctr Tradit Chinese Med, Prevent &amp; Treatment Tumor, Nanjing, Peoples R China; [Chang, Jianming] Southeast Univ, Sch Comp Sci &amp; Engn, Nanjing, Peoples R China</t>
  </si>
  <si>
    <t>Nanjing University of Chinese Medicine; Nanjing University of Chinese Medicine; Southeast University - China</t>
  </si>
  <si>
    <t>Enhancing gastroenterology with multimodal learning: the role of large language model chatbots in digestive endoscopy</t>
  </si>
  <si>
    <t>multimodal learning; large language models; digestive endoscopy; AI-assisted diagnosis; domain adaptation</t>
  </si>
  <si>
    <t>REPRESENTATIONS; TRANSFORMER</t>
  </si>
  <si>
    <t>MAY 21 2025</t>
  </si>
  <si>
    <t>1583514</t>
  </si>
  <si>
    <t>10.3389/fmed.2025.1583514</t>
  </si>
  <si>
    <t>http://dx.doi.org/10.3389/fmed.2025.1583514</t>
  </si>
  <si>
    <t>3MH0A</t>
  </si>
  <si>
    <t>40470039</t>
  </si>
  <si>
    <t>WOS:001503726400001</t>
  </si>
  <si>
    <t>Li, ZA; Gao, Y; Ji, K; Zhang, KY; Zhang, Q; Wang, J; Han, L; Zhai, XY; Wang, WP; Liu, WL; Wei, HY; Qin, RJ; Li, YD; Zhao, HL; Yan, RF; Cui, HK</t>
  </si>
  <si>
    <t>Objectives High-resolution vessel wall imaging (HR-VWI) is essential for diagnosing vulnerable intracranial atherosclerotic plaques, but its interpretation requires expertise. This study investigates the integration of large language models (LLMs) and deep learning (DL) for more efficient diagnosis. Materials and methods A retrospective study of symptomatic intracranial atherosclerotic stenosis patients (June 2018-June 2024) was conducted. LLMs (ChatGPT-4o, DeepSeek-V3, and Moonshot AI) were trained on HR-VWI reports to extract diagnostic insights. Additionally, DL models, ResNet50 and Vision Transformer (ViT), were used to classify vulnerable plaques. Diagnostic accuracy, sensitivity, specificity, and time efficiency were evaluated with both junior and senior doctors. Results A total of 1806 plaques from 726 patients were analyzed. ChatGPT-4o exhibited the highest diagnostic performance (AUC: 0.874). Among DL models, ViT outperformed ResNet50 (AUC: 0.913 vs. 0.845). LLMs and ViT significantly improved junior doctors' diagnostic accuracy and reduced plaque assessment time (from 301 s to 174 s, p &lt; 0.05). Conclusion The integration of LLMs and DL models enhanced diagnostic performance and efficiency, especially for junior doctors. This approach could reduce the burden on healthcare systems, particularly in resource-limited settings, by improving diagnostic accuracy and reducing the time required for plaque analysis.</t>
  </si>
  <si>
    <t>Li, Zi-Ang; Gao, Yu; Ji, Kai; Zhang, Kai-Yue; Zhang, Qiang; Wang, Jie; Han, Lin; Zhai, Xiao-Yang; Wang, Wen-Peng; Liu, Wen-Ling; Wei, Han-Yu; Qin, Rui-Jing; Li, Yong-Dong; Zhao, Hong-Ling; Yan, Rui-Fang; Cui, Hong-Kai</t>
  </si>
  <si>
    <t>Cui, HK (corresponding author), Xinxiang Med Univ, Affiliated Hosp 1, Dept Radiol Ctr, Xin Xiang, Peoples R China.; Cui, HK (corresponding author), Xinxiang Med Univ, Affiliated Hosp 1, Dept Neurol Ctr, Xin Xiang, Peoples R China.</t>
  </si>
  <si>
    <t>chk-1980@163.com</t>
  </si>
  <si>
    <t>Henan Provincial Health Committee [SB201901061]; Ministry of Health [SB201901061]; Xin Xiang City Acute Ischemic Stroke Precision Prevention and Treatment Key Laboratory</t>
  </si>
  <si>
    <t>Henan Provincial Health Committee; Ministry of Health; Xin Xiang City Acute Ischemic Stroke Precision Prevention and Treatment Key Laboratory</t>
  </si>
  <si>
    <t>This study has received funding from the 2019 Joint Construction Project of Henan Provincial Health Committee and Ministry of Health (grant SB201901061), and the Xin Xiang City Acute Ischemic Stroke Precision Prevention and Treatment Key Laboratory.</t>
  </si>
  <si>
    <t>[Li, Zi-Ang; Ji, Kai; Wang, Jie; Han, Lin; Wang, Wen-Peng; Liu, Wen-Ling; Wei, Han-Yu; Qin, Rui-Jing; Yan, Rui-Fang; Cui, Hong-Kai] Xinxiang Med Univ, Affiliated Hosp 1, Dept Radiol Ctr, Xin Xiang, Peoples R China; [Gao, Yu; Zhai, Xiao-Yang] Henan Univ Chinese Med, Dept MRI Ctr, Affiliated Hosp 1, Zhengzhou, Peoples R China; [Zhang, Kai-Yue; Zhang, Qiang] Xinxiang Med Univ, Dept Emergency Ctr, Affiliated Hosp 1, Xin Xiang, Peoples R China; [Li, Yong-Dong] Shanghai Jiao Tong Univ, Inst Diagnost &amp; Intervent Radiol, Shanghai Peoples Hosp 6, Sch Med, Shanghai, Peoples R China; [Zhao, Hong-Ling] Xinxiang Cent Hosp, Dept Neurol Ctr, Xin Xiang, Peoples R China; [Cui, Hong-Kai] Xinxiang Med Univ, Affiliated Hosp 1, Dept Neurol Ctr, Xin Xiang, Peoples R China</t>
  </si>
  <si>
    <t>Henan Medical University; Henan University of Traditional Chinese Medicine; Henan Medical University; Shanghai Jiao Tong University; Henan Medical University</t>
  </si>
  <si>
    <t>AI-driven diagnosis of vulnerable intracranial atherosclerotic plaques using large language models and vision transformers: a multi-center study</t>
  </si>
  <si>
    <t>Large language models; Vision transformer; Plaque; Stroke; High resolution vessel wall imaging</t>
  </si>
  <si>
    <t>Li, Zi ang/OYF-6370-2025</t>
  </si>
  <si>
    <t>Li, Zi ang/0009-0002-7395-6989</t>
  </si>
  <si>
    <t>2700</t>
  </si>
  <si>
    <t>2711</t>
  </si>
  <si>
    <t>10.1007/s00330-025-12065-3</t>
  </si>
  <si>
    <t>http://dx.doi.org/10.1007/s00330-025-12065-3</t>
  </si>
  <si>
    <t>FX5VS</t>
  </si>
  <si>
    <t>41123642</t>
  </si>
  <si>
    <t>WOS:001598957300001</t>
  </si>
  <si>
    <t>Li, JJ</t>
  </si>
  <si>
    <t>Background: Dental pain is the most common chief complaint in oral healthcare and involves multiple disease types. An accurate diagnosis is crucial for treatment decisions. Large language models (LLMs) have great potential for medical diagnosis; however, their accuracy in dental pain diagnosis has not been systematically evaluated. The objectives of this study were to evaluate the diagnostic accuracy of four advanced LLMs for dental pain and analyze the key factors affecting diagnostic performance. Methods: A comparative study was conducted using 320 dental pain cases from authoritative sources covering eight disease categories. Four state-of-the-art LLMs were evaluated: DeepSeek-R1, ChatGPT-4o, Claude-3.5 Sonnet, and Gemini Pro 2.0. A blinded evaluation was performed by senior experts. The primary outcome was overall diagnostic accuracy, and the secondary outcomes included performance across disease types, complexity levels, and confidence levels. Results: DeepSeek-R1 achieved the highest diagnostic accuracy (83.8%), followed by ChatGPT-4o (82.8%), with no significant differences. Pulpal disease had the highest accuracy (88.1%), whereas neurological pain had the lowest (59.4%). The case complexity significantly affects the accuracy. The AI models demonstrated significant time advantages, representing a 94.2% faster diagnostic speed than human experts. Conclusion: Latest-generation LLMs, particularly DeepSeek-R1 and ChatGPT-4o, achieved diagnostic levels approaching those of specialist physicians while providing substantial time efficiency gains. These findings support the application of AI in oral medicine by using confidence-based stratified implementation strategies.</t>
  </si>
  <si>
    <t>Li, Jensen Jiahe</t>
  </si>
  <si>
    <t>Li, JJ (corresponding author), Sichuan Univ, Chengdu, Peoples R China.</t>
  </si>
  <si>
    <t>dentist.lijiahe@gmail.com</t>
  </si>
  <si>
    <t>[Li, Jensen Jiahe] Sichuan Univ, Chengdu, Peoples R China</t>
  </si>
  <si>
    <t>Large language models approach specialist-level accuracy in dental pain diagnosis: a comparative evaluation of four models</t>
  </si>
  <si>
    <t>JOURNAL OF DENTAL ANESTHESIA AND PAIN MEDICINE</t>
  </si>
  <si>
    <t>Artificial Intelligence; ChatGPT; Clinical Decision Support Systems; Facial Pain; Large Language Models; Natural Language Processing; Toothache</t>
  </si>
  <si>
    <t>LI, JIAHE/LZH-8842-2025</t>
  </si>
  <si>
    <t>LI, JIAHE/0009-0006-3372-0727</t>
  </si>
  <si>
    <t>Korean Dental Soc Anesthesiology</t>
  </si>
  <si>
    <t>Seoul</t>
  </si>
  <si>
    <t>Dept Dental Anesthesiology, Seoul Natl Univ Dental Hospital 101, Daehakro, Jongno-gu, Seoul, SOUTH KOREA</t>
  </si>
  <si>
    <t>2383-9309</t>
  </si>
  <si>
    <t>2383-9317</t>
  </si>
  <si>
    <t>J DENT ANESTH PAIN M</t>
  </si>
  <si>
    <t>J. Dent. Anesth. Pain Med.</t>
  </si>
  <si>
    <t>155</t>
  </si>
  <si>
    <t>167</t>
  </si>
  <si>
    <t>10.17245/jdapm.2026.26.2.155</t>
  </si>
  <si>
    <t>http://dx.doi.org/10.17245/jdapm.2026.26.2.155</t>
  </si>
  <si>
    <t>Anesthesiology; Dentistry, Oral Surgery &amp; Medicine</t>
  </si>
  <si>
    <t>IS1OR</t>
  </si>
  <si>
    <t>41952914</t>
  </si>
  <si>
    <t>WOS:001779035500006</t>
  </si>
  <si>
    <t>Wu, DD; Chen, KY; Wu, XC; Jin, JF; Xu, F</t>
  </si>
  <si>
    <t>Purpose: To evaluate the performance of large language models (LLMs) in infectious disease-specific clinical reasoning and decision-making. Patients and Methods: A comprehensive evaluation of four widely used LLMs-DeepSeek-R1, ChatGPT-5, Grok 3, and Gemini 2.5 Flash-was conducted using a dual assessment framework that combined examination-based questions with real-world clinical cases. LLMs performance was compared with that of infectious disease residents. Examination outcomes were assessed using accuracy and score rates, while clinical case responses were evaluated by expert reviewers using predefined Likert-scale criteria. In addition, doctors' independent clinical decisions were compared with those supported by LLMs to assess the potential value of human-AI collaboration. Results: Across examination-based assessments, LLMs performed comparably to infectious disease residents, with no significant differences observed in accuracy or score rates (p = 0.54). LLMs showed a trend toward better performance on low-order, knowledgebased questions (p = 0.34), whereas doctors tended to perform better on simple case-based questions (p = 0.74), particularly those requiring higher-order clinical reasoning (p = 0.10). In real-world clinical case evaluations (n=10), LLM-generated responses achieved high ratings for accuracy, completeness, individualization, safety, and readability, with comparable performance across models (p &gt; 0.05). Importantly, doctors' decision-making supported by LLMs showed a trend toward improved accuracy compared with independent decisions (p = 0.19). Notably, for completeness, doctors supported by LLMs achieved significantly higher scores compared with both doctors alone (p = 0.0015) and the LLMs alone (p = 0.0010). Nevertheless, clinically meaningful errors occurred in certain high-risk scenarios, underscoring the limitations of standalone LLM decision-making. Conclusion: LLMs show substantial potential in infectious disease education and clinical decision support, particularly for knowledge-based tasks. However, their limitations in complex clinical reasoning underscore the necessity of clinician oversight. A human- AI collaborative approach appears to offer the greatest benefit, enhancing decision quality while maintaining clinical safety. Continued refinement of regulatory and medico-legal frameworks is critical to support the safe, ethical, and responsible deployment of LLMs in clinical practice.</t>
  </si>
  <si>
    <t>Wu, Dandan; Chen, Keying; Wu, Xiaocui; Jin, Jiongfei; Xu, Feng</t>
  </si>
  <si>
    <t>Xu, F (corresponding author), Zhejiang Univ, Affiliated Hosp 2, Sch Med, Dept Infect Dis, Hangzhou, Zhejiang, Peoples R China.</t>
  </si>
  <si>
    <t>xufeng99@zju.edu.cn</t>
  </si>
  <si>
    <t>Noncommunicable Chronic Diseases-National Science and Technology Major Project [2025ZD0549100]; Key research and development program of Zhejiang Province [2025C02093]</t>
  </si>
  <si>
    <t>Noncommunicable Chronic Diseases-National Science and Technology Major Project; Key research and development program of Zhejiang Province</t>
  </si>
  <si>
    <t>This research was funded by Noncommunicable Chronic Diseases-National Science and Technology Major Project (2025ZD0549100) and Key research and development program of Zhejiang Province (2025C02093) . The authors declare that generative artificial intelligence tools (ChatGPT-5 and DeepSeek-R1) were used during manuscript preparation for language editing and improvement of clarity and readability. The AI tool was not used to generate scientific content, analyze data, or draw clinical conclusions. All content was reviewed and approved by the authors, who take full responsibility for the manuscript.</t>
  </si>
  <si>
    <t>[Wu, Dandan; Chen, Keying; Wu, Xiaocui; Jin, Jiongfei; Xu, Feng] Zhejiang Univ, Affiliated Hosp 2, Sch Med, Dept Infect Dis, Hangzhou, Zhejiang, Peoples R China; [Jin, Jiongfei] Ningbo Univ, Affiliated Yangming Hosp, Dept Infect Dis, Ningbo, Zhejiang, Peoples R China</t>
  </si>
  <si>
    <t>Zhejiang University</t>
  </si>
  <si>
    <t>Evaluation of Large Language Models in Infectious Disease Decision-Making: From Examination to Clinical Practice</t>
  </si>
  <si>
    <t>INFECTION AND DRUG RESISTANCE</t>
  </si>
  <si>
    <t>large language models; infectious diseases; clinical decision-making; human-AI collaboration</t>
  </si>
  <si>
    <t>DOVE MEDICAL PRESS LTD</t>
  </si>
  <si>
    <t>ALBANY</t>
  </si>
  <si>
    <t>PO BOX 300-008, ALBANY, AUCKLAND 0752, NEW ZEALAND</t>
  </si>
  <si>
    <t>1178-6973</t>
  </si>
  <si>
    <t>INFECT DRUG RESIST</t>
  </si>
  <si>
    <t>Infect. Drug Resistance</t>
  </si>
  <si>
    <t>593763</t>
  </si>
  <si>
    <t>10.2147/IDR.S593763</t>
  </si>
  <si>
    <t>http://dx.doi.org/10.2147/IDR.S593763</t>
  </si>
  <si>
    <t>Infectious Diseases; Pharmacology &amp; Pharmacy</t>
  </si>
  <si>
    <t>JN9PQ</t>
  </si>
  <si>
    <t>42311928</t>
  </si>
  <si>
    <t>WOS:001793831700001</t>
  </si>
  <si>
    <t>Bao, PF; Yi, WJ; Zhu, Y; Shen, YF; Peng, HT</t>
  </si>
  <si>
    <t>Most existing fault diagnosis methods, although capable of extracting interpretable features such as attention-weighted fault-related frequencies, remain essentially black-box models that provide only classification results without transparent reasoning or diagnostic justification, limiting users' ability to understand and trust diagnostic outcomes. In this work, we present a novel, interpretable fault diagnosis framework that integrates spectral feature extraction with large language models (LLMs). Vibration signals are first transformed into spectral representations using Hilbert- and Fourier-based encoders to highlight key frequencies and amplitudes. A channel attention-augmented convolutional neural network provides an initial fault type prediction. Subsequently, structured information-including operating conditions, spectral features, and CNN outputs-is fed into a fine-tuned enhanced LLM, which delivers both an accurate diagnosis and a transparent reasoning process. Experiments demonstrate that our framework achieves high diagnostic performance while substantially improving interpretability, making advanced fault diagnosis accessible to non-expert users in industrial settings.</t>
  </si>
  <si>
    <t>Bao, Panfeng; Yi, Wenjun; Zhu, Yue; Shen, Yufeng; Peng, Haotian</t>
  </si>
  <si>
    <t>Peng, HT (corresponding author), Chinese Acad Sci, Shenyang Inst Automat, Shenyang 110069, Peoples R China.; Peng, HT (corresponding author), Univ Chinese Acad Sci, Beijing 101408, Peoples R China.</t>
  </si>
  <si>
    <t>penghaotian@sia.cn; 15116220284@163.com; 223121110079@njust.edu.cn; zhuyue19931277@163.com; wjy@njust.edu.cn</t>
  </si>
  <si>
    <t>Hunan Provincial Department of Education Excellent Youth Project; Hunan Provincial Department of Education</t>
  </si>
  <si>
    <t>This research was funded by Hunan Provincial Department of Education Excellent Youth Project under grant number 23B1104. The APC was funded by Hunan Provincial Department of Education.</t>
  </si>
  <si>
    <t>[Bao, Panfeng; Yi, Wenjun] Nanjing Univ Sci &amp; Technol, Natl Key Lab Transient Phys, Nanjing 210094, Peoples R China; [Bao, Panfeng; Zhu, Yue; Shen, Yufeng] Changsha Aeronaut Vocat &amp; Tech Coll, Sch Aeronaut Mech Mfg, Changsha 410124, Peoples R China; [Peng, Haotian] Chinese Acad Sci, Shenyang Inst Automat, Shenyang 110069, Peoples R China; [Peng, Haotian] Univ Chinese Acad Sci, Beijing 101408, Peoples R China</t>
  </si>
  <si>
    <t>Nanjing University of Science &amp; Technology; Chinese Academy of Sciences; Shenyang Institute of Automation, CAS; Chinese Academy of Sciences; University of Chinese Academy of Sciences, CAS</t>
  </si>
  <si>
    <t>A Spectral Interpretable Bearing Fault Diagnosis Framework Powered by Large Language Models</t>
  </si>
  <si>
    <t>SENSORS</t>
  </si>
  <si>
    <t>bearing fault diagnosis; interpretable artificial intelligence; large language models; spectral feature extraction; multi-source information fusion</t>
  </si>
  <si>
    <t>Peng, Haotian/0000-0002-7723-0563</t>
  </si>
  <si>
    <t>48</t>
  </si>
  <si>
    <t>80</t>
  </si>
  <si>
    <t>1424-8220</t>
  </si>
  <si>
    <t>SENSORS-BASEL</t>
  </si>
  <si>
    <t>Sensors</t>
  </si>
  <si>
    <t>JUN 19 2025</t>
  </si>
  <si>
    <t>3822</t>
  </si>
  <si>
    <t>10.3390/s25123822</t>
  </si>
  <si>
    <t>http://dx.doi.org/10.3390/s25123822</t>
  </si>
  <si>
    <t>Chemistry, Analytical; Engineering, Electrical &amp; Electronic; Instruments &amp; Instrumentation</t>
  </si>
  <si>
    <t>Chemistry; Engineering; Instruments &amp; Instrumentation</t>
  </si>
  <si>
    <t>4EX0T</t>
  </si>
  <si>
    <t>40573709</t>
  </si>
  <si>
    <t>WOS:001516375600001</t>
  </si>
  <si>
    <t>Wang, Z; Xu, ZL; Shi, Y; Xi, JH; Zhang, YB</t>
  </si>
  <si>
    <t>Background Urodynamic studies (UDS) are essential diagnostic tools in urology, but their interpretation requires significant expertise and is subject to interobserver variability. Large language models (LLMs) have shown promise in various medical diagnostic applications, yet their utility in automated interpretation of urodynamic parameters remains unexplored.Objective To evaluate the diagnostic performance of large language models in the automated interpretation of urodynamic parameters compared to urologists with different experience levels.Methods We analyzed 320 urodynamic studies from patients with various lower urinary tract conditions. Two large language models (Deepseek-R1 and GPT-4) were employed to interpret the urodynamic data. Their diagnostic accuracy was compared with that of junior and senior urologists. Performance was evaluated using receiver operating characteristic (ROC) curves, area under the curve (AUC), diagnostic accuracy, and the QUEST framework (Quality of information, Understanding and reasoning, Expression style, Safety, and Trustworthiness). This study was designed and reported following the TRIPOD + AI statement for reporting prediction models using machine learning methods.Results Deepseek-R1 demonstrated the highest diagnostic accuracy (92.50%) among the automated systems, followed by GPT-4 (85.94%), comparable to junior urologists (83.75%) but lower than senior urologists (95.94%). The reference standard was established by consensus of three board-certified urodynamics experts with median 15 years of experience (range 12-22 years). ROC analysis revealed strong performance across different urological conditions, with AUC values ranging from 0.89 to 0.92 for Deepseek-R1, 0.84-0.88 for GPT-4, 0.81-0.84 for junior urologists, and 0.94-0.95 for senior urologists. The QUEST framework evaluation showed that Deepseek-R1 outperformed other systems in information quality, reasoning, expression style, safety, and trustworthiness. Both LLMs demonstrated high clinical utility, with Deepseek-R1 scoring higher in decision support (4.38/5), time efficiency (2.10/5), and educational value (4.20/5) compared to GPT-4.Conclusions Large language models, particularly Deepseek-R1, demonstrate promising capabilities in the automated interpretation of urodynamic parameters, with performance exceeding that of junior urologists and approaching senior urologists. These findings suggest potential applications in clinical decision support, training, and quality assurance in urodynamic practice, which could enhance diagnostic consistency and accessibility of expert-level interpretation.Clinical Trial Registration This study is a retrospective analysis of deidentified patient data and did not involve any direct patient contact or intervention. Therefore, ethics approval was waived in accordance with institutional and national guidelines.</t>
  </si>
  <si>
    <t>Wang, Zhen; Xu, Zhongle; Shi, Yong; Xi, Junhua; Zhang, Yanbin</t>
  </si>
  <si>
    <t>Xi, JH; Zhang, YB (corresponding author), Second Peoples Hosp Hefei, Dept Urol, Hefei, Peoples R China.</t>
  </si>
  <si>
    <t>urodoctorxi@163.com; doczyb@163.com</t>
  </si>
  <si>
    <t>[Wang, Zhen; Xu, Zhongle; Shi, Yong; Xi, Junhua; Zhang, Yanbin] Second Peoples Hosp Hefei, Dept Urol, Hefei, Peoples R China</t>
  </si>
  <si>
    <t>Application of Large Language Models in Automated Interpretation of Urodynamic Parameters</t>
  </si>
  <si>
    <t>NEUROUROLOGY AND URODYNAMICS</t>
  </si>
  <si>
    <t>artificial intelligence; clinical decision support; diagnostic accuracy; large language models; machine learning; urodynamics; urology</t>
  </si>
  <si>
    <t>UROFLOWMETRY; CYSTOMETRY</t>
  </si>
  <si>
    <t>wang, zhen/0009-0007-5752-9756</t>
  </si>
  <si>
    <t>0733-2467</t>
  </si>
  <si>
    <t>1520-6777</t>
  </si>
  <si>
    <t>NEUROUROL URODYNAM</t>
  </si>
  <si>
    <t>Neurourol. Urodyn.</t>
  </si>
  <si>
    <t>SI</t>
  </si>
  <si>
    <t>84</t>
  </si>
  <si>
    <t>95</t>
  </si>
  <si>
    <t>10.1002/nau.70160</t>
  </si>
  <si>
    <t>http://dx.doi.org/10.1002/nau.70160</t>
  </si>
  <si>
    <t>Urology &amp; Nephrology</t>
  </si>
  <si>
    <t>AN1ET</t>
  </si>
  <si>
    <t>41097832</t>
  </si>
  <si>
    <t>WOS:001594143800001</t>
  </si>
  <si>
    <t>Yang, XT; Li, TX; Wang, H; Zhang, RC; Ni, Z; Liu, N; Zhai, HH; Zhao, JH; Meng, FD; Zhou, ZY; Tang, SH; Wang, LM; Wang, XP; Luo, H; Ren, G; Zhang, LH; Kang, XY; Wang, J; Bo, N; Yang, XN; Xue, WJ; Zhang, XY; Chen, N; Guo, R; Li, BW; Li, YJ; Liu, YL; Zhang, TT; Liang, SH; Lv, Y; Nie, YZ; Fan, DM; Zhao, LN; Pan, YL</t>
  </si>
  <si>
    <t>Faced with challenging cases, doctors are increasingly seeking diagnostic advice from large language models (LLMs). This study aims to compare the ability of LLMs and human physicians to diagnose challenging cases. An offline dataset of 67 challenging cases with primary gastrointestinal symptoms was used to solicit possible diagnoses from seven LLMs and 22 gastroenterologists. The diagnoses by Claude 3.5 Sonnet covered the highest proportion (95% confidence interval [CI]) of instructive diagnoses (76.1%, [70.6%-80.9%]), significantly surpassing all the gastroenterologists (p &lt; 0.05 for all). Claude 3.5 Sonnet achieved a significantly higher coverage rate (95% CI) than that of the gastroenterologists using search engines or other traditional resource (76.1% [70.6%-80.9%] vs. 45.5% [40.7%-50.4%], p &lt; 0.001). The study highlights that advanced LLMs may assist gastroenterologists with instructive, time-saving, and cost-effective diagnostic scopes in challenging cases.</t>
  </si>
  <si>
    <t>Yang, Xintian; Li, Tongxin; Wang, Han; Zhang, Rongchun; Ni, Zhi; Liu, Na; Zhai, Huihong; Zhao, Jianghai; Meng, Fandong; Zhou, Zhongyin; Tang, Shanhong; Wang, Limei; Wang, Xiangping; Luo, Hui; Ren, Gui; Zhang, Linhui; Kang, Xiaoyu; Wang, Jun; Bo, Ning; Yang, Xiaoning; Xue, Weijie; Zhang, Xiaoyin; Chen, Ning; Guo, Rui; Li, Baiwen; Li, Yajun; Liu, Yaling; Zhang, Tiantian; Liang, Shuhui; Lv, Yong; Nie, Yongzhan; Fan, Daiming; Zhao, Lina; Pan, Yanglin</t>
  </si>
  <si>
    <t>Pan, YL (corresponding author), Fourth Mil Med Univ, Xijing Hosp Digest Dis, State Key Lab Holist Integrat Management Gastroint, Xian, Peoples R China.; Pan, YL (corresponding author), Fourth Mil Med Univ, Xijing Hosp Digest Dis, Natl Clin Res Ctr Digest Dis, Xian, Peoples R China.; Zhao, LN (corresponding author), Fourth Mil Med Univ, Xijing Hosp, Dept Radiotherapy, Xian, Peoples R China.</t>
  </si>
  <si>
    <t>zhaolina@fmmu.edu.cn; yanglinpan@hotmail.com</t>
  </si>
  <si>
    <t>National Natural Science Foundation of China (National Science Foundation of China) [2022YFC2505100]; National Key R&amp;D Program of China [81970557, 82003152, 82000506]; National Natural Science Foundation of China [GTCZ-2023-SD-08]; Research Project of the Chinese Early Gastrointestinal Cancer Physicians' Collaborative Growth Program; Beijing Huaxia Cancer Prevention and Treatment Research Institute</t>
  </si>
  <si>
    <t>National Natural Science Foundation of China (National Science Foundation of China) (National Natural Science Foundation of China (NSFC)); National Key R&amp;D Program of China; National Natural Science Foundation of China (National Natural Science Foundation of China (NSFC)); Research Project of the Chinese Early Gastrointestinal Cancer Physicians' Collaborative Growth Program; Beijing Huaxia Cancer Prevention and Treatment Research Institute</t>
  </si>
  <si>
    <t>The authors thank Qingyong Zhang, Xuemei Jiang, Shuling Lai, Ning Bai, Mingjun Bai, Lujia Cui, Dandan Zhao, and Jing Wu for their assistance with the survey. The deployment and testing of the PULSE-20b model were completed on the HPC Platform of Huazhong University of Science and Technology. The authors are also grateful to Dr. Ce Zhang for his support in deploying the PULSE-20b model. This research was supported by the National Key R&amp;D Program of China (2022YFC2505100), grants from the National Natural Science Foundation of China (81970557, 82003152, and 82000506), and Research Project of the Chinese Early Gastrointestinal Cancer Physicians' Collaborative Growth Program (GTCZ-2023-SD-08) funded by the Beijing Huaxia Cancer Prevention and Treatment Research Institute. The funders had no role in the study design, data collection and analysis, decision to publish, or preparation of the manuscript.</t>
  </si>
  <si>
    <t>[Yang, Xintian; Li, Tongxin; Wang, Xiangping; Luo, Hui; Ren, Gui; Zhang, Linhui; Kang, Xiaoyu; Liu, Yaling; Zhang, Tiantian; Liang, Shuhui; Lv, Yong; Nie, Yongzhan; Fan, Daiming; Pan, Yanglin] Fourth Mil Med Univ, Xijing Hosp Digest Dis, State Key Lab Holist Integrat Management Gastroint, Xian, Peoples R China; [Yang, Xintian; Li, Tongxin; Wang, Xiangping; Luo, Hui; Ren, Gui; Zhang, Linhui; Kang, Xiaoyu; Liu, Yaling; Zhang, Tiantian; Liang, Shuhui; Lv, Yong; Nie, Yongzhan; Fan, Daiming; Pan, Yanglin] Fourth Mil Med Univ, Xijing Hosp Digest Dis, Natl Clin Res Ctr Digest Dis, Xian, Peoples R China; [Wang, Han] Huazhong Univ Sci &amp; Technol, Tongji Med Coll, Union Hosp, Dept Pathol, Wuhan, Peoples R China; [Zhang, Rongchun; Ni, Zhi] Fujian Med Univ, Xiamen Humanity Hosp, Dept Gastroenterol, Xiamen, Peoples R China; [Liu, Na] Hainan Med Univ, Hainan Gen Hosp, Hainan Affiliated Hosp, Dept Gastroenterol, Haikou, Peoples R China; [Zhai, Huihong] Capital Med Univ, Xuanwu Hosp, Dept Gastroenterol, Beijing, Peoples R China; [Zhao, Jianghai] Henan Univ, Huaihe Hosp, Dept Gastroenterol, Kaifeng, Peoples R China; [Meng, Fandong] Capital Med Univ, Beijing Key Lab Precancerous Les Digest Dis, Dept Gastroenterol, Natl Clin Res Ctr Digest Dis,Beijing Digest Dis Ct, Beijing, Peoples R China; [Zhou, Zhongyin] Renmin Hosp Wuhan Univ, Dept Gastroenterol, Wuhan, Peoples R China; [Tang, Shanhong] Gen Hosp Western Theater Command, Dept Gastroenterol, Chengdu, Peoples R China; [Wang, Limei] Shaanxi Second Prov Peoples Hosp, Dept Nephrol, Xian, Peoples R China; [Wang, Jun] AF Mil Med Univ, Hosp 986, Dept Urol, Xian 710054, Peoples R China; [Bo, Ning] Second Affiliated Hosp Chongqing Med Univ, Dept Gastroenterol, Chongqing 400010, Peoples R China; [Yang, Xiaoning] Xiamen Univ, Zhongshan Hosp Xiamen Univ, Sch Med, Dept Gastroenterol, Xiamen, Peoples R China; [Xue, Weijie] Kumamoto Univ Hosp, Dept Transplantat &amp; Pediat Surg, Kumamoto, Japan; [Zhang, Xiaoyin] Second Hosp Affiliated Southern Univ Sci &amp; Technol, Peoples Hosp Shenzhen 3, Inst Hepatol, Dept Gastroenterol,Natl Clin Res Ctr Infect Dis, Shenzhen, Guangdong, Peoples R China; [Chen, Ning] Peking Univ, Peoples Hosp, Dept Surg Gastroenterol, Beijing 100871, Peoples R China; [Guo, Rui] Capital Med Univ, Beijing Shijingshan Hosp, Dept Orthoped, Beijing, Peoples R China; [Li, Baiwen] Shanghai Jiao Tong Univ, Sch Med, Shanghai Gen Hosp, Dept Gastroenterol, Shanghai, Peoples R China; [Li, Yajun] Ningxia Med Univ, Dept Gastroenterol, Yinchuan, Peoples R China; [Zhao, Lina] Fourth Mil Med Univ, Xijing Hosp, Dept Radiotherapy, Xian, Peoples R China</t>
  </si>
  <si>
    <t>Air Force Medical University; Air Force Medical University; Huazhong University of Science &amp; Technology; Fujian Medical University; Hainan Medical University; Capital Medical University; Henan University; Capital Medical University; Wuhan University; Chongqing Medical University; Xiamen University; Kumamoto University; Peking University; Capital Medical University; Shanghai Jiao Tong University; Ningxia Medical University; Air Force Medical University</t>
  </si>
  <si>
    <t>Multiple large language models versus experienced physicians in diagnosing challenging cases with gastrointestinal symptoms</t>
  </si>
  <si>
    <t>MULTIDISCIPLINARY TEAM; WOMAN</t>
  </si>
  <si>
    <t>Wang, Limei/JXX-4655-2024; Zhao, Lina/GVR-7716-2022; Zhang, xiaoyin/KVC-2170-2024; Lv, Yong/AHD-7102-2022; Bo, Ning/KEE-6799-2024; Li, Tongxin/OYE-0334-2025; Wang, Xiangping/KQV-2369-2024; Yang, XiaoNing/MEP-9332-2025</t>
  </si>
  <si>
    <t>Wang, Han/0000-0002-1026-0418; Zhao, Lina/0000-0002-0011-6471; Lv, Yong/0000-0003-2745-3432; zhang, rongchun/0000-0003-0711-1582; Yang, Xintian/0000-0002-0466-8767; Meng, Fandong/0000-0002-2873-575X; Ni, Zhi/0000-0001-7933-2937</t>
  </si>
  <si>
    <t>FEB 5 2025</t>
  </si>
  <si>
    <t>85</t>
  </si>
  <si>
    <t>10.1038/s41746-025-01486-5</t>
  </si>
  <si>
    <t>http://dx.doi.org/10.1038/s41746-025-01486-5</t>
  </si>
  <si>
    <t>U9Z2R</t>
  </si>
  <si>
    <t>39910315</t>
  </si>
  <si>
    <t>WOS:001415277900002</t>
  </si>
  <si>
    <t>Karakoyun, ÖF; Koyuncuoglu, HE; Sagniç, ÖH; Özdemir, ME; Gölcük, Y; Yildirim, B</t>
  </si>
  <si>
    <t>OBJECTIVE: Artificial intelligence (AI)-driven large language models (LLMs) are increasingly used in patient education; however, their ability to interpret and apply clinical guidelines within real-world physician workflows remains uncertain. Pulmonary embolism (PE), with its well-established diagnostic and management protocols, provides a suitable model for evaluating these systems. This study assessed the performance of four widely used AI-driven LLMs-ChatGPT-4o, DeepSeek-V2, Gemini, and Grok-in applying the 2019 European Society of Cardiology guidelines for PE. The focus was on evaluating clinical accuracy, adherence to guidelines, and response consistency.MATERIAL AND METHODS: Ten open-ended questions based on a simulated PE case were created, covering diagnosis, risk stratification, treatment, and follow-up. Guideline-based reference answers were used for scoring. LLMs were tested under identical conditions, and the responses were anonymized and scored by two emergency physicians using a 10-point scale. Inter-rater reliability was measured using the intraclass correlation coefficient (ICC), and group comparisons were made using Kruskal-Wallis tests.RESULTS: ChatGPT-4o scored highest (76), followed by Gemini (73.75), Grok (71.25), and DeepSeek-V2 (65). No significant difference was found in total scores (P = 0.390). Performance varied by category; ChatGPT-4o excelled in follow-up, while DeepSeek-V2 performed best in diagnostics. Expert reviewers noted ChatGPT-4o's structured responses and Grok's practicality, but highlighted limitations such as insufficient personalization and guideline gaps. Inter-rater agreement was excellent (ICC: 0.986).CONCLUSION: AI-driven LLMs show promise in supporting PE management, though none consistently excel in all domains. Further development is needed to enhance clinical integration and guideline complianc</t>
  </si>
  <si>
    <t>Karakoyun, Omer F.; Koyuncuoglu, Halil E.; Sagnic, Omer H.; Ozdemir, Mehmed E.; Golcuk, Yalcin; Yildirim, Birdal</t>
  </si>
  <si>
    <t>Yildirim, B (corresponding author), Mugla Sitki Kocman Univ, Fac Med, Dept Emergency Med, Mugla, Turkiye.</t>
  </si>
  <si>
    <t>birdalgul@gmail.com</t>
  </si>
  <si>
    <t>[Karakoyun, Omer F.; Koyuncuoglu, Halil E.] Mugla Training &amp; Res Hosp, Clin Emergency Med, Mugla, Turkiye; [Sagnic, Omer H.] Isparta City Hosp, Clin Emergency Med, Isparta, Turkiye; [Ozdemir, Mehmed E.] Mugla Sitki Kocman Univ, Grad Sch Nat &amp; Appl Sci, Dept Artificial Intelligence, Mugla, Turkiye; [Golcuk, Yalcin; Yildirim, Birdal] Mugla Sitki Kocman Univ, Fac Med, Dept Emergency Med, Mugla, Turkiye</t>
  </si>
  <si>
    <t>Mugla Sitki Kocman University; Mugla Sitki Kocman University</t>
  </si>
  <si>
    <t>AI in Patient Care: Evaluating Large Language Model Performance Against Evidence-Based Guidelines for Pulmonary Embolism</t>
  </si>
  <si>
    <t>THORACIC RESEARCH AND PRACTICE</t>
  </si>
  <si>
    <t>Pulmonary embolism; artificial intelligence; clinical decision support</t>
  </si>
  <si>
    <t>karakoyun, ömer/AEZ-7293-2022; Koyuncuoğlu, Halil Emre/JXM-2942-2024; Golcuk, Yalcin/AAA-8641-2021</t>
  </si>
  <si>
    <t>Koyuncuoğlu, Halil Emre/0000-0002-3634-6850</t>
  </si>
  <si>
    <t>2979-9139</t>
  </si>
  <si>
    <t>THORAC RES PRACT</t>
  </si>
  <si>
    <t>Thorac. Res. Pract.</t>
  </si>
  <si>
    <t>10.4274/ThoracResPract.2025.2025-6-3</t>
  </si>
  <si>
    <t>http://dx.doi.org/10.4274/ThoracResPract.2025.2025-6-3</t>
  </si>
  <si>
    <t>Respiratory System</t>
  </si>
  <si>
    <t>DG4TI</t>
  </si>
  <si>
    <t>41555635</t>
  </si>
  <si>
    <t>WOS:001682846800001</t>
  </si>
  <si>
    <t>Li, ZY; Liu, HY; Tan, WP; Tang, D; Duan, SP; Zhou, BW; Tang, L; Hu, XY; Huang, LY; Zhao, P; Fang, WQ; Wu, B; Liu, JJ; Wang, YJ; Wang, J</t>
  </si>
  <si>
    <t>The effects of various prompt engineering on Large Language Models (LLMs) performance in hypertension decision-making are not yet fully understood. We evaluate the impact of different prompt engineering on LLM performance in hypertension treatment decision-making. We conducted a two-stage validation study using 300 de-identified simulated hypertension cases based on real-world clinical scenarios. ChatGPT-4.1 with Guidance-Self-Consistency achieved optimal performance (91.3% accuracy), nearing expert-level competency, while zero-shot prompting yielded worst results (62.7% with DeepSeek-V3). Optimal LLM assistance consistently enhanced physicians' average accuracy across all levels (community hospital: 73.4% to 82.5%; county hospital: 84.0% to 87.9%; teach ing hospital: 91.5% to 92.0%) and reduced inappropriate regimen rates. The worst LLM configurations decreased physician performance below baseline, increasing inappropriate regimen rates from 26.6% to 35.2% across all levels. Effectively designed prompt strategies enable LLMs to provide reliable hypertension treatment recommendations, thereby supporting physicians' clinical decisions. This study has been trial-registered (ChiCTR2500099307, March 21, 2025).</t>
  </si>
  <si>
    <t>Li, Zeyan; Liu, Hengyang; Tan, Wuping; Tang, Du; Duan, Shoupeng; Zhou, Bowen; Tang, Long; Hu, Xuyang; Huang, Liying; Zhao, Peng; Fang, Wenqiang; Wu, Bing; Liu, Jinjun; Wang, Yijun; Wang, Jun</t>
  </si>
  <si>
    <t>Liu, JJ; Wang, J (corresponding author), Bengbu Med Univ, Dept Cardiol, Affiliated Hosp 1, Bengbu, Peoples R China.; Wang, YJ (corresponding author), Sichuan Univ, West China Med Sch, Chengdu, Peoples R China.; Wu, B (corresponding author), Hubei Univ Med, Renmin Hosp, Inst Clin Med, Shiyan, Peoples R China.; Wu, B (corresponding author), Hubei Univ Med, Renmin Hosp, Dept Cardiol, Shiyan, Peoples R China.; Liu, JJ; Wang, J (corresponding author), Bengbu Med Univ, Joint Res Ctr Reg Dis IHM, Bengbu, Peoples R China.; Liu, JJ; Wang, J (corresponding author), Bengbu Med Univ, Joint Res Ctr Reg Dis IHM, Affiliated Hosp 1, Bengbu, Anhui, Peoples R China.; Liu, JJ; Wang, J (corresponding author), Natl Comprehens Utilizat Sci &amp; Technol Informat Re, Sci &amp; Tech Informat STI Zhilian Res Inst Innovat &amp;, Beijing, Peoples R China.</t>
  </si>
  <si>
    <t>junw1214@163.com; byyfyliujinjun@163.com; wubingstf@hbmu.edu.cn; junwang0607@163.com</t>
  </si>
  <si>
    <t>The Key Project of Natural Science Research of the Anhui Provincial Department of Education [2024AH051187]; National Engineering Research Center of Science and Technology Information [2025STI135]; Research Funds of Joint Research Center for Regional Diseases of IHM [2024bydik001, 2024bydjk002, 2024bydjk005]; Clinical and Translational Research Project of Anhui Province [202427b10020086, 202427b10020089, 202427b10020097, 202427b10020047]; Anhui Provincial Health and Health Commission Scientific Research Project [AHWJ2024Aa10053]; The First Affiliated Hospital of Bengbu Medical University for Excellent Young Scholars [2025byyfyyq09]</t>
  </si>
  <si>
    <t>The Key Project of Natural Science Research of the Anhui Provincial Department of Education; National Engineering Research Center of Science and Technology Information; Research Funds of Joint Research Center for Regional Diseases of IHM; Clinical and Translational Research Project of Anhui Province; Anhui Provincial Health and Health Commission Scientific Research Project; The First Affiliated Hospital of Bengbu Medical University for Excellent Young Scholars</t>
  </si>
  <si>
    <t>Clinical and Translational Research Project of Anhui Province (202427b10020086, 202427b10020089, 202427b10020097); Research Funds of Joint Research Center for Regional Diseases of IHM (2024bydik001, 2024bydjk002, 2024bydjk005); Anhui Provincial Health and Health Commission Scientific Research Project (AHWJ2024Aa10053); Science Research Project of Bengbu Medical University (2024byfy008); National Engineering Research Center of Science and Technology Information (2025STI135); The First Affiliated Hospital of Bengbu Medical University for Excellent Young Scholars (2025byyfyyq09).</t>
  </si>
  <si>
    <t>[Li, Zeyan; Zhao, Peng; Fang, Wenqiang; Liu, Jinjun; Wang, Jun] Bengbu Med Univ, Dept Cardiol, Affiliated Hosp 1, Bengbu, Peoples R China; [Li, Zeyan] Guizhou Prov Peoples Hosp, Dept Cardiol, Guiyang, Peoples R China; [Liu, Hengyang; Duan, Shoupeng] Wuhan Univ, Dept Cardiol, Renmin Hosp, Wuhan, Peoples R China; [Tan, Wuping] Sun Yat Sen Univ, Sun Yat Sen Mem Hosp, Dept Cardiol, Guangzhou, Peoples R China; [Tang, Du] Huazhong Univ Sci &amp; Technol, Tongji Hosp, Dept Internal Med, Div Cardiol,Tongji Med Coll, Wuhan, Peoples R China; [Zhou, Bowen] Suzhou First Peoples Hosp, Dept Cardiol, Suzhou, Anhui, Peoples R China; [Tang, Long] Affiliated Xuancheng Hosp, Wannan Med Coll, Dept Cardiol, Xuancheng, Peoples R China; [Hu, Xuyang] Fuyang City Peoples Hosp, Dept Cardiovasc Med, Fuyang, Peoples R China; [Huang, Liying; Wang, Yijun] Sichuan Univ, West China Med Sch, Chengdu, Peoples R China; [Wu, Bing] Hubei Univ Med, Renmin Hosp, Inst Clin Med, Shiyan, Peoples R China; [Wu, Bing] Hubei Univ Med, Renmin Hosp, Dept Cardiol, Shiyan, Peoples R China; [Liu, Jinjun; Wang, Jun] Bengbu Med Univ, Joint Res Ctr Reg Dis IHM, Bengbu, Peoples R China; [Liu, Jinjun; Wang, Jun] Bengbu Med Univ, Joint Res Ctr Reg Dis IHM, Affiliated Hosp 1, Bengbu, Anhui, Peoples R China; [Liu, Jinjun; Wang, Jun] Natl Comprehens Utilizat Sci &amp; Technol Informat Re, Sci &amp; Tech Informat STI Zhilian Res Inst Innovat &amp;, Beijing, Peoples R China</t>
  </si>
  <si>
    <t>Bengbu Medical University; Wuhan University; Sun Yat Sen University; Huazhong University of Science &amp; Technology; Wannan Medical University; Sichuan University; Hubei University of Medicine; Hubei University of Medicine; Bengbu Medical University; Bengbu Medical University</t>
  </si>
  <si>
    <t>The effects of multitype prompt engineering for large language models in hypertension treatment decisions</t>
  </si>
  <si>
    <t>PRIMARY-HEALTH-CARE</t>
  </si>
  <si>
    <t>Duan, Shoupeng/KXR-3192-2024; Wang, Yijun/JOJ-5185-2023; Wang, Jun/AES-9863-2022</t>
  </si>
  <si>
    <t>Wang, Jun/0000-0002-7863-0331</t>
  </si>
  <si>
    <t>APR 15 2026</t>
  </si>
  <si>
    <t>526</t>
  </si>
  <si>
    <t>10.1038/s41746-026-02645-y</t>
  </si>
  <si>
    <t>http://dx.doi.org/10.1038/s41746-026-02645-y</t>
  </si>
  <si>
    <t>KS7KU</t>
  </si>
  <si>
    <t>41986562</t>
  </si>
  <si>
    <t>WOS:001814708500001</t>
  </si>
  <si>
    <t>Wu, XT; Huang, Y; He, Q</t>
  </si>
  <si>
    <t>BackgroundLarge language models (LLMs) have demonstrated potential in assisting clinical decision-making. However, studies evaluating LLMs' diagnostic performance on complex critical illness cases are lacking. We aimed to assess the diagnostic accuracy and response quality of an artificial intelligence (AI) model, and evaluate its potential benefits in assisting critical care residents with differential diagnosis of complex cases.MethodsThis prospective comparative study collected challenging critical illness cases from the literature. Critical care residents from tertiary teaching hospitals were recruited and randomly assigned to non-AI-assisted physician and AI-assisted physician groups. We selected a reasoning model, DeepSeek-R1, for our study. We evaluated the model's response quality using Likert scales, and we compared the diagnostic accuracy and efficiency between groups.ResultsA total of 48 cases were included. Thirty-two critical care residents were recruited, with 16 residents assigned to each group. Each resident handled an average of 3 cases. DeepSeek-R1's responses received median Likert grades of 4.0 (IQR 4.0-5.0; 95% CI 4.0-4.5) for completeness, 5.0 (IQR 4.0-5.0; 95% CI 4.5-5.0) for clarity, and 5.0 (IQR 4.0-5.0; 95% CI 4.0-5.0) for usefulness. The AI model's top diagnosis accuracy was 60% (29/48; 95% CI 0.456-0.729), with a median differential diagnosis quality score of 5.0 (IQR 4.0-5.0; 95% CI 4.5-5.0). Top diagnosis accuracy was 27% (13/48; 95% CI 0.146-0.396) in the non-AI-assisted physician group versus 58% (28/48; 95% CI 0.438-0.729) in the AI-assisted physician group. Median differential quality scores were 3.0 (IQR 0-5.0; 95% CI 2.0-4.0) without and 5.0 (IQR 3.0-5.0; 95% CI 3.0-5.0) with AI assistance. The AI model showed higher diagnostic accuracy than residents, and AI assistance significantly improved residents' accuracy. The residents' diagnostic time significantly decreased with AI assistance (median, 972 s; IQR 570-1320; 95% CI 675-1200) versus without (median, 1920 s; IQR 1320-2640; 95% CI 1710-2370).ConclusionsFor diagnostically difficult critical illness cases, DeepSeek-R1 generates high-quality information, achieves reasonable diagnostic accuracy, and significantly improves residents' diagnostic accuracy and efficiency. Reasoning models are suggested to be promising diagnostic adjuncts in intensive care units.</t>
  </si>
  <si>
    <t>Wu, Xintong; Huang, Yu; He, Qing</t>
  </si>
  <si>
    <t>Huang, Y (corresponding author), Southwest Jiaotong Univ, Affiliated Hosp, Peoples Hosp Chengdu 3, Dept Intens Care Med, Chengdu, Sichuan, Peoples R China.</t>
  </si>
  <si>
    <t>huangyu0120er@126.com</t>
  </si>
  <si>
    <t>[Wu, Xintong; Huang, Yu; He, Qing] Southwest Jiaotong Univ, Affiliated Hosp, Peoples Hosp Chengdu 3, Dept Intens Care Med, Chengdu, Sichuan, Peoples R China</t>
  </si>
  <si>
    <t>Southwest Jiaotong University</t>
  </si>
  <si>
    <t>A large language model improves clinicians' diagnostic performance in complex critical illness cases</t>
  </si>
  <si>
    <t>CRITICAL CARE</t>
  </si>
  <si>
    <t>Generative artificial intelligence; Reasoning models; Critical care; Diagnostic dilemmas</t>
  </si>
  <si>
    <t>Huang, Yu/NZO-3378-2025</t>
  </si>
  <si>
    <t>Huang, Yu/0009-0007-6854-1195</t>
  </si>
  <si>
    <t>34</t>
  </si>
  <si>
    <t>1364-8535</t>
  </si>
  <si>
    <t>1466-609X</t>
  </si>
  <si>
    <t>CRIT CARE</t>
  </si>
  <si>
    <t>Crit. Care</t>
  </si>
  <si>
    <t>JUN 6 2025</t>
  </si>
  <si>
    <t>230</t>
  </si>
  <si>
    <t>10.1186/s13054-025-05468-7</t>
  </si>
  <si>
    <t>http://dx.doi.org/10.1186/s13054-025-05468-7</t>
  </si>
  <si>
    <t>3NB9A</t>
  </si>
  <si>
    <t>40481529</t>
  </si>
  <si>
    <t>WOS:001504272000001</t>
  </si>
  <si>
    <t>Goyal, A; Sulaiman, SA; Alaarag, A; Hoshan, W; Goyal, P; Shah, VR; Daoud, M; Mahalwar, G; Sheikh, A</t>
  </si>
  <si>
    <t>BACKGROUND The integration of sophisticated large language models (LLMs) into healthcare has recently garnered significant attention due to their ability to leverage deep learning techniques to process vast datasets and generate contextually accurate, human-like responses. These models have been previously applied in medical diagnostics, such as in the evaluation of oral lesions. Given the high rate of missed diagnoses in pericarditis, LLMs may support clinicians in generating differential diagnoses-particularly in atypical cases where risk stratification and early identification are critical to preventing serious complications such as constrictive pericarditis and pericardial tamponade. AIM To compare the accuracy of LLMs in assisting the diagnosis of pericarditis as risk stratification tools. METHODS A PubMed search was conducted using the keyword "pericarditis", applying filters for "case reports". Data from relevant cases were extracted. Inclusion criteria consisted of English-language reports involving patients aged 18 years or older with a confirmed diagnosis of acute pericarditis. The diagnostic capabilities of ChatGPT o1 and DeepThink-R1 were assessed by evaluating whether pericarditis was included in the top three differential diagnoses and as the sole provisional diagnosis. Each case was classified as either "yes" or "no" for inclusion. RESULTS From the initial search, 220 studies were identified, of which 16 case reports met the inclusion criteria. In assessing risk stratification for acute pericarditis, ChatGPT o1 correctly identified the condition in 10 of 16 cases (62.5%) in the differential diagnosis and in 8 of 16 cases (50.0%) as the provisional diagnosis. DeepThink-R1 identified it in 8 of 16 cases (50.0%) and 6 of 16 cases (37.5%), respectively. ChatGPT o1 demonstrated higher accuracy than DeepThink-R1 in identifying pericarditis. CONCLUSION Further research with larger sample sizes and optimized prompt engineering is warranted to improve diagnostic accuracy, particularly in atypical presentations.</t>
  </si>
  <si>
    <t>Goyal, Aman; Sulaiman, Samia Aziz; Alaarag, Abdallah; Hoshan, Waseem; Goyal, Priya; Shah, Viraj; Daoud, Mohamed; Mahalwar, Gauranga; Sheikh, Abu Baker</t>
  </si>
  <si>
    <t>Daoud, M (corresponding author), Bogomolets Natl Med Univ, Dept Internal Med, 13 Tarasa Shevchenko Blvd, UA-01601 Kyiv, Ukraine.</t>
  </si>
  <si>
    <t>drmohameddaoudmd@gmail.com</t>
  </si>
  <si>
    <t>[Goyal, Aman; Mahalwar, Gauranga] Cleveland Clin Fdn, Dept Internal Med, Cleveland, OH 44195 USA; [Sulaiman, Samia Aziz; Alaarag, Abdallah; Hoshan, Waseem] Univ Jordan, Sch Med, Amman 11942, Jordan; [Goyal, Priya] Dayanand Med Coll &amp; Hosp, Dept Internal Med, Ludhiana 141001, Punjab, India; [Shah, Viraj] Wellstar MCG Hlth, Dept Cardiol, Augusta, GA 30912 USA; [Daoud, Mohamed] Bogomolets Natl Med Univ, Dept Internal Med, 13 Tarasa Shevchenko Blvd, UA-01601 Kyiv, Ukraine; [Sheikh, Abu Baker] Univ New Mexico, Dept Internal Med, Albuquerque, NM 87131 USA</t>
  </si>
  <si>
    <t>Cleveland Clinic Foundation; University of Jordan; Dayanand Medical College &amp; Hospital; Bogomolets National Medical University; University of New Mexico; University of New Mexico's Health Sciences Center</t>
  </si>
  <si>
    <t>Comparison of ChatGPT and DeepSeek large language models in the diagnosis of pericarditis</t>
  </si>
  <si>
    <t>WORLD JOURNAL OF CARDIOLOGY</t>
  </si>
  <si>
    <t>Artificial intelligence; Cardiology; Pericarditis; Diagnostics</t>
  </si>
  <si>
    <t>Goyal, Aman/IQW-2489-2023; , Abu Baker Sheikh/AAQ-5454-2021; MAHALWAR, GAURANGA/JHS-6399-2023</t>
  </si>
  <si>
    <t>1949-8462</t>
  </si>
  <si>
    <t>WORLD J CARDIOL</t>
  </si>
  <si>
    <t>World J. Cardiol.</t>
  </si>
  <si>
    <t>AUG 26 2025</t>
  </si>
  <si>
    <t>110489</t>
  </si>
  <si>
    <t>10.4330/wjc.v17.i8.110489</t>
  </si>
  <si>
    <t>http://dx.doi.org/10.4330/wjc.v17.i8.110489</t>
  </si>
  <si>
    <t>Cardiac &amp; Cardiovascular Systems</t>
  </si>
  <si>
    <t>Cardiovascular System &amp; Cardiology</t>
  </si>
  <si>
    <t>6PT4D</t>
  </si>
  <si>
    <t>40949931</t>
  </si>
  <si>
    <t>WOS:001559096800010</t>
  </si>
  <si>
    <t>gold; Green Accepted</t>
  </si>
  <si>
    <t>Jiang, S; Liu, XD; Liu, T; Gu, Y; An, B; Wang, CX; Zhao, DY; Zhang, HT; Tang, LX</t>
  </si>
  <si>
    <t>BACKGROUND: Large language models (LLMs) are being explored for disease prediction and diagnosis; however, their efficacy for early sepsis identification in emergency departments (EDs) remains unexplored. This study aims to evaluate MedGo, a novel medical LLM, as a decision-support tool for clinicians managing patients with suspected sepsis. METHODS: This retrospective study included anonymized medical records of 203 patients (mean age 79.9 +/- 10.2 years) with confirmed sepsis from a tertiary hospital ED between January 2023 and January 2024. MedGo performance across nine sepsis-related assessment tasks was compared with that of two junior (&lt;3 years of experience) and two senior (&gt;10 years of experience) ED physicians. Assessments were scored on a 5-point Likert scale for accuracy, comprehensiveness, readability, and case-analysis skills. RESULTS: MedGo demonstrated diagnostic performance comparable to that of senior physicians across most metrics, achieving a median Likert score of 4 in accuracy, comprehensiveness, and readability. MedGo significantly outperformed junior physicians (P&lt;0.001 for accuracy and case-analysis skills). MedGo assistance significantly enhanced both junior (P&lt;0.001) and senior (P&lt;0.05) physicians' diagnostic accuracy. Notably, MedGo-assisted junior physicians achieved accuracy levels comparable to those of unassisted senior physicians. MedGo maintained consistent performance across varying sepsis severities. CONCLUSION: MedGo shows significant diagnostic efficacy for sepsis and effectively supports clinicians in the ED, particularly enhancing junior physicians' performance. Our study highlights the potential of MedGo as a valuable decision-support tool for sepsis management, paving the way for specialized sepsis AI models.</t>
  </si>
  <si>
    <t>Jiang, Sen; Liu, Xiandong; Liu, Tong; Gu, Yi; An, Bo; Wang, Chunxue; Zhao, Dongyang; Zhang, Haitao; Tang, Lunxian</t>
  </si>
  <si>
    <t>Tang, LX (corresponding author), Nanjing Med Univ, Shanghai East Clin Med Coll, Shanghai 200120, Peoples R China.; Zhang, HT; Tang, LX (corresponding author), Tongji Univ, Shanghai East Hosp, Sch Med, Dept Internal Emergency Med, Shanghai 200120, Peoples R China.</t>
  </si>
  <si>
    <t>456tlx@163.com; boy8672@126.com</t>
  </si>
  <si>
    <t>National Natural Science Foundation of China [82470074]; Natural Science Foundation of Shanghai Scientific Committee of China [22ZR1451000]; Peak Supporting Clinical Discipline of Shanghai Health Bureau [2023ZDFC0104]; Medical Discipline Construction Program of Shanghai Pudong New Area Health Commission (the Key Disciplines Program) [PWZxk2022-17]; Scientific Research Program of Shanghai Pudong New Area Health Commission (the Joint Research and Development Program) [PW2023D-07]; Healthcare Talents Elite Program of Shanghai Pudong New Area [2025PDWSYCBJ-03]; Youth Science and Technology Program of Shanghai Pudong New Area [PW2024B-11]; People's Livelihood Research Project of Shanghai Pudong Science and Economy Commission [PKJ2023-Y39]; Scientific Research Program of Shanghai Pudong New Area Health Commission (the Science Popularization Program) [PWKP2024B-19]</t>
  </si>
  <si>
    <t>National Natural Science Foundation of China (National Natural Science Foundation of China (NSFC)); Natural Science Foundation of Shanghai Scientific Committee of China; Peak Supporting Clinical Discipline of Shanghai Health Bureau; Medical Discipline Construction Program of Shanghai Pudong New Area Health Commission (the Key Disciplines Program); Scientific Research Program of Shanghai Pudong New Area Health Commission (the Joint Research and Development Program); Healthcare Talents Elite Program of Shanghai Pudong New Area; Youth Science and Technology Program of Shanghai Pudong New Area; People's Livelihood Research Project of Shanghai Pudong Science and Economy Commission; Scientific Research Program of Shanghai Pudong New Area Health Commission (the Science Popularization Program)</t>
  </si>
  <si>
    <t>This study was supported by grants from the National Natural Science Foundation of China (82470074 to LT) , the municipal Natural Science Foundation of Shanghai Scientific Committee of China (22ZR1451000 to LT) , the Peak Supporting Clinical Discipline of Shanghai Health Bureau (2023ZDFC0104 to LT) , the Medical Discipline Construction Program of Shanghai Pudong New Area Health Commission (the Key Disciplines Program, PWZxk2022-17 to LT) , the Scientific Research Program of Shanghai Pudong New Area Health Commission (the Joint Research and Development Program, PW2023D-07 to LT) and the Healthcare Talents Elite Program of Shanghai Pudong New Area (2025PDWSYCBJ-03 to LT) , the Youth Science and Technology Program of Shanghai Pudong New Area (PW2024B-11 to CX) , and the People's Livelihood Research Project of Shanghai Pudong Science and Economy Commission (PKJ2023-Y39 to DZ) , the Scientific Research Program of Shanghai Pudong New Area Health Commission (the Science Popularization Program, PWKP2024B-19 to XL) .</t>
  </si>
  <si>
    <t>[Jiang, Sen; Liu, Xiandong; Gu, Yi; Tang, Lunxian] Nanjing Med Univ, Shanghai East Clin Med Coll, Shanghai 200120, Peoples R China; [Jiang, Sen; Liu, Xiandong; Liu, Tong; Gu, Yi; Wang, Chunxue; Zhao, Dongyang; Zhang, Haitao; Tang, Lunxian] Tongji Univ, Shanghai East Hosp, Sch Med, Dept Internal Emergency Med, Shanghai 200120, Peoples R China; [An, Bo] Chinese Acad Social Sci, Inst Ethnol &amp; Anthropol, Beijing 100081, Peoples R China</t>
  </si>
  <si>
    <t>Nanjing Medical University; Tongji University; Chinese Academy of Social Sciences</t>
  </si>
  <si>
    <t>Performance of a novel medical artificial intelligence large language model on supporting decision-making for emergency patients with suspected sepsis</t>
  </si>
  <si>
    <t>WORLD JOURNAL OF EMERGENCY MEDICINE</t>
  </si>
  <si>
    <t>Large language models; Sepsis; Emergency department</t>
  </si>
  <si>
    <t>MORTALITY</t>
  </si>
  <si>
    <t>ZHEJIANG UNIV PRESS</t>
  </si>
  <si>
    <t>Hangzhou</t>
  </si>
  <si>
    <t>Xixi Campus, Zhejiang University, No. 148 Tianmushan Road, Hangzhou, Zhejiang, PEOPLES R CHINA</t>
  </si>
  <si>
    <t>1920-8642</t>
  </si>
  <si>
    <t>WORLD J EMERG MED</t>
  </si>
  <si>
    <t>World J. Emerg. Med.</t>
  </si>
  <si>
    <t>447</t>
  </si>
  <si>
    <t>455</t>
  </si>
  <si>
    <t>10.5847/wjem.j.1920-8642.2025.095</t>
  </si>
  <si>
    <t>http://dx.doi.org/10.5847/wjem.j.1920-8642.2025.095</t>
  </si>
  <si>
    <t>7KH9G</t>
  </si>
  <si>
    <t>40979784</t>
  </si>
  <si>
    <t>WOS:001573058700005</t>
  </si>
  <si>
    <t>Bronze; Green Submitted</t>
  </si>
  <si>
    <t>Alanazi, NF; Aldawood, TA; Alfayez, A; AlOsaimi, N; Alhedaithy, R</t>
  </si>
  <si>
    <t>Background Large language models (LLMs) have shown promising performance in medical knowledge assessment; however, their capacity to assist real-world clinical decision-making in rhinology, particularly when integrating clinical, endoscopic, and radiologic data remains insufficiently investigated.Objective To evaluate the diagnostic classification and management recommendations of a large language model using real-world rhinologic cases that incorporate comprehensive clinical and written CT reports findings.Methods This retrospective, single-center diagnostic accuracy study included 301 adults with sinonasal disease evaluated at a tertiary care center. Structured clinical cases encompassing symptoms, endoscopic findings, and written CT reports findings were entered into ChatGPT-4 and compared with physician diagnoses and management plans serving as the reference standard. Diagnostic performance was assessed using sensitivity, specificity, accuracy, area under the curve, and Cohen's kappa coefficient.Results Diagnostic performance varied by disease phenotype, with a marked discrepancy between CRSwNP and CRSsNP. The model demonstrated high sensitivity and accuracy for chronic rhinosinusitis with nasal polyps (sensitivity, 95.3%; accuracy, 89.0%), whereas performance for chronic rhinosinusitis without nasal polyps showed lower sensitivity (58.3%) but high specificity (97.7%). This clinically important discrepancy indicates that the model performs more reliably in phenotypes with distinct endoscopic and radiologic features than in those requiring more nuanced clinical interpretation. In contrast, management recommendations demonstrated consistently high accuracy for both medical and surgical decisions (overall accuracy, 92.7%), with substantial agreement between AI-generated and physician recommendations.Results Diagnostic performance varied by disease phenotype, with a marked discrepancy between CRSwNP and CRSsNP. The model demonstrated high sensitivity and accuracy for chronic rhinosinusitis with nasal polyps (sensitivity, 95.3%; accuracy, 89.0%), whereas performance for chronic rhinosinusitis without nasal polyps showed lower sensitivity (58.3%) but high specificity (97.7%). This clinically important discrepancy indicates that the model performs more reliably in phenotypes with distinct endoscopic and radiologic features than in those requiring more nuanced clinical interpretation. In contrast, management recommendations demonstrated consistently high accuracy for both medical and surgical decisions (overall accuracy, 92.7%), with substantial agreement between AI-generated and physician recommendations.Conclusion When evaluated using real-world rhinologic cases integrating clinical, endoscopic, and written CT reports findings, a large language model demonstrated strong diagnostic agreement for CRSwNP and consistently reliable management recommendations. However, further validation is required before routine clinical implementation.</t>
  </si>
  <si>
    <t>Alanazi, Noura Farhan; Aldawood, Tariq Abdulaziz; Alfayez, Abdulrahman; AlOsaimi, Naif; Alhedaithy, Riyadh</t>
  </si>
  <si>
    <t>Alanazi, NF (corresponding author), King Saud Bin Abdulaziz Univ Hlth Sci, Coll Med, Riyadh, Saudi Arabia.; Alanazi, NF (corresponding author), King Abdullah Int Med Res Ctr KAIMRC, Riyadh, Saudi Arabia.</t>
  </si>
  <si>
    <t>FayezA@NGHA.med.sa; alhedaithyri@mngha.med.sa; naif-7@msn.com; tariqaldawood2013@gmail.com; noraalenzi5@gmail.com</t>
  </si>
  <si>
    <t>[Alanazi, Noura Farhan; Aldawood, Tariq Abdulaziz] King Saud Bin Abdulaziz Univ Hlth Sci, Coll Med, Riyadh, Saudi Arabia; [Alanazi, Noura Farhan; Aldawood, Tariq Abdulaziz; Alfayez, Abdulrahman; AlOsaimi, Naif; Alhedaithy, Riyadh] King Abdullah Int Med Res Ctr KAIMRC, Riyadh, Saudi Arabia; [Alfayez, Abdulrahman; AlOsaimi, Naif; Alhedaithy, Riyadh] King Abdul Aziz Med City, Otolaryngol Head &amp; Neck Surg, Riyadh, Riyadh, Saudi Arabia; [Alfayez, Abdulrahman; AlOsaimi, Naif; Alhedaithy, Riyadh] Minist Natl Guard Hlth Affairs, Riyadh, Saudi Arabia</t>
  </si>
  <si>
    <t>King Saud Bin Abdulaziz University for Health Sciences; King Saud Bin Abdulaziz University for Health Sciences; King Abdullah International Medical Research Center (KAIMRC); King Saud Bin Abdulaziz University for Health Sciences; Ministry of National Guard - Health Affairs</t>
  </si>
  <si>
    <t>Real-world diagnostic and management decisions in rhinology by a large language model: a retrospective study</t>
  </si>
  <si>
    <t>EUROPEAN ARCHIVES OF OTO-RHINO-LARYNGOLOGY</t>
  </si>
  <si>
    <t>Chronic rhinosinusitis; Large language models; Artificial intelligence; Diagnostic accuracy; Clinical decision support</t>
  </si>
  <si>
    <t>CHRONIC RHINOSINUSITIS</t>
  </si>
  <si>
    <t>0937-4477</t>
  </si>
  <si>
    <t>1434-4726</t>
  </si>
  <si>
    <t>EUR ARCH OTO-RHINO-L</t>
  </si>
  <si>
    <t>Eur. Arch. Oto-Rhino-Laryn.</t>
  </si>
  <si>
    <t>10.1007/s00405-026-10440-4</t>
  </si>
  <si>
    <t>http://dx.doi.org/10.1007/s00405-026-10440-4</t>
  </si>
  <si>
    <t>Otorhinolaryngology</t>
  </si>
  <si>
    <t>LG1ML</t>
  </si>
  <si>
    <t>42472948</t>
  </si>
  <si>
    <t>WOS:001823795000001</t>
  </si>
  <si>
    <t>Saraç, U; Paydas, AB; Çeliktas, Z; Kuyucuoglu, T; Sap, F; Baysal, T; Oflaz, MB</t>
  </si>
  <si>
    <t>Objective Large language models (LLMs) have been explored for clinical applications, yet their reliability in pediatric electrocardiogram (ECG) interpretation remains unclear. We compared the diagnostic accuracy of three general-purpose artificial intelligence (AI) systems-ChatGPT, Gemini, and Copilot-with that of a pediatrician and characterized error patterns across the platforms.Methods A total of 178 children (median age 108 months) underwent standard 12-lead ECG recording at a single center between January 2024 and July 2025. One pediatrician and three LLMs interpreted each ECG using a zero-shot design; responses were compared against a definitive diagnosis established through expert consensus. Rhythms were classified as physiological or pathological, with subgroup analysis for rhythms calling for emergency intervention.Results The pediatrician achieved the highest accuracy (78.7%), followed by ChatGPT (71.9%), Copilot (66.9%), and Gemini (50.0%). Area under the receiver operating characteristic (ROC) curve confirmed pediatrician superiority (0.79) over ChatGPT (0.70), Copilot (0.63), and Gemini (0.54). Agreement with definitive diagnosis was moderate for the pediatrician (kappa = 0.566) and ChatGPT (kappa = 0.410), but weak or nonsignificant for Copilot and Gemini. Error profiles differed markedly; Gemini showed a high false negative rate (39.9%), while Copilot showed a high false positive rate (24.7%).Conclusions The clinician outperformed the LLMs in pediatric ECG interpretation. Diagnostic accuracy varied markedly across the models, with reliability limits particularly evident in high-risk rhythms. In their current form, these systems may serve as supplementary tools under expert oversight rather than independent decision-makers.</t>
  </si>
  <si>
    <t>Sarac, Ugur; Paydas, Ayse Busra; Celiktas, Zeynep; Kuyucuoglu, Talha; Sap, Fatih; Baysal, Tamer; Oflaz, Mehmet Burhan</t>
  </si>
  <si>
    <t>Saraç, U (corresponding author), Necmettin Erbakan Univ Fac Med, Dept Pediat Cardiol, Konya, Turkiye.</t>
  </si>
  <si>
    <t>md.ugursarac@gmail.com</t>
  </si>
  <si>
    <t>[Sarac, Ugur; Paydas, Ayse Busra; Sap, Fatih; Baysal, Tamer; Oflaz, Mehmet Burhan] Necmettin Erbakan Univ Fac Med, Dept Pediat Cardiol, Konya, Turkiye; [Celiktas, Zeynep; Kuyucuoglu, Talha] Necmettin Erbakan Univ, Fac Med, Dept Pediat, Konya, Turkiye</t>
  </si>
  <si>
    <t>Necmettin Erbakan University; Necmettin Erbakan University</t>
  </si>
  <si>
    <t>Comparative Interpretation of Pediatric Electrocardiograms by Large Language Models and a Pediatrician</t>
  </si>
  <si>
    <t>INDIAN PEDIATRICS</t>
  </si>
  <si>
    <t>Artificial intelligence; Clinical decision support; Diagnostic accuracy; Large language models; Pediatric electrocardiography</t>
  </si>
  <si>
    <t>CARDIOLOGIST</t>
  </si>
  <si>
    <t>Paydas, Ayse/QJW-2816-2026; saraç, uğur/PHF-2603-2026</t>
  </si>
  <si>
    <t>Çeliktaş, Zeynep/0000-0001-6777-7090; Saraç, Uğur/0009-0000-0652-5834</t>
  </si>
  <si>
    <t>SPRINGER INDIA</t>
  </si>
  <si>
    <t>NEW DELHI</t>
  </si>
  <si>
    <t>7TH FLOOR, VIJAYA BUILDING, 17, BARAKHAMBA ROAD, NEW DELHI, 110 001, INDIA</t>
  </si>
  <si>
    <t>0019-6061</t>
  </si>
  <si>
    <t>0974-7559</t>
  </si>
  <si>
    <t>INDIAN PEDIATR</t>
  </si>
  <si>
    <t>Indian Pediatrics</t>
  </si>
  <si>
    <t>10.1007/s13312-026-00396-3</t>
  </si>
  <si>
    <t>http://dx.doi.org/10.1007/s13312-026-00396-3</t>
  </si>
  <si>
    <t>LB5NC</t>
  </si>
  <si>
    <t>42455258</t>
  </si>
  <si>
    <t>WOS:001820680600001</t>
  </si>
  <si>
    <t>Mlodawski, M; Deniziak, S; Plaza, M; Kwiatkowska, A; Jaszczyk, D; Gajda, A; Twardowski, K</t>
  </si>
  <si>
    <t>Background/Aim: Although large language models (LLMs) achieve &gt;90% accuracy on medical multiple-choice questions, their actual diagnostic utility remains unproven. This study compared four approaches to general medical diagnostics using real clinical data and LLMs: standalone LLM, LLM with Retrieval-Augmented Generation (RAG), LLM with expert system, and full integration of LLM, RAG, and expert system. Methods: Twenty LLMs were tested on 1655 unpublished clinical cases (paediatrics and internal medicine) in Polish and English, yielding 264,800 diagnostic evaluations. TOP-1, TOP-3, and grouped International Classification of Diseases, 10th Revision (ICD-10) accuracy were measured. Results: Standalone LLMs achieved only 16-20% TOP-1 accuracy. RAG added minimal benefit (+2-5 percentage points). The expert system improved performance 2.5-fold (55% paediatrics, 39% internal medicine). Unexpectedly, combining all components reduced results compared to the expert system alone, revealing an "integration paradox". Conclusions: LLMs alone are insufficient for clinical diagnostics in practical applications with incomplete data. Developers of clinical decision support systems should not treat LLMs as standalone diagnostic engines. Expert systems based on machine learning algorithms provide better support and should serve as the primary component in hybrid architectures. Combining LLM, RAG, and expert systems without deliberate output weighting paradoxically reduces performance. Hybrid systems should implement dynamic source selection or prediction weighting mechanisms rather than simple integration.</t>
  </si>
  <si>
    <t>Mlodawski, Michal; Deniziak, Stanislaw; Plaza, Miroslaw; Kwiatkowska, Aleksandra; Jaszczyk, Dawid; Gajda, Arkadiusz; Twardowski, Karol</t>
  </si>
  <si>
    <t>Plaza, M (corresponding author), Kielce Univ Technol, Fac Elect Engn Automat &amp; Comp Sci, Al Tysiaclecia PP 7, PL-25314 Kielce, Poland.</t>
  </si>
  <si>
    <t>arkadiusz.gajda@altar.com.pl; karol.twardowski@altar.com.pl; deniziak@tu.kielce.pl; m.mlodawski@tu.kielce.pl; m.plaza@tu.kielce.pl; d.jaszczyk@tu.kielce.pl; a.kwiatkowska@tu.kielce.pl</t>
  </si>
  <si>
    <t>National Centre for Research and Development [INFOSTRATEG-IV/0012/2022]</t>
  </si>
  <si>
    <t>National Centre for Research and Development (National Centre for Research &amp; Development, Poland)</t>
  </si>
  <si>
    <t>This research was co-funded by the National Centre for Research and Development under the INFOSTRATEG Strategic Programme, competition: INFOSTRATEG IV, funding agreement number INFOSTRATEG-IV/0012/2022.</t>
  </si>
  <si>
    <t>[Mlodawski, Michal; Deniziak, Stanislaw; Plaza, Miroslaw; Kwiatkowska, Aleksandra; Jaszczyk, Dawid] Kielce Univ Technol, Fac Elect Engn Automat &amp; Comp Sci, Al Tysiaclecia PP 7, PL-25314 Kielce, Poland; [Gajda, Arkadiusz; Twardowski, Karol] Altar Sp Zoo, Ul Rozana 5, PL-25729 Kielce, Poland</t>
  </si>
  <si>
    <t>Kielce University of Technology</t>
  </si>
  <si>
    <t>Comparative Evaluation of Large Language Models in Clinical Diagnostics for Real-World Medical Cases</t>
  </si>
  <si>
    <t>APPLIED SCIENCES-BASEL</t>
  </si>
  <si>
    <t>large language models; clinical diagnostics; RAG; expert systems; hybrid diagnostic systems; artificial intelligence in medicine; machine learning</t>
  </si>
  <si>
    <t>Płaza, Mirosław/JPX-7912-2023; Deniziak, Stanisław/W-7975-2018</t>
  </si>
  <si>
    <t>Gajda, Arkadiusz/0009-0003-8755-8137; Kwiatkowska, Aleksandra Justyna/0009-0007-6626-4569</t>
  </si>
  <si>
    <t>2076-3417</t>
  </si>
  <si>
    <t>APPL SCI-BASEL</t>
  </si>
  <si>
    <t>Appl. Sci.-Basel</t>
  </si>
  <si>
    <t>APR 3 2026</t>
  </si>
  <si>
    <t>3499</t>
  </si>
  <si>
    <t>10.3390/app16073499</t>
  </si>
  <si>
    <t>http://dx.doi.org/10.3390/app16073499</t>
  </si>
  <si>
    <t>Chemistry, Multidisciplinary; Engineering, Multidisciplinary; Materials Science, Multidisciplinary; Physics, Applied</t>
  </si>
  <si>
    <t>Chemistry; Engineering; Materials Science; Physics</t>
  </si>
  <si>
    <t>GL4LQ</t>
  </si>
  <si>
    <t>WOS:001739195600001</t>
  </si>
  <si>
    <t>Nguyen, TT; Li, KZ; Chaitanuwong, P; Moss, HE</t>
  </si>
  <si>
    <t>Purpose Retrospective identification of acute nonarteritic anterior ischemic optic neuropathy (NAION) cases is critical for research on risk factors. However, reliance on International Classification of Diseases (ICD) 10th edition coding for case identification has limited accuracy, and manual review of longitudinal electronic health records is time-intensive. The purpose of this study is to evaluate automated methods for retrospective identification of acute NAION cases using large language models (LLMs) that preserve patient privacy. Design Retrospective cross-sectional study. Subjects 165 patients with &gt;= 1 ICD-10 code for ischemic optic neuropathy (H47.01 &amp; lowast;) in the electronic health record at an academic medical center. Methods Five locally deployed LLM models (Mistral Small 3.1, Magistral Small, Gemma3, MedGemma, GPT-OSS 20B) were used to implement 4 approaches for acute NAION diagnostic classification using unstructured ophthalmology records (basic prompting, retrieval-augmented generation [RAG], 2-step agentic workflow, and 3-step agentic workflow). Ten percent of subjects were used for prompt refinement. Large language model/approach diagnostic classifications were compared against expert neuro-ophthalmologist diagnoses based on chart review. Main Outcome Measures Positive predictive value (PPV) of LLM approaches for acute NAION case identification with expert chart review diagnosis serving as gold standard. Secondary outcomes included negative predictive value, sensitivity, specificity, accuracy, F1 score, and distribution of LLM/approach classifications. Results 7/17 prompt refinement subjects and 58/148 testing subjects had acute NAION by expert chart review corresponding to PPV of 0.39 for &gt;= 1 ICD code. Large language model approaches accurately identified 20 +/- 12 (mean, standard deviation) acute NAION cases in the test set with PPV of 0.78 +/- 0.16 and accuracy of 0.69 +/- 0.06. The Mistral model using a 3-step agentic approach had the best-balanced performance (39 cases identified, 0.85 PPV, 0.82 accuracy, 0.75 F1 score). Conclusions Privacy-preserving agentic LLM approaches can achieve high PPV for acute NAION case identification using unstructured ophthalmology longitudinal electronic health records. These results exceed the performance of using structured ICD codes to identify cases, offering a scalable, efficient method for case identification in retrospective research while maintaining patient confidentiality and local data control. This method has application for enhancing research efficiency and accuracy for studies on NAION risk factors, with potential applicability to other conditions requiring complex diagnostic review.</t>
  </si>
  <si>
    <t>Nguyen, Tuyet Thao; Li, Kelvin Zhenghao; Chaitanuwong, Pareena; Moss, Heather Elspeth</t>
  </si>
  <si>
    <t>Moss, HE (corresponding author), Stanford Univ, Spencer Ctr Vis Res, Dept Ophthalmol, 2370 Watson Ct, Palo Alto, CA 94303 USA.</t>
  </si>
  <si>
    <t>hemoss@stanford.edu</t>
  </si>
  <si>
    <t>NIH [P30 026877]; Research to Prevent Blindness; Department of Ophthalmology, Stanford University</t>
  </si>
  <si>
    <t>NIH (United States Department of Health &amp; Human Services, National Institutes of Health (NIH) - USA); Research to Prevent Blindness (Research to Prevent Blindness (RPB)); Department of Ophthalmology, Stanford University</t>
  </si>
  <si>
    <t>Supported by NIH P30 026877, and an unrestricted grant from Research to Prevent Blindness. The funders had no role in study design, data collection/analysis, decision to publish, or manuscript preparation. It is being paid by the Department of Ophthalmology, Stanford University</t>
  </si>
  <si>
    <t>[Nguyen, Tuyet Thao] Univ Calif Davis, Sacramento, CA USA; [Nguyen, Tuyet Thao; Li, Kelvin Zhenghao; Moss, Heather Elspeth] Stanford Univ, Dept Ophthalmol, Palo Alto, CA 94303 USA; [Li, Kelvin Zhenghao] Natl Healthcare Grp Eye Inst, Singapore, Singapore; [Li, Kelvin Zhenghao] Nanyang Technol Univ, Ctr AI Med, Lee Kong Chian Sch Med, Singapore, Singapore; [Chaitanuwong, Pareena] Rajavithi Hosp, Dept Ophthalmol, Bangkok, Thailand; [Chaitanuwong, Pareena] Rangsit Univ, Coll Med, Dept Ophthalmol, Bangkok, Thailand; [Moss, Heather Elspeth] Stanford Univ, Dept Neurol &amp; Neurol Sci, Palo Alto, CA 94303 USA</t>
  </si>
  <si>
    <t>University of California System; University of California Davis; Stanford University; Nanyang Technological University; Rajavithi Hospital; Rangsit University; Stanford University</t>
  </si>
  <si>
    <t>Automated Review of Patient Records: Privacy-Preserving Large Language Models for Identifying Incident Nonarteritic Anterior Ischemic Optic Neuropathy at Scale</t>
  </si>
  <si>
    <t>OPHTHALMOLOGY SCIENCE</t>
  </si>
  <si>
    <t>Chart review; Electronic health records; Large language models; Natural language processing; Nonarteritic anterior ischemic optic neuropathy</t>
  </si>
  <si>
    <t>MEDICINE</t>
  </si>
  <si>
    <t>2666-9145</t>
  </si>
  <si>
    <t>OPHTHALMOL SCI</t>
  </si>
  <si>
    <t>Ophthalmol. Sci.</t>
  </si>
  <si>
    <t>101265</t>
  </si>
  <si>
    <t>10.1016/j.xops.2026.101265</t>
  </si>
  <si>
    <t>http://dx.doi.org/10.1016/j.xops.2026.101265</t>
  </si>
  <si>
    <t>Ophthalmology</t>
  </si>
  <si>
    <t>LC2YU</t>
  </si>
  <si>
    <t>42437116</t>
  </si>
  <si>
    <t>WOS:001821186100001</t>
  </si>
  <si>
    <t>Sismanoglu, S; Isik, V; Kayahan, MB</t>
  </si>
  <si>
    <t>Background Large language model (LLM)-based chatbots are increasingly used in healthcare, yet their diagnostic accuracy, consistency, and temporal stability in endodontics remain insufficiently evaluated. This study aimed to assess and compare the performance of LLM-based chatbots using established international clinical guidelines. Methods A diagnostic accuracy study with a repeated-measures design was conducted. Two LLMs (ChatGPT-5 and Gemini-2.5 Flash) were evaluated using 200 structured yes/no items derived from consensus-based international position statements covering the full scope of endodontic practice. Each model was tested weekly over three consecutive sessions, yielding 600 responses per model. Accuracy was assessed against reference answers, consistency was analyzed using Fleiss' kappa and Cohen's kappa, and logistic regression was performed to evaluate the effects of model type, week, and clinical domain. Results ChatGPT demonstrated significantly higher overall accuracy than Gemini (92.8% vs. 84.8%; OR = 2.37; p = 0.004) and near-perfect reproducibility (kappa = 0.95), whereas Gemini showed fair agreement (kappa = 0.38). Both models performed well in structured clinical domains but showed reduced accuracy in areas related to restoration and pulpal disease management. Conclusions LLM-based chatbots show potential as decision support and educational tools in endodontics. However, performance limitations in complex clinical domains highlight the continued need for expert oversight in clinical decision-making.</t>
  </si>
  <si>
    <t>Sismanoglu, Soner; Isik, Vasfiye; Kayahan, Mehmet Baybora</t>
  </si>
  <si>
    <t>Sismanoglu, S (corresponding author), Istanbul Univ Cerrahpasa, Fac Dent, Dept Restorat Dent, TR-34098 Istanbul, Turkiye.</t>
  </si>
  <si>
    <t>soner.s@hotmail.com</t>
  </si>
  <si>
    <t>[Sismanoglu, Soner] Istanbul Univ Cerrahpasa, Fac Dent, Dept Restorat Dent, TR-34098 Istanbul, Turkiye; [Isik, Vasfiye; Kayahan, Mehmet Baybora] Istanbul Univ Cerrahpasa, Fac Dent, Dept Endodont, Istanbul, Turkiye</t>
  </si>
  <si>
    <t>Istanbul University - Cerrahpasa; Istanbul University; Istanbul University; Istanbul University - Cerrahpasa</t>
  </si>
  <si>
    <t>Performance of large language models in endodontics: accuracy, consistency, and benchmarking with consensus guidelines</t>
  </si>
  <si>
    <t>BMC ORAL HEALTH</t>
  </si>
  <si>
    <t>Artificial Intelligence; ChatGPT; Position Statements; Gemini; Large Language Models</t>
  </si>
  <si>
    <t>EUROPEAN-SOCIETY; POSITION STATEMENT</t>
  </si>
  <si>
    <t>ISIK, Vasfiye/GQB-4252-2022; Sismanoglu, Soner/J-7430-2017</t>
  </si>
  <si>
    <t>1472-6831</t>
  </si>
  <si>
    <t>BMC Oral Health</t>
  </si>
  <si>
    <t>APR 16 2026</t>
  </si>
  <si>
    <t>1043</t>
  </si>
  <si>
    <t>10.1186/s12903-026-08269-8</t>
  </si>
  <si>
    <t>http://dx.doi.org/10.1186/s12903-026-08269-8</t>
  </si>
  <si>
    <t>JP1CY</t>
  </si>
  <si>
    <t>41987181</t>
  </si>
  <si>
    <t>WOS:001794613100001</t>
  </si>
  <si>
    <t>Zhou, S; Wang, JS; Xu, ZD; Wang, S; Brauer, D; Welton, L; Cogan, J; Chung, YH; Tian, L; Zhan, ZF; Hou, Y; Lin, MQ; Melton, GB; Zhang, R</t>
  </si>
  <si>
    <t>Explainable disease diagnosis, which leverages patient information (e.g., symptoms) and computational models to generate probable diagnoses and reasoning, holds strong clinical promise. Yet, when clinical notes lack sufficient evidence for a definitive diagnosis, such as the absence of definitive symptoms, diagnostic uncertainty commonly arises, increasing the risk of misdiagnosis. Despite its importance, the explicit identification and explanation of diagnostic uncertainty remain under-explored in artificial intelligence-driven systems. To fill this gap, we introduce ConfiDx, an uncertainty-aware large language model fine-tuned with diagnostic criteria. We formalized the task of uncertainty-aware diagnosis and curated richly annotated datasets that reflect varying degrees of diagnostic ambiguity. Evaluating on real-world datasets demonstrated that ConfiDx excelled in identifying diagnostic uncertainties, achieving superior diagnostic performance, and generating trustworthy explanations for diagnoses and uncertainties. Moreover, ConfiDx-assisted experts outperformed standalone experts by 10.7% in uncertainty recognition and 26% in uncertainty explanation, underscoring its substantial potential to improve clinical decision-making.</t>
  </si>
  <si>
    <t>Zhou, Shuang; Wang, Jiashuo; Xu, Zidu; Wang, Song; Brauer, David; Welton, Lindsay; Cogan, Jacob; Chung, Yuen-Hei; Tian, Lei; Zhan, Zaifu; Hou, Yu; Lin, Mingquan; Melton, Genevieve B.; Zhang, Rui</t>
  </si>
  <si>
    <t>Zhang, R (corresponding author), Univ Minnesota, Dept Surg, Div Computat Hlth Sci, Minneapolis, MN 55455 USA.; Zhang, R (corresponding author), Univ Minnesota, Ctr Learning Hlth Syst Sci, Minneapolis, MN 55455 USA.</t>
  </si>
  <si>
    <t>ruizhang@umn.edu</t>
  </si>
  <si>
    <t>National Center for Complementary and Integrative Health [R01AT009457]; National Cancer Institute [R01CA287413]; National Institute on Aging [R01AG078154]</t>
  </si>
  <si>
    <t>National Center for Complementary and Integrative Health (United States Department of Health &amp; Human Services, National Institutes of Health (NIH) - USA, NIH National Center for Complementary &amp; Alternative Medicine (NCCAM)); National Cancer Institute (United States Department of Health &amp; Human Services, National Institutes of Health (NIH) - USA, NIH National Cancer Institute (NCI)); National Institute on Aging (United States Department of Health &amp; Human Services, National Institutes of Health (NIH) - USA, NIH National Institute on Aging (NIA))</t>
  </si>
  <si>
    <t>This work was supported by the National Institutes of Health's National Center for Complementary and Integrative Health under grant number R01AT009457, National Institute on Aging under grant number R01AG078154, and National Cancer Institute under grant number R01CA287413. The content is solely the responsibility of the authors and does not represent the official views of the National Institutes of Health. We also acknowledge the support from the Center for Learning Health System Sciences.</t>
  </si>
  <si>
    <t>[Zhou, Shuang; Hou, Yu; Lin, Mingquan; Zhang, Rui] Univ Minnesota, Dept Surg, Div Computat Hlth Sci, Minneapolis, MN 55455 USA; [Wang, Jiashuo] Univ Chicago, Dept Comp Sci, Chicago, IL USA; [Xu, Zidu] Columbia Univ, Sch Nursing, New York, NY USA; [Wang, Song] Univ Virginia, Dept Elect &amp; Comp Engn, Charlottesville, VA USA; [Brauer, David; Welton, Lindsay] Univ Minnesota, Dept Surg, Div Surg Oncol, Minneapolis, MN USA; [Welton, Lindsay; Melton, Genevieve B.; Zhang, Rui] Univ Minnesota, Ctr Learning Hlth Syst Sci, Minneapolis, MN 55455 USA; [Cogan, Jacob] Univ Minnesota, Dept Med, Div Hematol Oncol &amp; Transplantat, Minneapolis, MN USA; [Chung, Yuen-Hei] Univ Calif San Francisco, Div Cardiac Electrophysiol, San Francisco, CA USA; [Tian, Lei] Mayo Clin, Dept Biochem &amp; Mol Biol, Rochester, MN USA; [Zhan, Zaifu] Univ Minnesota, Dept Elect &amp; Comp Engn, Minneapolis, MN USA; [Melton, Genevieve B.] Univ Minnesota, Inst Hlth Informat, Minneapolis, MN USA; [Melton, Genevieve B.] Univ Minnesota, Dept Surg, Div Colon &amp; Rectal Surg, Minneapolis, MN USA</t>
  </si>
  <si>
    <t>University of Minnesota System; University of Minnesota Twin Cities; University of Chicago; Columbia University; University of Virginia; University of Minnesota System; University of Minnesota Twin Cities; University of Minnesota System; University of Minnesota Twin Cities; University of Minnesota System; University of Minnesota Twin Cities; University of California System; University of California San Francisco; Mayo Clinic; University of Minnesota System; University of Minnesota Twin Cities; University of Minnesota System; University of Minnesota Twin Cities; University of Minnesota System; University of Minnesota Twin Cities</t>
  </si>
  <si>
    <t>Uncertainty-aware large language models for explainable disease diagnosis</t>
  </si>
  <si>
    <t>Melton-Meaux, Genevieve/HSE-3064-2023; LIN, Mingquan/ACQ-7411-2022</t>
  </si>
  <si>
    <t>Brauer, David/0000-0002-0251-4350; Hou, Yu/0009-0009-7184-6592</t>
  </si>
  <si>
    <t>NOV 18 2025</t>
  </si>
  <si>
    <t>690</t>
  </si>
  <si>
    <t>10.1038/s41746-025-02071-6</t>
  </si>
  <si>
    <t>http://dx.doi.org/10.1038/s41746-025-02071-6</t>
  </si>
  <si>
    <t>9ZF8A</t>
  </si>
  <si>
    <t>41254208</t>
  </si>
  <si>
    <t>WOS:001618552600004</t>
  </si>
  <si>
    <t>Nelson, S; Lay, B; Johnson, AR Jr</t>
  </si>
  <si>
    <t>:Artificial intelligence (AI) is revolutionizing the landscape of skin and wound care by improving diagnostic accuracy, treatment effectiveness, and patient outcomes. Artificial intelligence-driven tools, including machine learning models and large language models (LLMs), enhance the precision of wound assessments, facilitate early infection detection, and streamline clinical workflows. In addition, these tools may aid in patient symptom reporting, bridging the communication gap between patients and health care providers. Current AI applications include image recognition for wound classification, patient-facing symptom-checking chatbots, and personalized treatment recommendations. The integration of AI technologies not only supports better clinical decision-making but also empowers patients through improved access, engagement, and education. These tools are currently aimed at supporting clinical decision-making, not replacing clinicians. Moving forward, the expansion of AI capabilities in skin and wound care holds great promise, driving cost-effective, scalable, and equitable health care solutions.</t>
  </si>
  <si>
    <t>Nelson, Scott; Lay, Briana; Johnson Jr, Alton R.</t>
  </si>
  <si>
    <t>Science Citation Index Expanded (SCI-EXPANDED); Social Science Citation Index (SSCI)</t>
  </si>
  <si>
    <t>Johnson, AR Jr (corresponding author), Univ Michigan Med, Orthopaed Surg Dept, 2098 Main St, Ann Arbor, MI 48103 USA.</t>
  </si>
  <si>
    <t>busibriana@gmail.com; scott.charles.nelson@gmail.com; alton.johnsondpm@gmail.com</t>
  </si>
  <si>
    <t>[Lay, Briana] Univ Calif Los Angeles, Los Angeles, CA USA; [Johnson Jr, Alton R.] Univ Michigan, Med Sch, Ann Arbor, MI USA</t>
  </si>
  <si>
    <t>University of California System; University of California Los Angeles; University of Michigan; University of Michigan System; University of Michigan</t>
  </si>
  <si>
    <t>Artificial Intelligence in Skin and Wound Care: Enhancing Diagnosis and Treatment With Large Language Models</t>
  </si>
  <si>
    <t>ADVANCES IN SKIN &amp; WOUND CARE</t>
  </si>
  <si>
    <t>artificial intelligence (AI); chronic wound; digital health; health care technology; large language models (LLMs); limb salvage; wound care</t>
  </si>
  <si>
    <t>Johnson, Alton/0000-0001-9606-1147</t>
  </si>
  <si>
    <t>LIPPINCOTT WILLIAMS &amp; WILKINS</t>
  </si>
  <si>
    <t>TWO COMMERCE SQ, 2001 MARKET ST, PHILADELPHIA, PA 19103 USA</t>
  </si>
  <si>
    <t>1527-7941</t>
  </si>
  <si>
    <t>1538-8654</t>
  </si>
  <si>
    <t>ADV SKIN WOUND CARE</t>
  </si>
  <si>
    <t>Adv. Skin Wound Care</t>
  </si>
  <si>
    <t>461</t>
  </si>
  <si>
    <t>10.1097/ASW.0000000000000353</t>
  </si>
  <si>
    <t>http://dx.doi.org/10.1097/ASW.0000000000000353</t>
  </si>
  <si>
    <t>Dermatology; Nursing; Surgery</t>
  </si>
  <si>
    <t>7SA2D</t>
  </si>
  <si>
    <t>40981686</t>
  </si>
  <si>
    <t>WOS:001578283400011</t>
  </si>
  <si>
    <t>Temur, KT; Magat, G</t>
  </si>
  <si>
    <t>Although Chat Generative Pre-training Transformer (ChatGPT) role in dentistry is being explored, its diagnostic reliability and performance in complex cases remain under-investigated. This study evaluates the ability of ChatGPT-4, 4.0, Mini 4.0, and 3.5 to interpret clinical, imaging, and histopathological data in oral and maxillofacial diseases and compares their diagnostic accuracy with experienced dentists. This study evaluated four ChatGPT versions (GPT-3.5, GPT-4o, GPT-4o Mini, and GPT-4) using 50 queries per model. Fifty complex oral and maxillofacial pathology cases were selected from a journal's clinicopathological section, including clinical, radiographic, and histopathological data. Multiple-choice diagnostic questions were used to compare ChatGPT's responses with correct answers and diagnoses from two experienced dentists. Statistical analyses were conducted using SPSS (Version 25.0, IBM), with p &lt; 0.05 considered significant. ChatGPT-4o achieved the highest accuracy (70%), followed by ChatGPT-4 (66%), ChatGPT-3.5 (50%), and ChatGPT-4o Mini (46%), while dentists outperformed large language models (LLMs) with 72% accuracy. Cohen's Kappa test showed the highest agreement among LLMs between ChatGPT-3.5 and ChatGPT-4o Mini (kappa = 0.760), with significant agreement between ChatGPT-4o and ChatGPT-4 (kappa = 0.520). Dentists had the highest agreement (kappa = 0.901). Overall, LLMs models showed lower diagnostic accuracy than dentists, but ChatGPT-4o performed closest to expert-level accuracy. This study highlights the potential of advanced ChatGPT versions in assisting with oral lesion detection while also emphasizing the critical role of human expertise in diagnostic accuracy. Collaboration between LLMs and dental professionals can enhance diagnostic precision and improve patient outcomes.</t>
  </si>
  <si>
    <t>Temur, Katibe Tugce; Magat, Guldane</t>
  </si>
  <si>
    <t>Temur, KT (corresponding author), Nigde Omer Halisdemir Univ, Fac Dent, Dept Oral &amp; Maxillofacial Radiol, Nigde, Turkiye.</t>
  </si>
  <si>
    <t>tugce.uzmez@hotmail.com</t>
  </si>
  <si>
    <t>[Temur, Katibe Tugce] Nigde Omer Halisdemir Univ, Fac Dent, Dept Oral &amp; Maxillofacial Radiol, Nigde, Turkiye; [Magat, Guldane] Necmettin Erbakan Univ, Fac Dent, Dept Oral &amp; Maxillofacial Radiol, Konya, Turkiye</t>
  </si>
  <si>
    <t>Nigde Omer Halisdemir University; Necmettin Erbakan University</t>
  </si>
  <si>
    <t>Comparative diagnostic accuracy of ChatGPT large language models and expert clinicians in complex oral and maxillofacial diseases</t>
  </si>
  <si>
    <t>Artificial intelligence; Complex; Dentist; Oral and maxillofacial diseases</t>
  </si>
  <si>
    <t>Temur, Katibe/D-8753-2018; Magat, Guldane/AAI-7506-2020</t>
  </si>
  <si>
    <t>JAN 4 2026</t>
  </si>
  <si>
    <t>4694</t>
  </si>
  <si>
    <t>10.1038/s41598-025-34773-y</t>
  </si>
  <si>
    <t>http://dx.doi.org/10.1038/s41598-025-34773-y</t>
  </si>
  <si>
    <t>DD6LY</t>
  </si>
  <si>
    <t>41486195</t>
  </si>
  <si>
    <t>WOS:001680933200003</t>
  </si>
  <si>
    <t>Li, J; Zhou, ZC; Lyu, H; Wang, ZC</t>
  </si>
  <si>
    <t>This editorial presents an optimistic yet cautious perspective on the development, deployment, and regulation of large language models (LLMs) in the field of medicine. It is essential to strike a balance between embracing the benefits of artificial intelligence-driven solutions and preserving the human touch that is vital for providing compassionate care. The exponential growth of medical data has paved the way for the integration of LLMs into healthcare, offering unprecedented opportunities to enhance clinical decision-making and alleviate physicians' workloads. Recently, LLMs have exhibited remarkable potential across various clinical scenarios, including streamlining diagnostic processes, optimizing radiology reports, and providing personalized treatment recommendations. However, the implementation of LLMs in healthcare is not without its challenges. Issues such as the scarcity of high-quality annotated data, privacy concerns, and the risk of generating misleading or overconfident information are significant hurdles that must be addressed. Moreover, while LLMs can replace certain basic tasks traditionally performed by humans, it is crucial to recognize that senior clinicians play an irreplaceable role in complex decision-making and providing emotional support to patients. By harnessing the power of LLMs to augment human capabilities while maintaining essential human elements within healthcare, we might shape a future where artificial intelligence and human intelligence coexist harmoniously. Prioritizing ethical development and deployment for artificial intelligence, empowering healthcare professionals, and safeguarding patient privacy will be key to realizing the full potential of LLMs in revolutionizing healthcare delivery. Through ongoing research, collaboration, and adaptation, responsible integration of LLMs holds promise for elevating both quality and accessibility globally, ultimately creating a more efficient, personalized, and patient-centric healthcare system.</t>
  </si>
  <si>
    <t>Li, Jia; Zhou, Zichun; Lyu, Han; Wang, Zhenchang</t>
  </si>
  <si>
    <t>Lyu, H; Wang, ZC (corresponding author), Capital Med Univ, Beijing Friendship Hosp, Dept Radiol, Beijing 100050, Peoples R China.</t>
  </si>
  <si>
    <t>chrislvhan@126.com; cjr.wzhch@vip.163.com</t>
  </si>
  <si>
    <t>Beijing Friendship Hospital, Capital Med-ical University [L242024]; Open Projects of Sichuan Province Clinical Medical Research Center for Imaging Medicine [YYZZ202334]; Beijing Municipal Natural Science Foundation [YXYX2409]</t>
  </si>
  <si>
    <t>Beijing Friendship Hospital, Capital Med-ical University; Open Projects of Sichuan Province Clinical Medical Research Center for Imaging Medicine; Beijing Municipal Natural Science Foundation</t>
  </si>
  <si>
    <t>This study was funded by the National Natural Science Foundation of China (Grant No. 62171297) , the Beijing Natural Science Foundation (Grant No. L242024) , the Beijing Friendship Hospital, Capital Medical University (Grant No. YYZZ202334) , the Open Projects of Sichuan Province Clinical Medical Research Center for Imaging Medicine (Grant No. YXYX2409) , and the Beijing Municipal Natural Science Foundation (Grant No. 7254539) .r tion (Grant No. L242024) , the Beijing Friendship Hospital, Capital Med-ical University (Grant No. YYZZ202334) , the Open Projects of Sichuan Province Clinical Medical Research Center for Imaging Medicine (Grant No. YXYX2409) , and the Beijing Municipal Natural Science Foundation (Grant No. 7254539) .</t>
  </si>
  <si>
    <t>[Li, Jia; Zhou, Zichun; Lyu, Han; Wang, Zhenchang] Capital Med Univ, Beijing Friendship Hosp, Dept Radiol, Beijing 100050, Peoples R China</t>
  </si>
  <si>
    <t>Large language models-powered clinical decision support: enhancing or replacing human expertise?</t>
  </si>
  <si>
    <t>INTELLIGENT MEDICINE</t>
  </si>
  <si>
    <t>Large language models; Clinical decision support; Artificial intelligence; Healthcare</t>
  </si>
  <si>
    <t>GENERATION</t>
  </si>
  <si>
    <t>吕, 晗/AFO-6179-2022; Zhou, Zichun/KHT-4159-2024</t>
  </si>
  <si>
    <t>2667-1026</t>
  </si>
  <si>
    <t>INTEL MED</t>
  </si>
  <si>
    <t>Intell. Med.</t>
  </si>
  <si>
    <t>FEB 2025</t>
  </si>
  <si>
    <t>10.1016/j.imed.2025.01.001</t>
  </si>
  <si>
    <t>http://dx.doi.org/10.1016/j.imed.2025.01.001</t>
  </si>
  <si>
    <t>Y3G0R</t>
  </si>
  <si>
    <t>WOS:001431039900001</t>
  </si>
  <si>
    <t>gold</t>
  </si>
  <si>
    <t>Zhang, YH; Xu, YM; Chen, PL; Wang, SQ; Song, Q; Yu, L; Cai, W</t>
  </si>
  <si>
    <t>Medical image classification aims to categorise clinically significant imaging patterns, thereby facilitating accurate and timely diagnosis. However, existing approaches predominantly rely on visual features extracted from raw pixel data, often overlooking fine-grained diagnostic cues grounded in medical expertise. To address this limitation, we propose a novel knowledge-enhanced Model, called KEM, that leverages medical large vision-language models (Medical LVLMs) as domain experts to generate descriptive priors, which are used to guide and support clinical decision-making. Specifically, we prompt Medical LVLMs to generate rich, Multi-Dimension clinical descriptions tailored to each input image, capturing nuanced semantics. These descriptive priors are then encoded and fused with visual features through a dual cross-attention module, which enables bidirectional interaction and alignment between modalities. This design allows the model to dynamically attend to both textual and visual cues, thereby enhancing its ability to recognise subtle disease patterns. Comprehensive experiments on four benchmark datasets demonstrate that the proposed method significantly outperforms state-of-the-art vision-only models and exhibits strong generalization across varied clinical settings.</t>
  </si>
  <si>
    <t>Zhang, Yuhang; Xu, Yiming; Chen, Peilin; Wang, Shiqi; Song, Qi; Yu, Lei; Cai, Wei</t>
  </si>
  <si>
    <t>Song, Q (corresponding author), Univ Sci &amp; Technol China, Sch Comp Sci &amp; Technol, Hefei 230001, Anhui, Peoples R China.</t>
  </si>
  <si>
    <t>qisong09@ustc.edu.cn; yhzhang@mail.ustc.edu.cn; dr_caiwei@yeah.net; fishstonehfut1006@ahtcm.edu.cn; shiqwang@cityu.edu.hk; xym30@mail.ustc.edu.cn; plchen3@cityu.edu.hk</t>
  </si>
  <si>
    <t>The Plans for Major Provincial Science&amp;Technology Projects [202303a07020006]; Plans for Major Provincial Science &amp; Technology Projects [MAI2022Q015]; Joint Fund for Medical Artificial Intelligence [2308085MF221]; Anhui Provincial Natural Science Foundation</t>
  </si>
  <si>
    <t>The Plans for Major Provincial Science&amp;Technology Projects; Plans for Major Provincial Science &amp; Technology Projects; Joint Fund for Medical Artificial Intelligence; Anhui Provincial Natural Science Foundation (Natural Science Foundation of Anhui Province)</t>
  </si>
  <si>
    <t>We appreciate the constructive feedback from the anonymous reviewers and the support provided for this research by the Plans for Major Provincial Science &amp; Technology Projects under Grant No. 202303a07020006, the Joint Fund for Medical Artificial Intelligence under Grant No. MAI2022Q015, and the Anhui Provincial Natural Science Foundation under Grant No. 2308085MF221.</t>
  </si>
  <si>
    <t>[Zhang, Yuhang; Xu, Yiming; Song, Qi] Univ Sci &amp; Technol China, Sch Comp Sci &amp; Technol, Hefei 230001, Anhui, Peoples R China; [Zhang, Yuhang; Chen, Peilin; Wang, Shiqi] City Univ Hong Kong, Dept Comp Sci, Kowloon, Hong Kong 999077, Peoples R China; [Yu, Lei] Anhui Univ Chinese Med, Sch Med Informat Technol, Hefei 230012, Anhui, Peoples R China; [Cai, Wei] Univ Sci &amp; Technol China, Hepatobiliary Surg Affiliated Hosp USTC 1, Hefei 230001, Anhui, Peoples R China</t>
  </si>
  <si>
    <t>Chinese Academy of Sciences; University of Science &amp; Technology of China, CAS; City University of Hong Kong; Anhui University of Chinese Medicine; Chinese Academy of Sciences; University of Science &amp; Technology of China, CAS</t>
  </si>
  <si>
    <t>Knowledge-enhanced medical image classification via descriptive priors from large language models</t>
  </si>
  <si>
    <t>HEALTH INFORMATION SCIENCE AND SYSTEMS</t>
  </si>
  <si>
    <t>Medical Image Classification; Knowledge-Enhanced Model; Medical Large Language Models; Descriptive Priors; Dual Cross-Attention Module</t>
  </si>
  <si>
    <t>Wang, Shiqi/LEM-7616-2024</t>
  </si>
  <si>
    <t>Zhang, Yuhang/0000-0003-2761-8751; Song, Qi/0000-0002-1726-7858; Peilin, CHEN/0000-0001-6636-522X</t>
  </si>
  <si>
    <t>2047-2501</t>
  </si>
  <si>
    <t>HEALTH INF SCI SYST</t>
  </si>
  <si>
    <t>Health Inf. Sci. Syst.</t>
  </si>
  <si>
    <t>SEP 28 2025</t>
  </si>
  <si>
    <t>61</t>
  </si>
  <si>
    <t>10.1007/s13755-025-00380-4</t>
  </si>
  <si>
    <t>http://dx.doi.org/10.1007/s13755-025-00380-4</t>
  </si>
  <si>
    <t>7XM0K</t>
  </si>
  <si>
    <t>41024858</t>
  </si>
  <si>
    <t>WOS:001581976800001</t>
  </si>
  <si>
    <t>Green Accepted</t>
  </si>
  <si>
    <t>Cui, HQ; Yang, YY; Lai, TC; Zhang, XM; Xiao, KH; Liu, L; Qi, ZY; Jan, C; Wang, YQ; Zhang, B; Liu, JH; Zhu, ZT; Huang, Y; Li, L</t>
  </si>
  <si>
    <t>Objective To systematically evaluate the diagnostic, classification, and treatment decision-making performance of large language models (LLMs) in dry eye disease (DED) and compare their performance with that of junior ophthalmologists to assess their feasibility as clinical support tools. Methods One hundred standardized DED cases from Fuzhou University Affiliated Provincial Hospital (Aug 2023-Aug 2025) were analyzed. Four LLMs (ChatGPT-4o, DeepSeek-V3, Gemini-2.5-Pro, and ERNIE Bot-4.5-turbo) underwent an initial 20-item test with a 95% accuracy threshold. Only models meeting this criterion advanced to case-based evaluation. Diagnostic and therapeutic outputs were rated by senior ophthalmologists using the Global Quality Score (GQS) and a clinical safety score. Meanwhile, the response times of both the LLMs and the junior ophthalmologists were recorded to evaluate their respective efficiency. Results ChatGPT-4o, DeepSeek-V3, and Gemini-2.5-Pro met the screening threshold. In determining treatment necessity, the accuracies of the LLMs (96-99%) were comparable to those of junior ophthalmologists (97%). For DED classification, DeepSeek-V3 achieved the highest accuracy (92%) and agreement with experts (kappa = 0.80), outperforming ChatGPT-4o and junior ophthalmologists (71%, kappa approximate to 0.53; p &lt; 0.01). Gemini-2.5-Pro showed strong performance (accuracy 89%), the highest GQS (4.87 +/- 0.37), and the best safety rating, with 89% of its outputs rated as "good". The decision efficiency of the LLMs was significantly higher (p &lt;= 0.001), with response times (16-36 s) much shorter than those of junior ophthalmologists (315 +/- 57 s). Conclusions Gemini-2.5-Pro and DeepSeek-V3 demonstrated high accuracy, safety, and efficiency in case-based DED management, showing strong potential as auxiliary tools to enhance clinical decision-making and support less experienced clinicians.</t>
  </si>
  <si>
    <t>Cui, Haoqiang; Yang, Yuyang; Lai, Taichen; Zhang, Xuemei; Xiao, Kunhong; Liu, Li; Qi, Ziyi; Jan, Catherine; Wang, Yuqing; Zhang, Beiou; Liu, Jiahao; Zhu, Zhuoting; Huang, Yan; Li, Li</t>
  </si>
  <si>
    <t>Huang, Y (corresponding author), Fujian Med Univ, Dept Ophthalmol &amp; Optometry, Fuzhou, Peoples R China.; Li, L (corresponding author), Fujian Med Univ, Fuzhou Univ, Shengli Clin Med Coll, Dept Ophthalmol,Affiliated Prov Hosp, Fuzhou, Peoples R China.; Li, L (corresponding author), Royal Victorian Eye &amp; Ear Hosp, Ctr Eye Res Australia, East Melbourne, Vic, Australia.; Li, L (corresponding author), Univ Melbourne, Dept Surg, Ophthalmol, Melbourne, Vic, Australia.</t>
  </si>
  <si>
    <t>fjhyan-1988@fjmu.edu.cn; lili_js@fjsl.com.cn</t>
  </si>
  <si>
    <t>Fujian Provincial Natural Science Foundation of China [2025J011399, 2024J011019]; Fujian Provincial Science and Technology Innovation Joint Fund Project [2025Y9036]</t>
  </si>
  <si>
    <t>Fujian Provincial Natural Science Foundation of China; Fujian Provincial Science and Technology Innovation Joint Fund Project</t>
  </si>
  <si>
    <t>The authors disclose receipt of the following financial support for the research, authorship, and/or publication of this article: This work was supported by the Fujian Provincial Natural Science Foundation of China (grant number 2024J011019 to Li Li) and the Fujian Provincial Natural Science Foundation of China (grant number 2025J011399 to Li Liu), as well as the Fujian Provincial Science and Technology Innovation Joint Fund Project (grant number 2025Y9058 to Yuyang Yang).</t>
  </si>
  <si>
    <t>[Cui, Haoqiang; Xiao, Kunhong; Huang, Yan] Fujian Med Univ, Dept Ophthalmol &amp; Optometry, Fuzhou, Peoples R China; [Yang, Yuyang; Lai, Taichen; Zhang, Xuemei; Li, Li] Fujian Med Univ, Fuzhou Univ, Shengli Clin Med Coll, Dept Ophthalmol,Affiliated Prov Hosp, Fuzhou, Peoples R China; [Liu, Li] Putian Eye Hosp, Huaxia Eye Hosp Grp, Putian, Peoples R China; [Qi, Ziyi] Shanghai Jiao Tong Univ, Shanghai Gen Hosp, Natl Clin Res Ctr Eye Dis, Dept Ophthalmol,Sch Med, Shanghai, Peoples R China; [Jan, Catherine; Liu, Jiahao; Zhu, Zhuoting; Li, Li] Royal Victorian Eye &amp; Ear Hosp, Ctr Eye Res Australia, East Melbourne, Vic, Australia; [Jan, Catherine; Liu, Jiahao; Zhu, Zhuoting; Li, Li] Univ Melbourne, Dept Surg, Ophthalmol, Melbourne, Vic, Australia; [Wang, Yuqing] Fujian Med Univ, Sch Basic Med Sci, Fuzhou, Peoples R China; [Zhang, Beiou] Victoria Univ, Inst Hlth &amp; Sport, City Tower, Melbourne, Vic, Australia</t>
  </si>
  <si>
    <t>Fujian Medical University; Fuzhou University; Fujian Medical University; Shanghai Jiao Tong University; Royal Victorian Eye &amp; Ear Hospital; Centre for Eye Research Australia; University of Melbourne; Fujian Medical University; Victoria University</t>
  </si>
  <si>
    <t>Application of large language models in clinical decision-making for dry eye disease</t>
  </si>
  <si>
    <t>BMC MEDICAL INFORMATICS AND DECISION MAKING</t>
  </si>
  <si>
    <t>Large language model; Dry eye disease; Treatment decision-making; Clinical safety</t>
  </si>
  <si>
    <t>Jan, Catherine/0000-0001-7383-8208</t>
  </si>
  <si>
    <t>1472-6947</t>
  </si>
  <si>
    <t>BMC MED INFORM DECIS</t>
  </si>
  <si>
    <t>BMC Med. Inform. Decis. Mak.</t>
  </si>
  <si>
    <t>MAY 26 2026</t>
  </si>
  <si>
    <t>229</t>
  </si>
  <si>
    <t>10.1186/s12911-026-03586-y</t>
  </si>
  <si>
    <t>http://dx.doi.org/10.1186/s12911-026-03586-y</t>
  </si>
  <si>
    <t>KH8NS</t>
  </si>
  <si>
    <t>42192438</t>
  </si>
  <si>
    <t>WOS:001807315200001</t>
  </si>
  <si>
    <t>Déniz, C; Marcè, J; Macia, I; Rivas, F; Muñoz, A; Paradela, M; García, S; Moreno, C; Serratosa, I; García, M; Rodríguez-Martos, T; Ojanguren, A</t>
  </si>
  <si>
    <t>Background Artificial intelligence (AI) and large language models (LLMs) are increasingly used in clinical workflows, but their real-world application in thoracic surgery decision-making remains underexplored.Methods This retrospective observational study assessed the concordance between diagnostic and therapeutic recommendations generated by Scholar GPT (based on GPT-4) and decisions made by board-certified thoracic surgeons. All outpatient consultations over one week in a tertiary care hospital were included. Each case was evaluated using a 6-point concordance scale (0-5), developed to quantify agreement in diagnosis and treatment planning. This was a retrospective observational, single-centre analysis; two independent thoracic surgeons assigned the concordance score. We report descriptive statistics and used t-tests/ANOVA for continuous variables and chi-square tests for categorical variables. Given the exploratory design, no a priori sample-size calculation or power analysis was performed.Results A total of 81 consultations were analysed. The mean concordance score was 3.67 +/- 1.17. High concordance (scores 4-5) occurred in 56.8% of cases, particularly in oncological diagnoses such as mediastinal and pleural tumours. Lower concordance was observed in complex or functional conditions like metastatic lung disease and thoracic outlet syndrome. No significant differences were found between consultation modalities or visit types.Conclusion Scholar GPT demonstrated promising alignment with surgeon decisions in structured oncologic cases but showed variability in complex scenarios. While AI may assist in streamlining outpatient workflows, its use should remain complementary to expert clinical judgment. These findings are exploratory and should be interpreted with caution given the small sample size and single-centre, one-week design.</t>
  </si>
  <si>
    <t>Deniz, Carlos; Marce, Judith; Macia, Ivan; Rivas, Francisco; Munoz, Anna; Paradela, Marina; Garcia, Samuel; Moreno, Camilo; Serratosa, Ines; Garcia, Marta; Rodriguez-Martos, Tania; Ojanguren, Amaia</t>
  </si>
  <si>
    <t>Déniz, C (corresponding author), Hosp Univ Bellvitge, Dept Thorac Surg, Barcelona, Spain.; Déniz, C (corresponding author), Bellvitge Inst Biomed Res, Barcelona, Spain.; Déniz, C (corresponding author), Catalan Inst Oncol, Dept Med Oncol, Barcelona, Spain.; Déniz, C (corresponding author), Univ Barcelona, Barcelona, Spain.</t>
  </si>
  <si>
    <t>cdenizar@gmail.com</t>
  </si>
  <si>
    <t>University of Barcelona Institutional Open Access Program</t>
  </si>
  <si>
    <t>The author(s) declare that financial support was received for the research and/or publication of this article. The article processing charge (APC) was partially funded by the University of Barcelona Institutional Open Access Program.</t>
  </si>
  <si>
    <t>[Deniz, Carlos; Marce, Judith; Macia, Ivan; Rivas, Francisco; Munoz, Anna; Paradela, Marina; Garcia, Samuel; Moreno, Camilo; Serratosa, Ines; Garcia, Marta; Rodriguez-Martos, Tania; Ojanguren, Amaia] Hosp Univ Bellvitge, Dept Thorac Surg, Barcelona, Spain; [Deniz, Carlos; Macia, Ivan; Rivas, Francisco; Munoz, Anna; Ojanguren, Amaia] Bellvitge Inst Biomed Res, Barcelona, Spain; [Deniz, Carlos; Macia, Ivan; Rivas, Francisco; Munoz, Anna; Ojanguren, Amaia] Catalan Inst Oncol, Dept Med Oncol, Barcelona, Spain; [Deniz, Carlos; Macia, Ivan; Rivas, Francisco; Munoz, Anna; Ojanguren, Amaia] Univ Barcelona, Barcelona, Spain</t>
  </si>
  <si>
    <t>University of Barcelona; Institut d'Investigacio Biomedica de Bellvitge (IDIBELL); Bellvitge University Hospital; Institut d'Investigacio Biomedica de Bellvitge (IDIBELL); Institut Catala d'Oncologia; University of Barcelona</t>
  </si>
  <si>
    <t>Artificial intelligence in thoracic surgery consultations: evaluating the concordance between a large language model and expert clinical decisions</t>
  </si>
  <si>
    <t>artificial intelligence; large language models; thoracic surgery; clinical decision support; oncology; AI in medicine</t>
  </si>
  <si>
    <t>Macía, Ivan/AAV-3867-2021; Garcia-Reina, Samuel/AAD-3099-2021</t>
  </si>
  <si>
    <t>Garcia-Reina, Samuel/0000-0002-1768-9348</t>
  </si>
  <si>
    <t>NOV 17 2025</t>
  </si>
  <si>
    <t>1633278</t>
  </si>
  <si>
    <t>10.3389/fdgth.2025.1633278</t>
  </si>
  <si>
    <t>http://dx.doi.org/10.3389/fdgth.2025.1633278</t>
  </si>
  <si>
    <t>J1489</t>
  </si>
  <si>
    <t>41333105</t>
  </si>
  <si>
    <t>WOS:001627259000001</t>
  </si>
  <si>
    <t>Sheppert, A; Shen, C; Geissal, E; Riley, C; Riley, S</t>
  </si>
  <si>
    <t>Background: Anchoring bias is a well-described contributor to diagnostic error in clinical reasoning. However, the susceptibility of large language models (LLMs) to diagnostic anchoring remains poorly characterized. Using a forced-choice ranking paradigm, we compared the susceptibility of LLMs and human physicians to anchoring in a controlled vignette task. Methods: We conducted a forced-choice ranking study using nine pairs of internal medicine outpatient-focused clinical vignettes. Each pair consisted of an anchored vignette containing a patient statement suggesting a plausible but unlikely diagnosis and a matched control without the suggestion. Postgraduate year 1-3 (PGY1-3) internal medicine residents (N = 20) and attending physicians (N = 5) each selected and ranked a top-5 differential diagnosis from a fixed list for each vignette (225 total vignette responses). Eight LLMs were evaluated on identical forced-choice ranking tasks (72 anchored and 72 control outputs). The primary endpoint was the proportion of rankings where the anchor diagnosis was ranked first in anchored vignettes. Comparisons used Cochran-Mantel-Haenszel (CMH) tests stratified by vignette. Secondary endpoints included anchor inclusion in the top-5 diagnoses and anchoring magnitude quantified by Borda count score shifts between anchored and control conditions. Results: In anchored vignettes, residents ranked the anchor first in 17/80 responses (21.2%) and attendings in 2/ 20 (10.0%), compared with LLMs in 40/72 responses (55.6%). LLMs had higher odds of ranking the anchor first versus residents (OR 3.94, 95% CI 2.32-7.33; P &lt; 0.001) and attendings (OR 4.07, 95% CI 2.47-7.21; P &lt; 0.001). LLMs included the anchor in the top-5 in 97.2% of outputs versus 67.5% (residents) and 65.0% (attendings). Mean anchoring-induced Borda score shifts were 2.29 (LLMs), 0.88 (residents), and 0.87 (attendings); the LLMresident difference was 1.41 (P = 0.008). Conclusions: In this forced-choice vignette paradigm, LLMs exhibited significantly greater diagnostic anchoring than physicians. These experimental findings motivate evaluation of anchoring susceptibility before integrating LLMs into clinical diagnostic workflows and underscore the need for studies in open-ended, real-world clinical settings.</t>
  </si>
  <si>
    <t>Sheppert, Alexander; Shen, Christine; Geissal, Erik; Riley, Craig; Riley, Sylvia</t>
  </si>
  <si>
    <t>Sheppert, A (corresponding author), Legacy Hlth, 2211 NE 139th St, Vancouver, WA 98686 USA.</t>
  </si>
  <si>
    <t>alsheppe@lhs.org</t>
  </si>
  <si>
    <t>[Sheppert, Alexander; Shen, Christine; Geissal, Erik; Riley, Craig; Riley, Sylvia] Legacy Hlth, 2211 NE 139th St, Vancouver, WA 98686 USA; [Sheppert, Alexander; Shen, Christine; Geissal, Erik; Riley, Craig; Riley, Sylvia] Vancouver Clin, 700 NE 87th Ave, Vancouver, WA 98664 USA</t>
  </si>
  <si>
    <t>Large language models exhibit greater diagnostic anchoring than physicians in a forced-choice vignette study</t>
  </si>
  <si>
    <t>INTERNATIONAL JOURNAL OF MEDICAL INFORMATICS</t>
  </si>
  <si>
    <t>Large language models; Anchoring bias; Diagnostic error; Clinical decision support; Artificial intelligence; Patient safety</t>
  </si>
  <si>
    <t>COGNITIVE BIAS; ERROR</t>
  </si>
  <si>
    <t>ELSEVIER IRELAND LTD</t>
  </si>
  <si>
    <t>CLARE</t>
  </si>
  <si>
    <t>ELSEVIER HOUSE, BROOKVALE PLAZA, EAST PARK SHANNON, CO, CLARE, 00000, IRELAND</t>
  </si>
  <si>
    <t>1386-5056</t>
  </si>
  <si>
    <t>1872-8243</t>
  </si>
  <si>
    <t>INT J MED INFORM</t>
  </si>
  <si>
    <t>Int. J. Med. Inform.</t>
  </si>
  <si>
    <t>OCT 2026</t>
  </si>
  <si>
    <t>219</t>
  </si>
  <si>
    <t>106550</t>
  </si>
  <si>
    <t>10.1016/j.ijmedinf.2026.106550</t>
  </si>
  <si>
    <t>http://dx.doi.org/10.1016/j.ijmedinf.2026.106550</t>
  </si>
  <si>
    <t>Computer Science, Information Systems; Health Care Sciences &amp; Services; Medical Informatics</t>
  </si>
  <si>
    <t>Computer Science; Health Care Sciences &amp; Services; Medical Informatics</t>
  </si>
  <si>
    <t>KJ5ZA</t>
  </si>
  <si>
    <t>42335861</t>
  </si>
  <si>
    <t>WOS:001808496900001</t>
  </si>
  <si>
    <t>Shujaat, S; Pillai, AG; Riaz, M; Alharbi, W; Ganganna, K; Alfadley, A; Aboalela, AA; Abolemaaty, W</t>
  </si>
  <si>
    <t>PurposeTo benchmark the diagnostic accuracy and inter-model agreement of contemporary large language models (LLMs) on text-only histopathologic narrative descriptions in oral and maxillofacial pathology (OMFP), and to assess how performance varies by diagnostic dependency and diagnostic category.MethodsIn this retrospective diagnostic accuracy study, 171 de-identified OMFP cases were screened, and 155 cases were included after predefined selection. Each case comprised an edited histopathologic narrative and a single expert-verified reference diagnosis. Three general-purpose LLMs (ChatGPT-5.0, Gemini-2.5-Pro, Claude-Opus-4.1) were queried once per case using an identical zero-shot prompt requesting a single definitive diagnosis. Primary outcome was case-level accuracy; paired comparisons used McNemar's test, and inter-model agreement was assessed with Cohen's kappa. Performance was stratified by histology-sufficient (HS) versus correlation-dependent (CD) lesions and by OMFP diagnostic category.ResultsOverall accuracies were 83.2% (ChatGPT-5.0), 77.4% (Gemini-2.5-Pro), and 72.3% (Claude-Opus-4.1). ChatGPT-5.0 significantly outperformed Claude-Opus-4.1, whereas the differences between ChatGPT-5.0 and Gemini-2.5-Pro and between Gemini-2.5-Pro and Claude-Opus-4.1 were not statistically significant. Agreement was highest between Gemini-2.5-Pro and Claude-Opus-4.1 (kappa = 0.73). All models showed higher accuracy for HS than CD lesions, with best performance in malignant, hematolymphoid, and immune-mediated categories.ConclusionContemporary LLMs can interpret OMFP histopathologic narratives with moderate overall diagnostic accuracy, particularly for lesions with distinctive microscopic features. Performance declined for CD entities, indicating persistent reliance on clinicoradiologic context. Although not suitable as stand-alone diagnosticians, these findings provide a controlled benchmark of text-based diagnostic performance and suggest potential supportive value in OMFP education and exploratory pathology informatics applications under expert supervision.</t>
  </si>
  <si>
    <t>Shujaat, Sohaib; Gopinathan Pillai, Arun; Riaz, Marryam; Alharbi, Wahaj; Ganganna, Kokila; Alfadley, Abdulmohsen; Aboalela, Ali Anwar; Abolemaaty, Wael</t>
  </si>
  <si>
    <t>Shujaat, S (corresponding author), King Saud bin Abdulaziz Univ Hlth Sci, King Abdullah Int Med Res Ctr, Dept Maxillofacial Surg &amp; Diagnost Sci, Minist Natl Guard Hlth Affairs,Coll Dent, Riyadh, Saudi Arabia.</t>
  </si>
  <si>
    <t>sohaib.shujaat941@gmail.com</t>
  </si>
  <si>
    <t>[Shujaat, Sohaib; Gopinathan Pillai, Arun; Aboalela, Ali Anwar; Abolemaaty, Wael] King Saud bin Abdulaziz Univ Hlth Sci, King Abdullah Int Med Res Ctr, Dept Maxillofacial Surg &amp; Diagnost Sci, Minist Natl Guard Hlth Affairs,Coll Dent, Riyadh, Saudi Arabia; [Riaz, Marryam] Super Univ, Azra Naheed Dent Coll, Dept Physiol, Lahore, Pakistan; [Alharbi, Wahaj] King Saud bin Abdulaziz Univ Hlth Sci, Coll Dent, King Abdullah Int Med Res Ctr, Minist Natl Guard Hlth Affairs, Riyadh, Saudi Arabia; [Ganganna, Kokila] Sri Siddhartha Dent Coll &amp; Hosp, Dept Oral Pathol &amp; Microbiol, Sri Siddhartha Acad Higher Educ, Tumakuru, India; [Alfadley, Abdulmohsen] King Saud bin Abdulaziz Univ Hlth Sci, Minist Natl Guard Hlth Affairs, King Abdullah Int Med Res Ctr, Dept Restorat &amp; Prosthet Dent Sci,Coll Dent, Riyadh, Saudi Arabia; [Abolemaaty, Wael] Mansoura Univ, Dept Oral Med &amp; Periodontol, Fac Dent, Mansoura, Egypt</t>
  </si>
  <si>
    <t>King Saud Bin Abdulaziz University for Health Sciences; King Abdullah International Medical Research Center (KAIMRC); Ministry of National Guard - Health Affairs; King Saud Bin Abdulaziz University for Health Sciences; King Abdullah International Medical Research Center (KAIMRC); Ministry of National Guard - Health Affairs; Siddhartha Academy of Higher Education; King Saud Bin Abdulaziz University for Health Sciences; King Abdullah International Medical Research Center (KAIMRC); Ministry of National Guard - Health Affairs; Egyptian Knowledge Bank (EKB); Mansoura University</t>
  </si>
  <si>
    <t>Diagnostic Performance of Contemporary Large Language Models on Free-Text Histopathologic Descriptions in Oral and Maxillofacial Pathology</t>
  </si>
  <si>
    <t>HEAD &amp; NECK PATHOLOGY</t>
  </si>
  <si>
    <t>Oral and maxillofacial pathology; Large language models; Diagnostic accuracy; Histopathology; Artificial intelligence; Natural language processing</t>
  </si>
  <si>
    <t>Shujaat, Sohaib/E-4331-2017; Alfadley, Abdulmohsen/JCO-4622-2023; Kokila, Ganganna/AAP-8708-2020; Aboalela, Ali/AAV-3307-2020</t>
  </si>
  <si>
    <t>kokila, ganganna/0000-0001-8601-5235</t>
  </si>
  <si>
    <t>1936-055X</t>
  </si>
  <si>
    <t>1936-0568</t>
  </si>
  <si>
    <t>HEAD NECK PATHOL</t>
  </si>
  <si>
    <t>Head Neck Pathol.</t>
  </si>
  <si>
    <t>JUN 11 2026</t>
  </si>
  <si>
    <t>65</t>
  </si>
  <si>
    <t>10.1007/s12105-026-01929-9</t>
  </si>
  <si>
    <t>http://dx.doi.org/10.1007/s12105-026-01929-9</t>
  </si>
  <si>
    <t>Pathology</t>
  </si>
  <si>
    <t>JJ5ZD</t>
  </si>
  <si>
    <t>42274902</t>
  </si>
  <si>
    <t>WOS:001790869800002</t>
  </si>
  <si>
    <t>Sarma, KV; Hanss, KE; Halls, AJM; Krystal, A; Becker, DF; Glowinski, AL; Butte, AJ</t>
  </si>
  <si>
    <t>Background and Methods: The authors sought to evaluate the performance of common large language models (LLMs) in psychiatric diagnosis, and the impact of integrating expert-derived reasoning on their performance. Clinical case vignettes and associated diagnoses were retrieved from the DSM-5-TR Clinical Cases book. Diagnostic decision trees were retrieved from the DSM-5-TR Handbook of Differential Diagnosis and refined for LLM use. Three LLMs were prompted to provide diagnosis candidates for the vignettes either by directly prompting or using the decision trees. These candidates and diagnostic categories were compared against the correct diagnoses. The positive predictive value (PPV), sensitivity, and F1 statistic were used to measure performance. Results: When directly prompted to predict diagnoses, the best LLM by F1 statistic (gpt-4o) had sensitivity of 76.7 % and PPV of 40.4 %. When making use of the refined decision trees, PPV was significantly increased (65.3 %) without a significant reduction in sensitivity (70.9 %). Across all experiments, the use of the decision trees statistically significantly increased the PPV, significantly increased the F1 statistic in 5/6 experiments, and significantly reduced sensitivity in 4/6 experiments. Discussion: When used to predict psychiatric diagnoses from case vignettes, direct prompting of the LLMs yielded most true positive diagnoses but had significant overdiagnosis. Integrating expert-derived reasoning into the process using decision trees improved LLM performance (as measured by F1 statistic), primarily by suppressing overdiagnosis with a lower-magnitude negative impact on sensitivity. This suggests that the integration of clinical expert-derived reasoning could improve the performance of LLM-based tools in the behavioral health setting.</t>
  </si>
  <si>
    <t>Sarma, Karthik, V; Hanss, Kaitlin E.; Halls, Andrew J. M.; Krystal, Andrew; Becker, Daniel F.; Glowinski, Anne L.; Butte, Atul J.</t>
  </si>
  <si>
    <t>Sarma, KV (corresponding author), Univ Calif San Francisco, Dept Psychiat &amp; Behav Sci, 675 18th St,Box 3134, San Francisco, CA 94143 USA.</t>
  </si>
  <si>
    <t>karthik.sarma@ucsf.edu</t>
  </si>
  <si>
    <t>National Institute of Mental Health of the National Institutes of Health [R25 MH060482]</t>
  </si>
  <si>
    <t>National Institute of Mental Health of the National Institutes of Health (United States Department of Health &amp; Human Services, National Institutes of Health (NIH) - USA, NIH National Institute of Mental Health (NIMH))</t>
  </si>
  <si>
    <t>This work was supported by the National Institute of Mental Health of the National Institutes of Health [grant number R25 MH060482] .</t>
  </si>
  <si>
    <t>[Sarma, Karthik, V; Hanss, Kaitlin E.; Halls, Andrew J. M.; Krystal, Andrew; Becker, Daniel F.; Glowinski, Anne L.] Univ Calif San Francisco, Dept Psychiat &amp; Behav Sci, 675 18th St,Box 3134, San Francisco, CA 94143 USA; [Sarma, Karthik, V; Butte, Atul J.] Univ Calif San Francisco, Bakar Computat Hlth Sci Inst, 550 16th St, San Francisco, CA 94143 USA</t>
  </si>
  <si>
    <t>University of California System; University of California San Francisco; University of California System; University of California San Francisco</t>
  </si>
  <si>
    <t>Integrating expert knowledge into large language models improves performance for psychiatric reasoning and diagnosis</t>
  </si>
  <si>
    <t>PSYCHIATRY RESEARCH</t>
  </si>
  <si>
    <t>Diagnosis; DSM; Artificial intelligence; Generative artificial intelligence; Psychiatry; Reasoning; Decision support</t>
  </si>
  <si>
    <t>DSM-5 FIELD TRIALS; UNITED-STATES; CANADA</t>
  </si>
  <si>
    <t>Sarma, Karthik V/ABF-2374-2021; Butte, Atul/ACV-6666-2022</t>
  </si>
  <si>
    <t>Hanss, Kaitlin/0000-0003-1462-4335; Sarma, Karthik V/0000-0002-7442-9526</t>
  </si>
  <si>
    <t>0165-1781</t>
  </si>
  <si>
    <t>1872-7123</t>
  </si>
  <si>
    <t>PSYCHIAT RES</t>
  </si>
  <si>
    <t>Psychiatry Res.</t>
  </si>
  <si>
    <t>355</t>
  </si>
  <si>
    <t>116844</t>
  </si>
  <si>
    <t>10.1016/j.psychres.2025.116844</t>
  </si>
  <si>
    <t>http://dx.doi.org/10.1016/j.psychres.2025.116844</t>
  </si>
  <si>
    <t>Psychiatry</t>
  </si>
  <si>
    <t>J9094</t>
  </si>
  <si>
    <t>41270691</t>
  </si>
  <si>
    <t>WOS:001628021900006</t>
  </si>
  <si>
    <t>Gao, SW; Zhao, X; Chen, LH; Yu, JR; Tian, SN; Zhou, HQ; Chen, JR; Long, SZ; He, QL; Feng, X</t>
  </si>
  <si>
    <t>Perioperative complications are a major global concern, yet manual detection suffers from 27% under-reporting and frequent misclassification. Clinical LLM deployment is constrained by data sovereignty, compute cost, and limited locally deployable model performance. We show targeted prompt engineering plus Low-Rank Adaptation (LoRA) fine-tuning converts smaller open-source LLMs into expert-level diagnostic tools. In dual-center validation, we built a framework simultaneously identifying and grading 22 complication severities. State-of-the-art models outperformed human experts; Chain-of-Thought prompting significantly improved general models (p &lt; 0.001) while preserving reasoning models' performance. Across documentation length quartiles, AI models maintained F1 &gt; 0.64, whereas human performance declined from 0.73 to 0.45, demonstrating superior robustness to documentation complexity. Our targeted strategy-decomposing detection into focused single-complication assessments-improved small models, with further gains from LoRA. On external validation (Center 2), the optimized 4B model's micro-F1 rose from 0.28 to 0.64, approaching human experts (F1 = 0.69), driven by the targeted strategy (Delta F1 = 0.256, 95% CI [0.181, 0.336]) and LoRA (Delta F1 = 0.103, 95% CI [0.023, 0.186]). Concurrently, the 8B model surpassed human experts (F1 &gt; 0.70). Optimized small models enable expert-level accuracy with local deployment and preserved data sovereignty, offering a practical path for resource-limited healthcare.</t>
  </si>
  <si>
    <t>Gao, Shaowei; Zhao, Xu; Chen, Lihui; Yu, Junrong; Tian, Shuning; Zhou, Huaqiang; Chen, Jingru; Long, Sizhe; He, Qiulan; Feng, Xia</t>
  </si>
  <si>
    <t>Gao, SW; He, QL; Feng, X (corresponding author), Sun Yat Sen Univ, Affiliated Hosp 1, Dept Anesthesiol, Guangzhou, Peoples R China.</t>
  </si>
  <si>
    <t>gaoshw5@mail.sysu.edu.cn; heqiulan@mail.sysu.edu.cn; fengxia@mail.sysu.edu.cn</t>
  </si>
  <si>
    <t>Basic and Applied Basic Research Foundation of Guangdong Province [2024A1515220067]</t>
  </si>
  <si>
    <t>Basic and Applied Basic Research Foundation of Guangdong Province</t>
  </si>
  <si>
    <t>We thank the National Supercomputer Center in Guangzhou for providing high-performance computational resources that enabled the deployment and evaluation of large language models in this study. We also extend our gratitude to the developers and contributors of all open-source software frameworks utilized in this research, including MS-Swift, vLLM, Outlines, and the various open-source language models that made this work possible. Their commitment to open science and collaborative development has been instrumental in advancing the field of medical AI applications. This work was supported by the GuangDong Basic and Applied Basic Research Foundation (Grant No. 2024A1515220067).</t>
  </si>
  <si>
    <t>[Gao, Shaowei; Zhao, Xu; Chen, Jingru; He, Qiulan; Feng, Xia] Sun Yat Sen Univ, Affiliated Hosp 1, Dept Anesthesiol, Guangzhou, Peoples R China; [Chen, Lihui; Tian, Shuning] Jiangmen Cent Hosp, Dept Anesthesiol, Jiangmen, Peoples R China; [Yu, Junrong; Long, Sizhe] Sun Yat Sen Univ, Affiliated Hosp 1, Informat &amp; Data Ctr, Guangzhou, Peoples R China; [Zhou, Huaqiang] Sun Yat Sen Univ, Canc Ctr, Dept Med Oncol, Guangzhou, Peoples R China</t>
  </si>
  <si>
    <t>Sun Yat Sen University; Sun Yat Sen University; Sun Yat Sen University</t>
  </si>
  <si>
    <t>Enhancing privacy-preserving deployable large language models for perioperative complication detection: a targeted strategy with LoRA fine-tuning</t>
  </si>
  <si>
    <t>SURGERY</t>
  </si>
  <si>
    <t>Zhou, Huaqiang/M-4569-2016</t>
  </si>
  <si>
    <t>DEC 13 2025</t>
  </si>
  <si>
    <t>773</t>
  </si>
  <si>
    <t>10.1038/s41746-025-02139-3</t>
  </si>
  <si>
    <t>http://dx.doi.org/10.1038/s41746-025-02139-3</t>
  </si>
  <si>
    <t>AA6UT</t>
  </si>
  <si>
    <t>41390570</t>
  </si>
  <si>
    <t>WOS:001643634200001</t>
  </si>
  <si>
    <t>Vladic, N; Nopp, S; Pabinger, I; Ageno, W; Connors, JM; Eichinger, S; Ay, C</t>
  </si>
  <si>
    <t>Background: Large language models (LLMs) have demonstrated remarkable capabilities in various medical fields, yet their performance in thrombosis and hemostasis, particularly in patient education and complex clinical decision making, is unexplored. Objectives: We aimed to compare the quality of responses from LLMs vs thrombosis experts and assess clinician's ability to distinguish between them. Methods: Three experts on thrombosis and hemostasis and 3 LLMs (Le Chat Pixtral Large, DeepSeek-R1, and ChatGPT-4.5) answered 3 patient education and 3 clinical decision-making queries. Thirty-seven physicians rated responses for adequacy (1 = very poor; 10 = excellent) and estimated their origin (1 = certainly LLM; 10 = certainly human). Mean differences were assessed via t-tests, medians via Wilcoxon tests, and correlations via Spearman test. All P values were adjusted with Bonferroni correction. Results: LLMs provided significantly better patient education responses than experts. Mean adequacy score differences were as follows: Le Chat Pixtral Large +1.6 (95% CI, 1.3-2.0; P &lt; .01), DeepSeek-R1 +1.7 (95% CI, 1.3-2.1; P &lt; .001), and ChatGPT-4.5 +1.9 (95% CI, 1.6-2.3; P &lt; .001). In clinical decision-making, DeepSeek-R1 outperformed experts (+1.4; 95% CI, 1.1-1.8; P &lt; .001), whereas Le Chat Pixtral Large (-0.3; 95% CI, -0.8-0.1; P = .96) and ChatGPT-4.5 (+0.5; 95% CI, 0.0-0.9; P = .18), performed comparably with experts. Evaluators could not distinguish between expert (median, 6.0; IQR, 3.0-8.0) and LLM-generated responses (median, 6.0; IQR, 4.0-8.0). Conclusion: LLMs outperform experts in venous thromboembolism-related patient education and match or exceed them in clinical decision making, providing responses indistinguishable from experts. Although major barriers need to be addressed, LLMs have strong potential to support clinical management and patient education in the field of thrombosis and hemostasis.</t>
  </si>
  <si>
    <t>Vladic, Nikola; Nopp, Stephan; Pabinger, Ingrid; Ageno, Walter; Connors, Jean M.; Eichinger, Sabine; Ay, Cihan</t>
  </si>
  <si>
    <t>Ay, C (corresponding author), Med Univ Vienna, Dept Med 1, Div Hematol &amp; Haemostaseol, Waehringer Guertel 18-20, A-1090 Vienna, Austria.</t>
  </si>
  <si>
    <t>cihan.ay@meduniwien.ac.at</t>
  </si>
  <si>
    <t>Geoffrey Barnes (United States of America); Clemens Feistritzer (Austria); Guy Young (United States of America)</t>
  </si>
  <si>
    <t>We acknowledge all participants of the ClotGPT study group (in alphabetical order by surname) : Pantep Angchaisuksiri (Thailand) , Roopen Arya (United Kingdom) , Geoffrey Barnes (United States of America) , Shannon Bates (United States of America) , Laurent Bertoletti (France) , Rupert Bauersachs (Germany) , Marianne Brodmann (Austria) , Marc Carrier (Canada) , Gabriela Cesarman-Maus (Mexico) , Michiel Coppens (Netherlands) , Mark Crowther (Canada) , Petr Dulicek (Czechia) , Lisbeth Eischer (Austria) , Clemens Feistritzer (Austria) , Thomas Gary (Austria) , Grigoris Gerotziafas (France) , David Jimenez (Spain) , Luis Jara-Palomares (Spain) , Erik Klok (Netherlands) , Florian Langer (Germany) , Lai Heng Lee (Singapore) , Johannes Thaler (Austria) , Eriko Morishita (Japan) , Andres J. Munoz Martin (Spain) , Fionnuala Ni Ainle (Ireland) , Nicoletta Riva (Malta) , Reinhard Raggam (Austria) , Oliver Schlager (Austria) , Sebastian Schellong (Germany) , Joseph Shaw (Canada) , Mari Thomas (United Kingdom) , Tobias Tritschler (Switzerland) , Andreas Tiede (Germany) , Peter Verhamme (Belgium) , Erich Vinicius De Paula (Brazil) , Nick van Es (Netherlands) , and Guy Young (United States of America) .</t>
  </si>
  <si>
    <t>[Vladic, Nikola; Nopp, Stephan; Pabinger, Ingrid; Eichinger, Sabine; Ay, Cihan] Med Univ Vienna, Dept Med 1, Div Hematol &amp; Haemostaseol, Waehringer Guertel 18-20, A-1090 Vienna, Austria; [Ageno, Walter] Univ Padua, Dept Med, Padua, Italy; [Connors, Jean M.] Harvard Med Sch, Brigham &amp; Womens Hosp, Dept Med, Boston, MA USA</t>
  </si>
  <si>
    <t>Medical University of Vienna; University Hospital Vienna; University of Padua; Harvard University; Harvard Medical School; Harvard University Medical Affiliates; Brigham &amp; Women's Hospital</t>
  </si>
  <si>
    <t>ClotGPT Study Grp</t>
  </si>
  <si>
    <t>Large language models vs thrombosis experts: a comparative study on patient education and clinical decision-making in venous thromboembolism</t>
  </si>
  <si>
    <t>JOURNAL OF THROMBOSIS AND HAEMOSTASIS</t>
  </si>
  <si>
    <t>artificial intelligence; hemostasis; large language models; surveys and questionnaires; thrombosis</t>
  </si>
  <si>
    <t>Vladic, Nikola/0009-0002-3806-2250; Pabinger, Ingrid/0000-0002-7677-9896</t>
  </si>
  <si>
    <t>ELSEVIER SCIENCE INC</t>
  </si>
  <si>
    <t>101 Park Avenue, 24th Floor, NEW YORK, NY, UNITED STATES</t>
  </si>
  <si>
    <t>1538-7933</t>
  </si>
  <si>
    <t>1538-7836</t>
  </si>
  <si>
    <t>J THROMB HAEMOST</t>
  </si>
  <si>
    <t>J. Thromb. Haemost.</t>
  </si>
  <si>
    <t>943</t>
  </si>
  <si>
    <t>954</t>
  </si>
  <si>
    <t>10.1016/j.jtha.2025.09.004</t>
  </si>
  <si>
    <t>http://dx.doi.org/10.1016/j.jtha.2025.09.004</t>
  </si>
  <si>
    <t>Hematology; Peripheral Vascular Disease</t>
  </si>
  <si>
    <t>Hematology; Cardiovascular System &amp; Cardiology</t>
  </si>
  <si>
    <t>ET9VH</t>
  </si>
  <si>
    <t>41015158</t>
  </si>
  <si>
    <t>WOS:001709685400001</t>
  </si>
  <si>
    <t>Liang, J; Xing, MY; Xiang, P; Wang, GX; Chen, M; Fang, QC; Zhou, TT; Lu, ZY; Leng, XM; Huang, JK; Jiao, XY; Tian, CH; Lei, JB</t>
  </si>
  <si>
    <t>No LLMs (Large Language Models) have yet been evaluated for understanding picture reports. Pure-tone audiograms, the gold standard for hearing loss assessment, are technical and often incomprehensible to patients without specialist interpretation. We conducted a blinded, multicenter evaluation of eight LLMs across diagnostic, interpretive, and recommendation tasks using 140 audiogram reports, assessed by clinicians and lay reviewers. The study revealed that DeepSeek-V3 achieved the highest diagnostic accuracy (severity: 67.00% ; type: 54.00%), R1 proved most suitable for general readership (FKGL: 6.41). The general public perceived significant benefits from all models in comprehension and emotional support, with Gemini 2.0 Flash/Thinking scoring higher. Challenges remain in understanding pathological mechanisms and controlling hallucinations. While current general-purpose LLMs cannot replace the diagnostic capabilities of physicians, they may serve as effective auxiliary tools for translating specialized audiogram data into structured, patient-accessible interpretations, with particular relevance for populations facing limited access to hearing-care services.</t>
  </si>
  <si>
    <t>Liang, Jun; Xing, Mengyao; Xiang, Peng; Wang, Guixuan; Chen, Ming; Fang, Qichuan; Zhou, Tingting; Lu, Zhengyang; Leng, XueMing; Huang, Jiuke; Jiao, Xiaoyi; Tian, Chenghua; Lei, Jianbo</t>
  </si>
  <si>
    <t>Tian, CH (corresponding author), Zhejiang Chinese Med Univ, Sch Med Technol &amp; Informat Engn, Hangzhou, Peoples R China.; Lei, JB (corresponding author), Southwest Med Univ, Affiliated Hosp, Clin Res Ctr, Luzhou, Peoples R China.; Lei, JB (corresponding author), Southwest Med Univ, Sch Med Informat &amp; Engn, Luzhou, Peoples R China.; Lei, JB (corresponding author), Peking Univ, Inst Adv Clin Med, Ctr Med Informat, Beijing, Peoples R China.</t>
  </si>
  <si>
    <t>jblei@hsc.pku.edu.cn; 20071044@zcmu.edu.cn</t>
  </si>
  <si>
    <t>Zhejiang Provincial Natural Science Foundation of China [LY22H180001]; Municipal Natural Science Foundation of Beijing of China [7222306]; he National Natural Science Foundation of China [72574006]; the National Natural Science Foundation of China [81871455]</t>
  </si>
  <si>
    <t>Zhejiang Provincial Natural Science Foundation of China (Natural Science Foundation of Zhejiang Province); Municipal Natural Science Foundation of Beijing of China; he National Natural Science Foundation of China (National Natural Science Foundation of China (NSFC)); the National Natural Science Foundation of China (National Natural Science Foundation of China (NSFC))</t>
  </si>
  <si>
    <t>This study extends sincere gratitude to three public volunteers without medical backgrounds (Mengjie Liu, Yue Fan, and Yachun Qi) for their invaluable contributions. They systematically evaluated content generated by large language models from a public user perspective, providing indispensable patient-centric data for this research. Furthermore, their review and feedback on the draft manuscript ensured the research findings are clearly communicated to non-specialist readers. Their insightful participation significantly enhanced the rigor and practical relevance of this research. This work was supported by the National Natural Science Foundation of China (grant numbers 81871455 and 72574006), Zhejiang Provincial Natural Science Foundation of China (grant number LY22H180001), Municipal Natural Science Foundation of Beijing of China (grant number 7222306).</t>
  </si>
  <si>
    <t>[Liang, Jun; Xiang, Peng] Zhejiang Univ, Affiliated Hosp 2, Sch Med, Dept AI &amp; IT, Hangzhou, Peoples R China; [Liang, Jun; Xing, Mengyao; Fang, Qichuan; Tian, Chenghua] Zhejiang Chinese Med Univ, Sch Med Technol &amp; Informat Engn, Hangzhou, Peoples R China; [Liang, Jun; Lu, Zhengyang; Jiao, Xiaoyi] Zhejiang Univ, Sch Publ Hlth, Hangzhou, Peoples R China; [Liang, Jun] Zhejiang Univ, Affiliated Hosp 2, Sch Med, Natl Key Lab Transvasc Implantable Devices, Hangzhou, Peoples R China; [Xiang, Peng; Wang, Guixuan] Zhejiang Univ, Inst Comp Innovat Technol, Intelligent Med Res Ctr, Hangzhou, Peoples R China; [Chen, Ming] Zhejiang Univ, Affiliated Hosp 2, Sch Med, Dept Otolaryngol, Hangzhou, Peoples R China; [Zhou, Tingting] Zhejiang Chinese Med Univ, Sch Nursing, Hangzhou, Peoples R China; [Leng, XueMing] Univ Chinese Acad Sci, Sch Elect Elect &amp; Commun Engn, Beijing, Peoples R China; [Huang, Jiuke] Columbia Univ City New York, Dept Comp Sci, New York, NY USA; [Lei, Jianbo] Southwest Med Univ, Affiliated Hosp, Clin Res Ctr, Luzhou, Peoples R China; [Lei, Jianbo] Southwest Med Univ, Sch Med Informat &amp; Engn, Luzhou, Peoples R China; [Lei, Jianbo] Peking Univ, Inst Adv Clin Med, Ctr Med Informat, Beijing, Peoples R China</t>
  </si>
  <si>
    <t>Zhejiang University; Zhejiang Chinese Medical University; Zhejiang University; Zhejiang University; Zhejiang University; Zhejiang University; Zhejiang Chinese Medical University; Chinese Academy of Sciences; University of Chinese Academy of Sciences, CAS; Columbia University; Southwest Medical University; Southwest Medical University; Peking University</t>
  </si>
  <si>
    <t>A multicenter multifunctional assessment of large language models in pure-tone audiogram interpretation for patients</t>
  </si>
  <si>
    <t>HEARING-LOSS</t>
  </si>
  <si>
    <t>Liang, Jun/QOC-2451-2026</t>
  </si>
  <si>
    <t>Lei, Jianbo/0000-0002-1744-0235</t>
  </si>
  <si>
    <t>64</t>
  </si>
  <si>
    <t>MAR 15 2026</t>
  </si>
  <si>
    <t>348</t>
  </si>
  <si>
    <t>10.1038/s41746-026-02537-1</t>
  </si>
  <si>
    <t>http://dx.doi.org/10.1038/s41746-026-02537-1</t>
  </si>
  <si>
    <t>HH9EM</t>
  </si>
  <si>
    <t>41832240</t>
  </si>
  <si>
    <t>WOS:001754451700001</t>
  </si>
  <si>
    <t>Nguyen, VA; Nguyen, V; Vuong, TQT; Truong, QT; Nguyen, TT</t>
  </si>
  <si>
    <t>Large language models (LLMs) are increasingly explored as diagnostic copilots in digital pathology, but whether the newest reasoning-augmented architectures provide measurable benefits over earlier versions is unknown. We compared OpenAI's o3 model, which uses an iterative planning loop, with the baseline GPT-4o on 459 oral and maxillofacial (OMF) cases drawn from standard textbooks. Each case consisted of two to five high-resolution haematoxylin-and-eosin micrographs, and both models were queried in zero-shot mode with an identical prompt requesting a single diagnosis and supporting microscopic features. Overall, o3 correctly classified 31.6% of cases, significantly surpassing GPT-4o at 18.7% (Delta = 12.9%, P &lt; 0.001). The largest gain was recorded for the heterogeneous "other conditions" category (37.2% versus 20.2%). For correctly diagnosed cases, o3 generated more detailed descriptions (median Likert score 9 versus 8, P = 0.003). These benefits were offset by longer mean response time (98 s versus near-instant) and lower reproducibility across repeated queries (40.2% versus 57.6%). A board-certified general pathologist achieved 28.3% accuracy on the same image set, underscoring the difficulty of the task. Ground truth was established by two board-certified OMF pathologists with high inter-rater reliability, ensuring the reliability of the reference standard. The general pathologist served only as a non-OMF difficulty benchmark. The findings indicate that advanced reasoning mechanisms materially improve diagnostic performance and explanatory depth in complex histopathology, but additional optimisation is required to meet clinical speed and consistency thresholds. Clinically, such models are adjunctive 'copilots' for preliminary descriptions and differential diagnoses; expert OMF pathologists retain full responsibility for sign-out.</t>
  </si>
  <si>
    <t>Nguyen, Viet Anh; Nguyen, Van Hung; Vuong, Thi Quynh Trang; Truong, Quoc Thanh; Nguyen, Thi Trang</t>
  </si>
  <si>
    <t>Nguyen, VA (corresponding author), Phenikaa Univ, Fac Dent, Hanoi, Vietnam.</t>
  </si>
  <si>
    <t>anh.nguyenviet1@phenikaa-uni.edu.vn</t>
  </si>
  <si>
    <t>[Nguyen, Viet Anh; Nguyen, Thi Trang] Phenikaa Univ, Fac Dent, Hanoi, Vietnam; [Nguyen, Van Hung] Vinh Med Univ, Fac Med, Nghe An, Vietnam; [Vuong, Thi Quynh Trang] Viet Anh Orthodont Clin, Private Practice, Hanoi, Vietnam; [Truong, Quoc Thanh] Ctr Pathol, Medlatec, Hanoi, Vietnam</t>
  </si>
  <si>
    <t>Comparative study of advanced reasoning versus baseline large-language models for histopathological diagnosis in oral and maxillofacial pathology</t>
  </si>
  <si>
    <t>PLOS ONE</t>
  </si>
  <si>
    <t>Nguyen, Viet Anh/KFB-7529-2024</t>
  </si>
  <si>
    <t>Nguyen, Viet Anh/0000-0003-2185-6097</t>
  </si>
  <si>
    <t>PUBLIC LIBRARY SCIENCE</t>
  </si>
  <si>
    <t>SAN FRANCISCO</t>
  </si>
  <si>
    <t>1160 BATTERY STREET, STE 100, SAN FRANCISCO, CA 94111 USA</t>
  </si>
  <si>
    <t>1932-6203</t>
  </si>
  <si>
    <t>PLoS One</t>
  </si>
  <si>
    <t>DEC 31 2025</t>
  </si>
  <si>
    <t>e0340220</t>
  </si>
  <si>
    <t>10.1371/journal.pone.0340220</t>
  </si>
  <si>
    <t>http://dx.doi.org/10.1371/journal.pone.0340220</t>
  </si>
  <si>
    <t>AM9PQ</t>
  </si>
  <si>
    <t>41474818</t>
  </si>
  <si>
    <t>WOS:001651939400005</t>
  </si>
  <si>
    <t>Garcia-Hidalgo, C; Hernández, JAC; Espi, JVC; Vicente, GP; Martínez, JMP; Barrio, AB; Hernández, GP; Pastor, AM</t>
  </si>
  <si>
    <t>Objective: To evaluate whether a structured reporting system assisted by Large Language Models (LLMs) can be practically integrated into the work of radiology residents during on-call shifts. Secondary objectives included: describing format preferences through blind evaluation, characterizing linguistic differences between manual and LLM-assisted reports, and identifying perceived risks for a confirmatory study. Methods: A two-component pilot study was conducted. In the prospective phase, four residents generated 480 reports, alternating between manual andLLM-assisted writing (Custom GPT-4o). In parallel, 200 anonymized reports from attendingphysicians were analyzed to contextualize the metrics. An ad hoc Likert-type survey (sixdimensions) was used, and classification and perplexity metrics were calculated as descriptiveindicators. Results: The tool was well received. Median Likert scores ranged from 4.75 to 4.90 out of5. Residents accurately distinguished which reports had been assisted (F1 = 0.92), suggesting arecognizable formal signature. Self-attribution bias was observed in blinded preferences. Perplexitydiffered between residents and attending physicians (p = 0.03), suggesting greater regularity amongexperienced professionals. Conclusions: The findings support the initial integration of the assistantinto the on-call system. The value lies in its scaffolding function to standardize communicationbetween residents and requesting physicians, not in automating diagnostic reasoning.</t>
  </si>
  <si>
    <t>Garcia-Hidalgo, Clemente; Hernandez, Jose Antonio Consentino; Espi, Jose Vicente Cayuela; Vicente, Gonzalo Pagan; Martinez, Juana Maria Plasencia; Barrio, Ana Blanco; Hernandez, Gloria Perez; Pastor, Ana Moreno</t>
  </si>
  <si>
    <t>Garcia-Hidalgo, C (corresponding author), Hosp Univ Morales Meseguer, Serv Radiol, Murcia, Spain.</t>
  </si>
  <si>
    <t>gonzalopv97@gmail.com; plasen79@gmail.com; anablancowhite@gmail.com; clemente292@gmail.com; josevicayuela@gmail.com; gloriapeh93@gmail.com; joseconsentinohernandez@gmail.com; anamp78@gmail.com</t>
  </si>
  <si>
    <t>[Garcia-Hidalgo, Clemente; Hernandez, Jose Antonio Consentino; Espi, Jose Vicente Cayuela; Vicente, Gonzalo Pagan; Martinez, Juana Maria Plasencia; Barrio, Ana Blanco; Hernandez, Gloria Perez; Pastor, Ana Moreno] Hosp Univ Morales Meseguer, Serv Radiol, Murcia, Spain</t>
  </si>
  <si>
    <t>Meseguer General University Hospital Morales</t>
  </si>
  <si>
    <t>Large language model-assisted structured reporting in Radiology residents: an implementation pilot study in Emergency Radiology.</t>
  </si>
  <si>
    <t>SPANISH JOURNAL OF MEDICAL EDUCATION</t>
  </si>
  <si>
    <t>Artificial intelligence; Large language models; Structured report; Medical education; Radiology; Residents; Emergency radiology; Pilot study</t>
  </si>
  <si>
    <t>García-Hidalgo, Clemente/PMR-9018-2026</t>
  </si>
  <si>
    <t>Consentino Hernández, José Antonio/0009-0000-3350-3278; Cayuela Espí, José Vicente/0009-0007-4055-6491</t>
  </si>
  <si>
    <t>UNIV MURCIA</t>
  </si>
  <si>
    <t>Murcia</t>
  </si>
  <si>
    <t>Edificio Pleiades Campus de Espinardo, Murcia, 30071, SPAIN</t>
  </si>
  <si>
    <t>2660-8529</t>
  </si>
  <si>
    <t>SPAN J MED EDUC</t>
  </si>
  <si>
    <t>Span. J. Med. Educ.</t>
  </si>
  <si>
    <t>10.6018/edumed.695571</t>
  </si>
  <si>
    <t>http://dx.doi.org/10.6018/edumed.695571</t>
  </si>
  <si>
    <t>Education, Scientific Disciplines</t>
  </si>
  <si>
    <t>Education &amp; Educational Research</t>
  </si>
  <si>
    <t>DL1ZR</t>
  </si>
  <si>
    <t>WOS:001686056000004</t>
  </si>
  <si>
    <t>Koga, S; Martin, NB; Dickson, DW</t>
  </si>
  <si>
    <t>This study explores the utility of the large language models (LLMs), specifically ChatGPT and Google Bard, in predicting neuropathologic diagnoses from clinical summaries. A total of 25 cases of neurodegenerative disorders presented at Mayo Clinic brain bank Clinico-Pathological Conferences were analyzed. The LLMs provided multiple pathologic diagnoses and their rationales, which were compared with the final clinical diagnoses made by physicians. ChatGPT-3.5, ChatGPT-4, and Google Bard correctly made primary diagnoses in 32%, 52%, and 40% of cases, respectively, while correct diagnoses were included in 76%, 84%, and 76% of cases, respectively. These findings highlight the potential of artificial intelligence tools like ChatGPT in neuropathology, suggesting they may facilitate more comprehensive discussions in clinicopathological conferences.</t>
  </si>
  <si>
    <t>Koga, Shunsuke; Martin, Nicholas B.; Dickson, Dennis W.</t>
  </si>
  <si>
    <t>Koga, S (corresponding author), Hosp Univ Penn, Dept Pathol &amp; Lab Med, 3400 Spruce St, Philadelphia, PA 19104 USA.</t>
  </si>
  <si>
    <t>shunsuke.koga@pennmedicine.upenn.edu</t>
  </si>
  <si>
    <t>ChatGPT</t>
  </si>
  <si>
    <t>The author acknowledges that this manuscript was proofread and edited by ChatGPT (GPT-4; OpenAI) on May 30 and July 24, 2023.</t>
  </si>
  <si>
    <t>[Koga, Shunsuke; Martin, Nicholas B.; Dickson, Dennis W.] Mayo Clin, Dept Neurosci, Jacksonville, FL USA; [Koga, Shunsuke] Hosp Univ Penn, Dept Pathol &amp; Lab Med, 3400 Spruce St, Philadelphia, PA 19104 USA</t>
  </si>
  <si>
    <t>Mayo Clinic; University of Pennsylvania</t>
  </si>
  <si>
    <t>Evaluating the performance of large language models: ChatGPT and Google Bard in generating differential diagnoses in clinicopathological conferences of neurodegenerative disorders</t>
  </si>
  <si>
    <t>BRAIN PATHOLOGY</t>
  </si>
  <si>
    <t>artificial intelligence; ChatGPT; clinicopathological conference; CPC; Google Bard; large language model; neuropathology; pathology</t>
  </si>
  <si>
    <t>Koga, Shunsuke/AFL-8279-2022; Dickson, Dennis/ACP-2967-2022</t>
  </si>
  <si>
    <t>Koga, Shunsuke/0000-0001-8868-9700</t>
  </si>
  <si>
    <t>78</t>
  </si>
  <si>
    <t>55</t>
  </si>
  <si>
    <t>1015-6305</t>
  </si>
  <si>
    <t>1750-3639</t>
  </si>
  <si>
    <t>BRAIN PATHOL</t>
  </si>
  <si>
    <t>Brain Pathol.</t>
  </si>
  <si>
    <t>MAY 2024</t>
  </si>
  <si>
    <t>10.1111/bpa.13207</t>
  </si>
  <si>
    <t>http://dx.doi.org/10.1111/bpa.13207</t>
  </si>
  <si>
    <t>AUG 2023</t>
  </si>
  <si>
    <t>Clinical Neurology; Neurosciences; Pathology</t>
  </si>
  <si>
    <t>Neurosciences &amp; Neurology; Pathology</t>
  </si>
  <si>
    <t>NK0A1</t>
  </si>
  <si>
    <t>37553205</t>
  </si>
  <si>
    <t>WOS:001044510300001</t>
  </si>
  <si>
    <t>Rojo-Bofill, LM; Jordán, GR; Carrasco, LM; Picazo, JPC; Balanzá-Martínez, V; Giner, L; García-Iturrospe, EJA; Kiyak, YS</t>
  </si>
  <si>
    <t>Introduction The use of large language models (LLMs) can assist in creating Multiple-Choice Questions (MCQs) for enhancing psychiatric education. This study evaluates the performance of LLMs in generating psychiatry case-based MCQs, focusing on the influence of the model used and the specificity of the prompt. Material and methods Two experiments were carried out. In Experiment 1, ChatGPT-3.5 and ChatGPT-4 were used with a general-purpose prompt. In Experiment 2, ChatGPT-4o was used to compare the generic prompt with a psychiatry-specific version. A total of 90 questions were generated in each experiment (45 per condition), balanced across low, moderate, and high difficulty levels. A panel of psychiatry professors assessed the questions for diagnostic accuracy and difficulty. Results In Experiment 1, both ChatGPT-3.5 and ChatGPT-4 showed high diagnostic agreement with experts (kappa = 0.889 and kappa = 0.703), but little correlation with intended difficulty (rho = 0.104, p = .496; rho = - 0.087, p = .57). In Experiment 2, the psychiatry-specific prompt with ChatGPT-4o yielded more accurate MCQs (kappa = 0.731 and kappa = 0.624) and stronger correlations between intended and expert-rated difficulty (rho = 0.630, p &lt; .001; rho = 0.436, p &lt; .001). It also improved the inclusion of relevant clinical information and diagnostic diversity. Conclusion LLMs can effectively generate psychiatry MCQs, especially when guided by domain-specific prompts. The psychiatry-specific prompt developed in this study is a useful tool for supporting medical education through high-quality, clinically relevant assessments. (c) 2026 The Author(s). Published by Elsevier Espa &amp; ntilde;a, S.L.U. This is an open access article under the CC BY-NC license</t>
  </si>
  <si>
    <t>Rojo-Bofill, Luis Miguel; Jordan, Gracia Ribes; Carrasco, Llanos Monedero; Picazo, Juan Pablo Carrasco; Balanza-Martinez, Vicent; Giner, Lucas; Garcia-Iturrospe, Eduardo Jesus Aguilar; Kiyak, Yavuz Selim</t>
  </si>
  <si>
    <t>Rojo-Bofill, LM (corresponding author), Hosp Univ &amp; Politecn La Fe, Dept Child &amp; Adolescence Psychiat, Ave Fernando Abril Martorell 106, Valencia 46026, Spain.</t>
  </si>
  <si>
    <t>luis.m.rojo@uv.es</t>
  </si>
  <si>
    <t>[Rojo-Bofill, Luis Miguel; Picazo, Juan Pablo Carrasco; Balanza-Martinez, Vicent; Giner, Lucas; Garcia-Iturrospe, Eduardo Jesus Aguilar] Univ Valencia, Sch Med &amp; Dent, Dept Med, Valencia, Spain; [Rojo-Bofill, Luis Miguel; Jordan, Gracia Ribes; Carrasco, Llanos Monedero] Hosp Univ Politecn La Fe, Valencia, Spain; [Rojo-Bofill, Luis Miguel] Inst Invest La Fe, Valencia, Spain; [Picazo, Juan Pablo Carrasco] Consorcio Hosp Prov Castellon, Castellon de La Plana, Spain; [Balanza-Martinez, Vicent; Garcia-Iturrospe, Eduardo Jesus Aguilar] Hosp Clin Univ Valencia, Valencia, Spain; [Balanza-Martinez, Vicent; Garcia-Iturrospe, Eduardo Jesus Aguilar] INCLIVA, Valencia, Spain; [Balanza-Martinez, Vicent] Inst Salud Carlos III, CIBERSAM, Madrid, Spain; [Giner, Lucas] Univ Seville, Sch Med, Dept Psychiat, Seville, Spain; [Kiyak, Yavuz Selim] Gazi Univ, Sch Med, Dept Med Educ &amp; Informat, Ankara, Turkiye</t>
  </si>
  <si>
    <t>University of Valencia; Hospital Universitari i Politecnic La Fe; Hospital Clinic Universitari de Valencia; Instituto de Salud Carlos III; CIBER - Centro de Investigacion Biomedica en Red; CIBERSAM; University of Sevilla; Gazi University</t>
  </si>
  <si>
    <t>Impact of the large language model and prompt specificity in generating psychiatric multiple-choice questions</t>
  </si>
  <si>
    <t>EDUCACION MEDICA</t>
  </si>
  <si>
    <t>Medical education; Psychiatry; Large language models; Multiple-choice questions; Generative artificial intelligence</t>
  </si>
  <si>
    <t>Balanzá-Martínez, Vicent/C-3073-2011; Rojo-Bofill, Luis Miguel/PHO-7847-2026; Giner, Lucas/MBW-1555-2025; Kıyak, Yavuz Selim/AAE-5111-2022</t>
  </si>
  <si>
    <t>1575-1813</t>
  </si>
  <si>
    <t>1579-2099</t>
  </si>
  <si>
    <t>EDUC MED-SPAIN</t>
  </si>
  <si>
    <t>Educ. Med.</t>
  </si>
  <si>
    <t>MAR-APR 2026</t>
  </si>
  <si>
    <t>101161</t>
  </si>
  <si>
    <t>10.1016/j.edumed.2026.101161</t>
  </si>
  <si>
    <t>http://dx.doi.org/10.1016/j.edumed.2026.101161</t>
  </si>
  <si>
    <t>EB4QL</t>
  </si>
  <si>
    <t>WOS:001697104400001</t>
  </si>
  <si>
    <t>Ayoub, NF; Balakrishnan, K; Ayoub, MS; Barrett, TF; David, AP; Gray, ST</t>
  </si>
  <si>
    <t>There are mounting concerns regarding inherent bias, safety, and tendency toward misinformation of large language models (LLMs), which could have significant implications in health care. This study sought to determine whether generative artificial intelligence (AI)-based simulations of physicians making life-and-death decisions in a resource-scarce environment would demonstrate bias. Thirteen questions were developed that simulated physicians treating patients in resource-limited environments. Through a random sampling of simulated physicians using OpenAI's generative pretrained transformer (GPT-4), physicians were tasked with choosing only 1 patient to save owing to limited resources. This simulation was repeated 1000 times per question, representing 1000 unique physicians and patients each. Patients and physicians spanned a variety of demographic characteristics. All patients had similar a priori likelihood of surviving the acute illness. Overall, simulated physicians consistently demonstrated racial, gender, age, political affiliation, and sexual orientation bias in clinical decision-making. Across all demographic characteristics, physicians most frequently favored patients with similar demographic characteristics as themselves, with most pairwise comparisons showing statistical significance (P&lt;.05). Nondescript physicians favored White, male, and young demographic characteristics. The male doctor gravitated toward the male, White, and young, whereas the female doctor typically preferred female, young, and White patients. In addition to saving patients with their own political affiliation, Democratic physicians favored Black and female patients, whereas Republicans preferred White and male demographic characteristics. Heterosexual and gay/lesbian physicians frequently saved patients of similar sexual orientation. Overall, publicly available chatbot LLMs demonstrate significant biases, which may negatively impact patient outcomes if used to support clinical care decisions without appropriate precautions. (c) 2024 THE AUTHORS. Published by Elsevier Inc on behalf of Mayo Foundation for Medical Education and Research. This is an open access article under the CC BY-NC-ND license (http://creativecommons.org/licenses/by-nc-nd/4.0/)</t>
  </si>
  <si>
    <t>Ayoub, Noel F.; Balakrishnan, Karthik; Ayoub, Marc S.; Barrett, Thomas F.; David, Abel P.; Gray, Stacey T.</t>
  </si>
  <si>
    <t>Ayoub, NF (corresponding author), Harvard Med Sch, Dept Otolaryngol Head &amp; Neck Surg, Div Rhinol &amp; Skull Base Surg, Mass Eye &amp; Ear, 243 Charles St, Boston, MA 02114 USA.</t>
  </si>
  <si>
    <t>noelayoub@gmail.com</t>
  </si>
  <si>
    <t>[Ayoub, Noel F.; Gray, Stacey T.] Harvard Med Sch, Dept Otolaryngol Head &amp; Neck Surg, Div Rhinol &amp; Skull Base Surg, Mass Eye &amp; Ear, Boston, MA 02115 USA; [Balakrishnan, Karthik] Stanford Univ, Sch Med, Dept Otolaryngol Head &amp; Neck Surg, Div Pediat Otolaryngol, Palo Alto, CA 02903 USA; [Ayoub, Marc S.] Northwell Hlth, Dept Neurosurg, Lennox Hill, New York, NY USA; [Barrett, Thomas F.] Washington Univ St Louis, Dept Otolaryngol Head &amp; Neck Surg, St Louis, MO USA; [David, Abel P.] Mass Eye &amp; Ear, Div Otol &amp; Neurotol, Boston, MA USA</t>
  </si>
  <si>
    <t>Harvard University; Harvard Medical School; Stanford Medicine; Stanford University; Northwell Health; Washington University (WUSTL)</t>
  </si>
  <si>
    <t>Inherent Bias in Large Language Models: A Random Sampling Analysis</t>
  </si>
  <si>
    <t>RACE</t>
  </si>
  <si>
    <t>Balakrishnan, Karthik/JRW-3100-2023</t>
  </si>
  <si>
    <t>Bruns-Smith, David/0009-0000-9863-3882; Ayoub, Noel/0000-0003-1867-994X; Balakrishnan, Karthik/0000-0001-8409-227X; David, Abel/0000-0003-1687-8240</t>
  </si>
  <si>
    <t>JUN 2024</t>
  </si>
  <si>
    <t>186</t>
  </si>
  <si>
    <t>10.1016/j.mcpdig.2024.03.003</t>
  </si>
  <si>
    <t>http://dx.doi.org/10.1016/j.mcpdig.2024.03.003</t>
  </si>
  <si>
    <t>APR 2024</t>
  </si>
  <si>
    <t>5WZ3E</t>
  </si>
  <si>
    <t>40207170</t>
  </si>
  <si>
    <t>WOS:001546328900003</t>
  </si>
  <si>
    <t>Wang, HY; Zhao, X; Wu, YC; Tang, ZX; Li, JW; Wang, YB</t>
  </si>
  <si>
    <t>The globalization of Traditional Chinese Medicine (TCM) hinges on translation practices that honor its philosophical and relational epistemologies, yet dominant approaches, including those mediated by artificial intelligence (AI), often reduce its holistic frameworks to biomedical equivalents. Terms like qi ((sic)) or shen ((sic)) are not merely lexical challenges; they are ontological anchors in a system where the heart (xin, (sic)) governs emotion and moral clarity, and "wind" (feng, (sic)) signifies cosmic disruption. When rendered reductively, whether by human translators or machine algorithms, these concepts risk becoming clinical caricatures, undermining TCM's integrity and therapeutic efficacy. This paper interrogates the epistemic tensions inherent in translating TCM, arguing that AI-driven tools like large language models (LLMs), despite their efficiency, flatten the hermeneutic and cosmological layers that define TCM as a living practice. Where AI sees "syndrome differentiation" (bianzheng, (sic)(sic)), TCM perceives a ritualized act of reading harmony and disharmony in pulses, seasons, and bodily metaphors. Such ontological erasures compound historical asymmetries, positioning Western biomedicine as the default lens for interpreting global healing traditions. Rather than rejecting AI outright, this paper proposes a collaborative model where machine translation is guided by TCM practitioners' embodied knowledge and classical textual hermeneutics. By centering human expertise, from pulse diagnosis to the ethical dimensions of shen, translations can resist reductionism and preserve TCM's dynamic worldview. This approach transcends technocratic hegemony to foster intercultural dialogue. Ultimately, the act of translating TCM becomes a site of epistemological justice, demanding technologies that mediate, rather than master, culturally rooted ways of knowing.</t>
  </si>
  <si>
    <t>Wang, Haiyan; Zhao, Xia; Wu, Yucheng; Tang, Zixiang; Li, Jinwei; Wang, Yanbing</t>
  </si>
  <si>
    <t>Wang, YB (corresponding author), Boston Univ, Boston, MA 02215 USA.</t>
  </si>
  <si>
    <t>zixiang.tang@bucm.edu.cn; billwang@bu.edu; yucheng.wu@bucm.edu.cn; haiyan.wang@bucm.edu.cn; 2975217726@qq.com; jinwei.li@bucm.edu.cn</t>
  </si>
  <si>
    <t>National Social Science Fund of China [23WSHB008] Funding Source: Medline; Beijing Social Science Fund [19YYB006] Funding Source: Medline</t>
  </si>
  <si>
    <t>National Social Science Fund of China (National Social Science Fund of China (NSSFC)); Beijing Social Science Fund</t>
  </si>
  <si>
    <t>[Wang, Haiyan; Zhao, Xia; Wu, Yucheng; Tang, Zixiang; Li, Jinwei] Beijing Univ Chinese Med, Beijing, Peoples R China; [Wang, Yanbing] Boston Univ, Boston, MA 02215 USA</t>
  </si>
  <si>
    <t>Beijing University of Chinese Medicine; Boston University</t>
  </si>
  <si>
    <t>Translating the Intranslatable: Traditional Chinese Medicine, Large Language Models, and the Philosophy of Medical Meaning</t>
  </si>
  <si>
    <t>JOURNAL OF MEDICAL HUMANITIES</t>
  </si>
  <si>
    <t>Traditional Chinese Medicine translation; Traditional knowledge; Artificial intelligence; Ethical sensitivity; Human-in-the-loop; Large language model</t>
  </si>
  <si>
    <t>1041-3545</t>
  </si>
  <si>
    <t>1573-3645</t>
  </si>
  <si>
    <t>J MED HUMANIT</t>
  </si>
  <si>
    <t>J. Med. Humanit.</t>
  </si>
  <si>
    <t>10.1007/s10912-026-10019-4</t>
  </si>
  <si>
    <t>http://dx.doi.org/10.1007/s10912-026-10019-4</t>
  </si>
  <si>
    <t>Humanities, Multidisciplinary</t>
  </si>
  <si>
    <t>Arts &amp; Humanities - Other Topics</t>
  </si>
  <si>
    <t>FA2ZQ</t>
  </si>
  <si>
    <t>41826748</t>
  </si>
  <si>
    <t>WOS:001713978500001</t>
  </si>
  <si>
    <t>Liu, Y; Yuan, YS; Yan, KM; Li, YY; Sacca, V; Hodges, S; Cannistra, M; Jeong, P; Wu, JN; Kong, J</t>
  </si>
  <si>
    <t>Digital health technologies hold significant potential for reducing global healthcare disparities. Large language models (LLMs) offer new opportunities to enhance access to culturally specific healthcare, including traditional Chinese medicine (TCM). This study evaluated the diagnostic and treatment performance of seven publicly available LLMs using a real-world acupuncture case, comparing their outputs with three professional acupuncturists across five domains: Western diagnosis, TCM diagnosis, acupoint selection, needling technique, and herbal medicine. Twenty-eight expert evaluators from China, South Korea, and the United States assessed the responses using a multilingual survey. LLMs performed comparably to acupuncturists in Western diagnosis and showed variable performance in TCM-specific tasks. GPT-4o, Qwen 2.5 Max, and Doubao 1.5 Pro demonstrated the highest alignment with expert evaluations, particularly in TCM diagnosis and acupoint selection. These findings highlight the potential of general-purpose LLMs to support culturally grounded medical decision-making and reduce access barriers in TCM care systems.</t>
  </si>
  <si>
    <t>Liu, Yu; Yuan, Yishan; Yan, Keming; Li, Yuanyuan; Sacca, Valeria; Hodges, Sierra; Cannistra, Mattia; Jeong, Pauline; Wu, Jiani; Kong, Jian</t>
  </si>
  <si>
    <t>Kong, J (corresponding author), Massachusetts Gen Hosp, Dept Psychiat, Charlestown, MA 02129 USA.; Kong, J (corresponding author), Harvard Med Sch, Charlestown, MA 02129 USA.</t>
  </si>
  <si>
    <t>jkong2@mgh.harvard.edu</t>
  </si>
  <si>
    <t>[Liu, Yu; Yan, Keming; Li, Yuanyuan; Sacca, Valeria; Hodges, Sierra; Cannistra, Mattia; Jeong, Pauline; Wu, Jiani; Kong, Jian] Massachusetts Gen Hosp, Dept Psychiat, Charlestown, MA 02129 USA; [Liu, Yu; Yan, Keming; Li, Yuanyuan; Sacca, Valeria; Hodges, Sierra; Cannistra, Mattia; Jeong, Pauline; Wu, Jiani; Kong, Jian] Harvard Med Sch, Charlestown, MA 02129 USA; [Yuan, Yishan] Beijing Univ Chinese Med, Beijing, Peoples R China</t>
  </si>
  <si>
    <t>Harvard University; Harvard University Medical Affiliates; Massachusetts General Hospital; Beijing University of Chinese Medicine</t>
  </si>
  <si>
    <t>Evaluating the role of large language models in traditional Chinese medicine diagnosis and treatment recommendations</t>
  </si>
  <si>
    <t>SYNDROME DIFFERENTIATION; CHALLENGES; GPT-4</t>
  </si>
  <si>
    <t>LIU, YU/JFJ-5015-2023; Wu, Jiani/LBH-9460-2024</t>
  </si>
  <si>
    <t>LIU, YU/0000-0001-7111-6391</t>
  </si>
  <si>
    <t>JUL 21 2025</t>
  </si>
  <si>
    <t>466</t>
  </si>
  <si>
    <t>10.1038/s41746-025-01845-2</t>
  </si>
  <si>
    <t>http://dx.doi.org/10.1038/s41746-025-01845-2</t>
  </si>
  <si>
    <t>5DB9J</t>
  </si>
  <si>
    <t>40691277</t>
  </si>
  <si>
    <t>WOS:001532812700003</t>
  </si>
  <si>
    <t>Xu, XW; Jiang, RX; Zheng, S; Wang, M; Ju, Y; Li, J</t>
  </si>
  <si>
    <t>Efficiently classifying chronic dizziness disorders, including persistent postural-perceptual dizziness (PPPD), anxiety, and depressive disorders, is crucial, particularly in primary healthcare settings. This study introduces DizzyInsight, an innovative etiological classification model, designed to enhance the accuracy and reliability of large language model (LLM) and machine learning approaches for etiological classification of chronic dizziness. Eight physicians specializing in chronic dizziness diagnosis, affiliated with the Clinical Center for Vertigo and Balance Disturbance at Beijing Tiantan Hospital, Capital Medical University, furnished comprehensive definitions and evaluations of chronic dizziness characteristics. The study included 260 patients, consisting of 105 males and 155 females, with a mean age of 59.52 +/- 13 years. These patients were recruited from the same center between July 2021 and October 2023. For comparative analysis, we utilized the general models bidirectional encoder representations from transformers (BERT) and LLM to assess different outcomes. Seven major categories and 33 subcategory evidence have been defined for etiological classification of chronic dizziness. With DizzyInsight, we constructed the feature dataset regarding chronic dizziness. The DizzyInsight based on the identified evidence of LLM method yielded a positive predictive value of 0.69, a sensitivity of 0.86 for persistent postural-perceptual dizziness (PPPD), a positive predictive value of 0.81, and a sensitivity of 0.66 for anxiety and depressive disorders. These findings highlight the potential of DizzyInsight leveraging LLM to improve the efficacy and interpretability of machine learning models in etiological classification of chronic dizziness disorders. Further research and model development are necessary to improve the accuracy of evidence identification and assess the applicability of DizzyInsight in primary care settings, as well as to evaluate its external validity.</t>
  </si>
  <si>
    <t>Xu, Xiaowei; Jiang, Ruixuan; Zheng, Si; Wang, Min; Ju, Yi; Li, Jiao</t>
  </si>
  <si>
    <t>Li, J (corresponding author), Chinese Acad Med Sci &amp; Peking Union Med Coll, Inst Med Informat, Beijing 100020, Peoples R China.; Ju, Y (corresponding author), Capital Med Univ, Beijing Tiantan Hosp, Dept Neurol, 119 South 4Th Ring West Rd, Beijing 100070, Peoples R China.; Ju, Y (corresponding author), Capital Med Univ, Beijing Tiantan Hosp, China Natl Clin Res Ctr Neurol Dis, Beijing, Peoples R China.; Ju, Y (corresponding author), Capital Med Univ, Beijing Tiantan Hosp, Clin Ctr Vertigo &amp; Balance Disturbance, Beijing, Peoples R China.</t>
  </si>
  <si>
    <t>juyi1226@vip.163.com; li.jiao@imicams.ac.cn</t>
  </si>
  <si>
    <t>Clinical and Translational Medicine Research Project of Chinese Academy of Medical Sciences</t>
  </si>
  <si>
    <t>We gratefully appreciate all of the participants and staff for their contributions.</t>
  </si>
  <si>
    <t>[Xu, Xiaowei; Zheng, Si; Wang, Min; Li, Jiao] Chinese Acad Med Sci &amp; Peking Union Med Coll, Inst Med Informat, Beijing 100020, Peoples R China; [Jiang, Ruixuan; Ju, Yi] Capital Med Univ, Beijing Tiantan Hosp, Dept Neurol, 119 South 4Th Ring West Rd, Beijing 100070, Peoples R China; [Jiang, Ruixuan; Ju, Yi] Capital Med Univ, Beijing Tiantan Hosp, China Natl Clin Res Ctr Neurol Dis, Beijing, Peoples R China; [Jiang, Ruixuan; Ju, Yi] Capital Med Univ, Beijing Tiantan Hosp, Clin Ctr Vertigo &amp; Balance Disturbance, Beijing, Peoples R China; [Zheng, Si] Tsinghua Univ, Inst Artificial Intelligence, BNRist, Dept Comp Sci &amp; Technol, Beijing 100084, Peoples R China; [Xu, Xiaowei] Zhejiang Univ, Coll Biomed Engn &amp; Instrument Sci, Hangzhou 310058, Peoples R China</t>
  </si>
  <si>
    <t>Chinese Academy of Medical Sciences - Peking Union Medical College; Peking Union Medical College; Institute of Medical Information - CAMS; Capital Medical University; Capital Medical University; Capital Medical University; Tsinghua University; Zhejiang University</t>
  </si>
  <si>
    <t>Classification of Chronic Dizziness Using Large Language Models</t>
  </si>
  <si>
    <t>JOURNAL OF HEALTHCARE INFORMATICS RESEARCH</t>
  </si>
  <si>
    <t>Chronic dizziness; Persistent postural-perceptual dizziness (PPPD); Anxiety and depressive disorders; Etiological classification; Decision support</t>
  </si>
  <si>
    <t>BALANCE DISORDERS</t>
  </si>
  <si>
    <t>Jiang, Ruixuan/HHC-0254-2022</t>
  </si>
  <si>
    <t>SPRINGERNATURE</t>
  </si>
  <si>
    <t>CAMPUS, 4 CRINAN ST, LONDON, N1 9XW, ENGLAND</t>
  </si>
  <si>
    <t>2509-4971</t>
  </si>
  <si>
    <t>2509-498X</t>
  </si>
  <si>
    <t>J HEALTHC INFORM RES</t>
  </si>
  <si>
    <t>J. Healthc. Inform. Res.</t>
  </si>
  <si>
    <t>MAR 2025</t>
  </si>
  <si>
    <t>88</t>
  </si>
  <si>
    <t>10.1007/s41666-024-00178-1</t>
  </si>
  <si>
    <t>http://dx.doi.org/10.1007/s41666-024-00178-1</t>
  </si>
  <si>
    <t>NOV 2024</t>
  </si>
  <si>
    <t>U1R0S</t>
  </si>
  <si>
    <t>39897102</t>
  </si>
  <si>
    <t>WOS:001361419000001</t>
  </si>
  <si>
    <t>Lotspeich, SC; Collins, AN; Wells, BJ; Khanna, AK; Rigdon, J; McGowan, LD</t>
  </si>
  <si>
    <t>Objectives Electronic health record (EHR) data are prone to missingness and errors. Previously, we devised an enriched chart review protocol where a "roadmap" of auxiliary diagnoses was used to recover missing values. Still, chart reviews are expensive and time-intensive, limiting the number of patients whose data can be reviewed. Now, we investigate the accuracy and scalability of a roadmap-driven algorithm, based on International Classification of Diseases, 10th revision (ICD-10) codes, to mimic expert chart reviews and recover missing values.Materials and Methods In addition to the clinicians' original roadmap from our previous work, we consider new versions that were iteratively refined using large language models (LLMs) in conjunction with clinical expertise to expand the list of auxiliary diagnoses. Using chart reviews for 100 patients from an extensive EHR, we examine algorithm performance.Results Across 100 chart reviewed patients, there were 413 missing values in the EHR data. The expert chart reviews recovered 49 (12%), while the algorithms using LLMs-enhanced roadmaps recommended almost twice as many (83-89, 20%-22%). The final algorithm using clinician-approved LLMs' additions offered a balance (73, 18%), expanding the original roadmap with LLMs' suggestions but only when deemed clinically relevant. When applied to a larger study of 1000 patients from the same EHR, the per-patient median number of non-missing values increased from 6 to 7.Discussion Clinically-driven algorithms (enhanced by LLMs) can recover missing EHR data with similar accuracy to chart reviews and feasibly be applied to large samples. Extending them to monitor other data quality dimensions is a promising future direction.Routinely collected data, like those in an electronic health record (EHR), can be instrumental to research and clinical practice. For example, EHR data could be used to develop a whole-person health score that can be calculated across entire healthcare systems, allowing patient- and individual-level monitoring and planning. However, EHR data are prone to missingness and errors, more so than controlled trials, because they are subject to clinical decision-making and collected in the fast-paced world of clinical care. Chart reviews, wherein clinical experts manually compare EHR data to source documents (like electronic charts) can sometimes correct data errors, and in prior work we demonstrated that they could leverage additional information to fill in some missing values, too, using a clinician-defined "roadmap" of relevant diagnoses. Still, expert chart reviews are resource- and time-intensive, which limits how many patients' data can be evaluated in this way. Herein, we develop an algorithm that uses patient diagnosis codes to mimic the roadmap-driven missing data recovery from our prior work, meaning it could be applied across entire EHR-derived samples and not just small subsets. Further, we explore how large language models can be prompted to expand the list of diagnosis codes and improve missing data recovery.</t>
  </si>
  <si>
    <t>Lotspeich, Sarah C.; Collins, Abbey N.; Wells, Brian J.; Khanna, Ashish K.; Rigdon, Joseph; McGowan, Lucy D'Agostino</t>
  </si>
  <si>
    <t>Lotspeich, SC (corresponding author), Wake Forest Univ, Dept Stat Sci, 127 Manchester Hall,Box 7388, Winston Salem, NC 27109 USA.</t>
  </si>
  <si>
    <t>lotspes@wfu.edu</t>
  </si>
  <si>
    <t>Wake Forest University and Wake Forest University School of Medicine [UM1TR004929]</t>
  </si>
  <si>
    <t>Wake Forest University and Wake Forest University School of Medicine</t>
  </si>
  <si>
    <t>The authors gratefully acknowledge Wake Forest University and Wake Forest University School of Medicine (under National Institutes of Health Grant UM1TR004929) for an intercampus collaborative grant that supported the data collection for this work.</t>
  </si>
  <si>
    <t>[Lotspeich, Sarah C.; McGowan, Lucy D'Agostino] Wake Forest Univ, Dept Stat Sci, 127 Manchester Hall,Box 7388, Winston Salem, NC 27109 USA; [Collins, Abbey N.] North Carolina State Univ, Dept Psychol, Raleigh, NC 27607 USA; [Wells, Brian J.; Rigdon, Joseph] Wake Forest Univ, Bowman Gray Sch Med, Dept Biostat &amp; Data Sci, Winston Salem, NC 27157 USA; [Khanna, Ashish K.] Wake Forest Univ, Bowman Gray Sch Med, Dept Anesthesiol, Div Crit Care Med, Winston Salem, NC 27157 USA; [Khanna, Ashish K.] Outcomes Res Consortium, Houston, TX 77030 USA</t>
  </si>
  <si>
    <t>Wake Forest University; North Carolina State University; Wake Forest University; Wake Forest Baptist Medical Center; Wake Forest Baptist Medical Center; Wake Forest University School of Medicine; Wake Forest University; Wake Forest Baptist Medical Center</t>
  </si>
  <si>
    <t>Using large language models to enhance clinically-driven missing data recovery algorithms in electronic health records</t>
  </si>
  <si>
    <t>JAMIA OPEN</t>
  </si>
  <si>
    <t>chart reviews; computable phenotype; learning health system; missing data; whole-person health</t>
  </si>
  <si>
    <t>ALLOSTATIC LOAD; INFORMATION; MECHANISMS; MANAGEMENT; STRESS; SYSTEM; SAFETY; VALUES; RISK</t>
  </si>
  <si>
    <t>Rigdon, Joseph/W-3919-2019; D'Agostino McGowan, Lucy/K-5925-2019</t>
  </si>
  <si>
    <t>OXFORD UNIV PRESS</t>
  </si>
  <si>
    <t>GREAT CLARENDON ST, OXFORD OX2 6DP, ENGLAND</t>
  </si>
  <si>
    <t>2574-2531</t>
  </si>
  <si>
    <t>JAMIA Open</t>
  </si>
  <si>
    <t>ooag080</t>
  </si>
  <si>
    <t>10.1093/jamiaopen/ooag080</t>
  </si>
  <si>
    <t>http://dx.doi.org/10.1093/jamiaopen/ooag080</t>
  </si>
  <si>
    <t>IW0JX</t>
  </si>
  <si>
    <t>42237983</t>
  </si>
  <si>
    <t>WOS:001781669100001</t>
  </si>
  <si>
    <t>gold; Green Submitted; Green Published</t>
  </si>
  <si>
    <t>Kim, K; Kim, BC</t>
  </si>
  <si>
    <t>Introduction and aims: Large language models (LLMs), such as ChatGPT and Gemini, are increasingly being used in medical domains, including dental diagnostics. Despite advancements in image-based deep learning systems, LLM diagnostic capabilities in oral and maxillofacial surgery (OMFS) for processing multi-modal imaging inputs remain underexplored. Radiolucent jaw lesions represent a particularly challenging diagnostic category due to their varied presentations and overlapping radiographic features. This study evaluated diagnostic performance of ChatGPT 4o and Gemini 2.5 Pro using real-world OMFS radiolucent jaw lesion cases, presented in multiple-choice (MCQ) and short-answer (SAQ) formats across 3 imaging conditions: panoramic radiography only, panoramic + CT, and panoramic + CT + pathology. Methods: Data from 100 anonymized patients at Wonkwang University Daejeon Dental Hospital were analyzed, including demographics, panoramic radiographs, CBCT images, histopathology slides, and confirmed diagnoses. Sample size was determined based on institutional case availability and statistical power requirements for comparative analysis. ChatGPT and Gemini diagnosed each case under 6 conditions using 3 imaging modalities (P, P+C, P+C+B) in MCQ and SAQ formats. Model accuracy was scored against expert-confirmed diagnoses by 2 independent evaluators. McNemar's and Cochran's Q tests evaluated statistical differences across models and imaging modalities. Results: For MCQ tasks, ChatGPT achieved 66%, 73%, and 82% accuracies across the P, P+C, and P+C+B conditions, respectively, while Gemini achieved 57%, 62%, and 63%, respectively. In SAQ tasks, ChatGPT achieved 34%, 45%, and 48%; Gemini achieved 15%, 24%, and 28%, respectively. Accuracy improved significantly with additional imaging data for ChatGPT; ChatGPT consistently outperformed Gemini across all conditions (P &lt; .001 for MCQ;P = .008 to &lt; .001 for SAQ). MCQ format, which incorporates a human-in-the-loop (HITL) structure, showed higher overall performance than SAQ. Conclusion: ChatGPT demonstrated superior diagnostic performance compared to Gemini in OMFS diagnostic tasks when provided with richer multimodal inputs. Diagnostic accuracy increased with additional imaging data, especially in MCQ formats, suggesting LLMs can effectively synthesize radiographic and pathological data. Clinical Relevance: LLMs have potential as diagnostic support tools for OMFS, especially in settings with limited specialist access. Presenting clinical cases in structured formats using curated imaging data enhances LLM accuracy and underscores HITL integration. Although current LLMs show promising results, further validation using larger datasets and hybrid AI systems are necessary for broader contextualised, clinical adoption. (c) 2025 The Authors. Published by Elsevier Inc. on behalf of FDI World Dental Federation. This is an open access article under the CC BY-NC-ND license (http://creativecommons.org/licenses/by-nc-nd/4.0/)</t>
  </si>
  <si>
    <t>Kim, Kyuhyung; Kim, Bong Chul</t>
  </si>
  <si>
    <t>Kim, BC (corresponding author), Wonkwang Univ, Daejeon Dent Hosp, Coll Dent, Dept Oral &amp; Maxillofacial Surg, 77 Dunsan Ro, Daejeon 35233, South Korea.</t>
  </si>
  <si>
    <t>bck@wku.ac.kr</t>
  </si>
  <si>
    <t>National Research Foundation of Korea (NRF) - Korean Government (MSIT) [RS-2024-00451221]</t>
  </si>
  <si>
    <t>National Research Foundation of Korea (NRF) - Korean Government (MSIT) (National Research Foundation of Korea)</t>
  </si>
  <si>
    <t>This work was supported by the National Research Foundation of Korea (NRF) grant funded by the Korean Government (MSIT) (RS-2024-00451221) . The funding bodies played no role in the study design, data collection, analysis, interpretation, or the writing of the manuscript.</t>
  </si>
  <si>
    <t>[Kim, Kyuhyung; Kim, Bong Chul] Wonkwang Univ, Daejeon Dent Hosp, Coll Dent, Dept Oral &amp; Maxillofacial Surg, 77 Dunsan Ro, Daejeon 35233, South Korea</t>
  </si>
  <si>
    <t>Wonkwang University</t>
  </si>
  <si>
    <t>Diagnostic Performance of Large Language Models in Multimodal Analysis of Radiolucent Jaw Lesions</t>
  </si>
  <si>
    <t>INTERNATIONAL DENTAL JOURNAL</t>
  </si>
  <si>
    <t>Large language models; Artificial intelligence; Odontogenic cysts; Odontogenic tumors; Decision making</t>
  </si>
  <si>
    <t>Kim, Bong Chul/ABB-3866-2020</t>
  </si>
  <si>
    <t>Kim, Bong Chul/0000-0003-2824-0439</t>
  </si>
  <si>
    <t>0020-6539</t>
  </si>
  <si>
    <t>1875-595X</t>
  </si>
  <si>
    <t>INT DENT J</t>
  </si>
  <si>
    <t>Int. Dent. J.</t>
  </si>
  <si>
    <t>103910</t>
  </si>
  <si>
    <t>10.1016/j.identj.2025.103910</t>
  </si>
  <si>
    <t>http://dx.doi.org/10.1016/j.identj.2025.103910</t>
  </si>
  <si>
    <t>7NS2E</t>
  </si>
  <si>
    <t>40961626</t>
  </si>
  <si>
    <t>WOS:001575360000001</t>
  </si>
  <si>
    <t>Mahbub, M; Dams, GM; Srinivasan, S; Rizy, C; Danciu, I; Trafton, J; Knight, K</t>
  </si>
  <si>
    <t>Substance use disorder (SUD) poses a major concern due to its detrimental effects on health and society. SUD identification and treatment depend on a variety of factors such as severity, co-determinants (e.g., withdrawal symptoms), and social determinants of health. Existing diagnostic coding systems used by insurance providers, like the International Classification of Diseases (ICD-10), lack granularity for certain diagnoses, but American clinicians will add this granularity (as that found within the Diagnostic and Statistical Manual of Mental Disorders classification or DSM-5) as supplemental unstructured text in clinical notes. Traditional natural language processing (NLP) methods face limitations in accurately parsing such diverse clinical language. Large language models (LLMs) offer promise in overcoming these challenges by adapting to diverse language patterns. This study investigates the application of LLMs for extracting severity-related information for various SUD diagnoses from clinical notes. We propose a workflow employing zero-shot learning of LLMs with carefully crafted prompts and post-processing techniques. Through experimentation with Flan-T5, an open-source LLM, we demonstrate its superior recall compared to the rule-based approach. Focusing on 11 categories of SUD diagnoses, we show the effectiveness of LLMs in extracting severity information, contributing to improved risk assessment and treatment planning for SUD patients.</t>
  </si>
  <si>
    <t>Mahbub, Maria; Dams, Gregory M.; Srinivasan, Sudarshan; Rizy, Caitlin; Danciu, Ioana; Trafton, Jodie; Knight, Kathryn</t>
  </si>
  <si>
    <t>Mahbub, M (corresponding author), Oak Ridge Natl Lab, Oak Ridge, TN 37830 USA.</t>
  </si>
  <si>
    <t>mahbubm@ornl.gov</t>
  </si>
  <si>
    <t>Department of Veterans Affairs, Office of Mental Health and Suicide Prevention; Department of Veterans Affairs, Office of Mental Health and Office of Suicide Prevention; Oak Ridge National Laboratory [DE-AC05-00OR22725]; DOE's Office of Science; DOE; DOE Public Access Plan</t>
  </si>
  <si>
    <t>Department of Veterans Affairs, Office of Mental Health and Suicide Prevention (US Department of Veterans Affairs); Department of Veterans Affairs, Office of Mental Health and Office of Suicide Prevention (US Department of Veterans Affairs); Oak Ridge National Laboratory (United States Department of Energy (DOE)); DOE's Office of Science (United States Department of Energy (DOE)); DOE (United States Department of Energy (DOE)); DOE Public Access Plan</t>
  </si>
  <si>
    <t>This quality improvement, non-research work was supported by the Department of Veterans Affairs, Office of Mental Health and Office of Suicide Prevention. This initiative used VA-funded computing resources from the Knowledge Discovery Infrastructure (KDI) at Oak Ridge National Laboratory. The KDI resource is also supported by DOE's Office of Science. The manuscript has been authored by UT-Battelle LLC under contract DE-AC05-00OR22725 with the DOE. The US government retains a nonexclusive, paid-up, irrevocable, worldwide license to publish or reproduce this manuscript or allow others to do so for US government purposes. DOE will provide public access to these results of federally sponsored research in accordance with the DOE Public Access Plan (http://energy.gov/downloads/doe-public-access-plan). The authors also wish to acknowledge the support of the larger partnership and, most importantly, the veterans who chose to receive their care at the VA. Disclaimer: The views and opinions expressed in this manuscript are those of the authors and do not represent those of the Department of Veterans Affairs, the Department of Energy, or the United States Government.</t>
  </si>
  <si>
    <t>[Mahbub, Maria; Srinivasan, Sudarshan; Rizy, Caitlin; Danciu, Ioana; Knight, Kathryn] Oak Ridge Natl Lab, Oak Ridge, TN 37830 USA; [Dams, Gregory M.; Trafton, Jodie] Vet Hlth Adm, Program Evaluat &amp; Resource Ctr, Off Mental Hlth &amp; Suicide Prevent, Dept Vet Affairs, Menlo Pk, CA USA</t>
  </si>
  <si>
    <t>United States Department of Energy (DOE); Oak Ridge National Laboratory; US Department of Veterans Affairs; Veterans Health Administration (VHA); VA Palo Alto Health Care System</t>
  </si>
  <si>
    <t>Decoding substance use disorder severity from clinical notes using a large language model</t>
  </si>
  <si>
    <t>NPJ MENTAL HEALTH RESEARCH</t>
  </si>
  <si>
    <t>HEALTH</t>
  </si>
  <si>
    <t>Mahbub, Maria/KYQ-8632-2024; Knight, Katie/AAP-1459-2021; Trafton, Jodie/OGP-0741-2025</t>
  </si>
  <si>
    <t>Mahbub, Maria/0000-0002-3422-9650; Trafton, Jodie/0000-0002-9629-7632; Srinivasan, Sudarshan/0000-0003-1222-7512; Dams, Gregory/0000-0002-8546-014X</t>
  </si>
  <si>
    <t>THE CAMPUS, 4 CRINAN ST, LONDON, N1 9XW, ENGLAND</t>
  </si>
  <si>
    <t>2731-4251</t>
  </si>
  <si>
    <t>NPJ MENT HEALTH RES</t>
  </si>
  <si>
    <t>npj Ment. Health Res.</t>
  </si>
  <si>
    <t>FEB 7 2025</t>
  </si>
  <si>
    <t>10.1038/s44184-024-00114-6</t>
  </si>
  <si>
    <t>http://dx.doi.org/10.1038/s44184-024-00114-6</t>
  </si>
  <si>
    <t>8NC6L</t>
  </si>
  <si>
    <t>39915681</t>
  </si>
  <si>
    <t>WOS:001592611900001</t>
  </si>
  <si>
    <t>Chen, YB; Xu, CY; Liang, CF; Tao, YB; Du, F; Liu, XF; Wang, MQ; Li, ZR; Qiu, JY; Shi, C</t>
  </si>
  <si>
    <t>The global prevalence of Major Depressive Disorder (MDD) increases annually, establishing it as one of the leading contributors to the global burden of diseases. Traditional symptom-based methods, such as face-to-face interviews between psychiatrists and patients, are widely used for detecting and assessing depression. However, these methods are time-consuming which often require several tens of minutes per interview. While the patient population is growing, there is a significant shortage of qualified clinicians, especially in low-and middle-income communities. Furthermore, the subjectivity in human assessments leads to variability in diagnostic results among different clinicians. In this study, we aim to address these challenges by developing objective, efficient, and reliable Artificial Intelligence (AI) tools and methods for the detection and assessment of MDD. Specifically, we have developed a human-computer interview platform, powered by Large Language Models (LLMs) equipped with knowledge from the Hamilton Rating Scale for Depression (HAMD). Additionally, we proposed multimodal topic-aware deep learning models that are trained on text, audio, and video data to detect MDD, assess depression severity, and predict HAMD scores. Data were gathered through human-computer interviews with 346 participants recruited from psychiatric outpatient clinics and community settings. The experimental results demonstrate that our platform achieves diagnostic performance comparable to that of trained clinicians.</t>
  </si>
  <si>
    <t>Chen, Yangbin; Xu, Chenyang; Liang, Chunfeng; Tao, Yanbao; Du, Fan; Liu, Xiaofeng; Wang, Mingqia; Li, Zhuoran; Qiu, Jianyin; Shi, Chuan</t>
  </si>
  <si>
    <t>Shi, C (corresponding author), Peking Univ, Peking Univ Hosp 6, Natl Clin Res Ctr Mental Disorders, NHC Key Lab Mental Hlth,Inst Mental Hlth, Beijing 100191, Peoples R China.</t>
  </si>
  <si>
    <t>xuchenyang@stu.pku.edu.cn; jianyin_qiu@163.com; cfliang666@gmail.com; mingqia@bjmu.edu.cn; shichuan@bjmu.edu.cn; 1747328411@qq.com; yangbin.chen@xjtlu.edu.cn; 707839227@qq.com; xiaofeng.liu@yale.edu</t>
  </si>
  <si>
    <t>National Natural Science Foundation of China [62502396]; XJTLU Research Development Fund; Suzhou Industrial Park Interdisciplinary Innovation (Research) Platform for Affective Computing and Interactive Health [CXK 2025101]; Major International (Regional) Cooperation Research Programs of the National Natural Science Foundation of China [72110107003]</t>
  </si>
  <si>
    <t>National Natural Science Foundation of China (National Natural Science Foundation of China (NSFC)); XJTLU Research Development Fund; Suzhou Industrial Park Interdisciplinary Innovation (Research) Platform for Affective Computing and Interactive Health; Major International (Regional) Cooperation Research Programs of the National Natural Science Foundation of China (National Natural Science Foundation of China (NSFC))</t>
  </si>
  <si>
    <t>Acknowledgments This work was supported by National Natural Science Foundation of China (Grant No. 62502396) , XJTLU Research Development Fund (Grant No. RDF-24-02-008) , Suzhou Industrial Park Interdisciplinary Innovation (Research) Platform for Affective Computing and Interactive Health (Grant No. CXK 2025101) , and Major International (Regional) Cooperation Research Programs of the National Natural Science Foundation of China (Grant No. 72110107003) .</t>
  </si>
  <si>
    <t>[Chen, Yangbin] Xian Jiaotong Liverpool Univ, Dept Comp, Suzhou 215123, Jiangsu, Peoples R China; [Xu, Chenyang; Wang, Mingqia; Shi, Chuan] Peking Univ, Peking Univ Hosp 6, Natl Clin Res Ctr Mental Disorders, NHC Key Lab Mental Hlth,Inst Mental Hlth, Beijing 100191, Peoples R China; [Liang, Chunfeng; Du, Fan] Fubian Med Technol Co Ltd, Suzhou 215000, Jiangsu, Peoples R China; [Tao, Yanbao] Xinxiang Med Coll, Affiliated Hosp 1, Xinxiang 453003, Henan, Peoples R China; [Liu, Xiaofeng] Yale Univ, Dept Radiol &amp; Biomed Imaging &amp; Biomed Informat &amp; D, New Haven, CT 06519 USA; [Li, Zhuoran] Univ Toronto, Toronto, ON M5S 3H2, Canada; [Qiu, Jianyin] Shanghai Jiao Tong Univ, Shanghai Mental Hlth Ctr, Sch Med, Shanghai 200030, Peoples R China</t>
  </si>
  <si>
    <t>Xi'an Jiaotong-Liverpool University; Peking University; Henan Medical University; Yale University; University of Toronto; Shanghai Jiao Tong University</t>
  </si>
  <si>
    <t>Depression detection via multimodal analysis using a large language model-powered interview platform</t>
  </si>
  <si>
    <t>ENGINEERING APPLICATIONS OF ARTIFICIAL INTELLIGENCE</t>
  </si>
  <si>
    <t>Depression detection; Multimodal machine learning; Large language models</t>
  </si>
  <si>
    <t>FACIAL EXPRESSIONS; EMOTION; COMMUNICATION; PREVALENCE; COUNTRIES; HAMILTON; SCALES</t>
  </si>
  <si>
    <t>/A-2599-2012</t>
  </si>
  <si>
    <t>0952-1976</t>
  </si>
  <si>
    <t>1873-6769</t>
  </si>
  <si>
    <t>ENG APPL ARTIF INTEL</t>
  </si>
  <si>
    <t>Eng. Appl. Artif. Intell.</t>
  </si>
  <si>
    <t>JUN 1 2026</t>
  </si>
  <si>
    <t>173</t>
  </si>
  <si>
    <t>114480</t>
  </si>
  <si>
    <t>10.1016/j.engappai.2026.114480</t>
  </si>
  <si>
    <t>http://dx.doi.org/10.1016/j.engappai.2026.114480</t>
  </si>
  <si>
    <t>Automation &amp; Control Systems; Computer Science, Artificial Intelligence; Engineering, Multidisciplinary; Engineering, Electrical &amp; Electronic</t>
  </si>
  <si>
    <t>Automation &amp; Control Systems; Computer Science; Engineering</t>
  </si>
  <si>
    <t>FQ6GD</t>
  </si>
  <si>
    <t>WOS:001725071200001</t>
  </si>
  <si>
    <t>Yang, HR; Lin, KY; Lin, PC; Tsai, JJ; Chen, PC</t>
  </si>
  <si>
    <t>Background: Multimodal large language models (MLLMs) show promise in medical imaging, but their performance is highly dependent on prompt engineering. This study systematically evaluates how different prompting strategies affect diagnostic accuracy in clinical laboratory image interpretation. Methods: We evaluated five MLLMs (ChatGPT-4o, Gemini 2.0 Flash, Claude 3.5 Sonnet, Grok-2, and Perplexity Pro (Claude 3.5 Sonnet)) using 177 proficiency testing images across three domains: blood smears (n = 78), urinalysis (n = 50), and parasitology (n = 49). Three prompting approaches were compared: (1) complex multi-choice prompts with 20 diagnostic options, (2) zero-shot open-ended prompts, and (3) two-step descriptive-reasoning prompts. Images were sourced from the Taiwan Society of Laboratory Medicine external quality assurance archives with expert consensus diagnoses. Results: Zero-shot prompting significantly outperformed complex multi-choice prompts across all models and domains (p &lt; 0.001). With zero-shot prompts, Gemini achieved 78.5% overall accuracy (urinalysis: 92.0%; parasitology: 75.5%; blood smears: 64.1%), representing a 17% improvement over complex prompts. Two-step descriptive-reasoning prompts further improved blood smear accuracy by 8-12% for top-performing models, but showed minimal benefit in urinalysis and parasitology. The re-query mechanism ("please reconsider") improved urinalysis accuracy by 7.6% but had a negligible effect on blood smears and parasitology. Conclusions: Prompting strategy critically determines MLLM diagnostic performance. Zero-shot approaches with minimal constraints consistently outperform complex multi-choice formats. The remarkable performance of general-purpose models in structured domains like urinalysis (&gt;90% accuracy) demonstrates the considerable progress of multimodal AI. However, complex morphological tasks like blood smear interpretation require either specialized prompting techniques or domain-specific fine-tuning. These findings provide evidence-based guidance for optimizing AI integration in clinical laboratories.</t>
  </si>
  <si>
    <t>Yang, Hui-Ru; Lin, Kuei-Ying; Lin, Ping-Chang; Tsai, Jih-Jin; Chen, Po-Chih</t>
  </si>
  <si>
    <t>Chen, PC (corresponding author), Kaohsiung Med Univ Hosp, Dept Lab Med, Kaohsiung 807, Taiwan.; Chen, PC (corresponding author), Kaohsiung Med Univ, Dept Med Lab Sci &amp; Biotechnol, Kaohsiung 807, Taiwan.</t>
  </si>
  <si>
    <t>jijits@cc.kmu.edu.tw; poki@kmu.edu.tw</t>
  </si>
  <si>
    <t>Kaohsiung Medical University Chung-Ho Memorial Hospital [KMUH114-4G01]</t>
  </si>
  <si>
    <t>Kaohsiung Medical University Chung-Ho Memorial Hospital (Kaohsiung Medical University Hospital)</t>
  </si>
  <si>
    <t>This research was funded by Kaohsiung Medical University Chung-Ho Memorial Hospital, Taiwan (grant number KMUH114-4G01; https://www.kmuh.org.tw).</t>
  </si>
  <si>
    <t>[Yang, Hui-Ru; Lin, Kuei-Ying; Chen, Po-Chih] Kaohsiung Med Univ Hosp, Dept Lab Med, Kaohsiung 807, Taiwan; [Yang, Hui-Ru; Lin, Kuei-Ying; Chen, Po-Chih] Kaohsiung Med Univ, Dept Med Lab Sci &amp; Biotechnol, Kaohsiung 807, Taiwan; [Lin, Ping-Chang; Tsai, Jih-Jin] Kaohsiung Med Univ Hosp, Trop Med Ctr, Kaohsiung 807, Taiwan; [Tsai, Jih-Jin] Kaohsiung Med Univ, Coll Med, Sch Med, Kaohsiung 807, Taiwan; [Tsai, Jih-Jin] Kaohsiung Med Univ Hosp, Dept Internal Med, Div Infect Dis, Kaohsiung 807, Taiwan</t>
  </si>
  <si>
    <t>Kaohsiung Medical University; Kaohsiung Medical University Hospital; Kaohsiung Medical University; Kaohsiung Medical University; Kaohsiung Medical University Hospital; Kaohsiung Medical University; Kaohsiung Medical University; Kaohsiung Medical University Hospital</t>
  </si>
  <si>
    <t>Comparative Evaluation of Five Multimodal Large Language Models for Medical Laboratory Image Recognition: Impact of Prompting Strategies on Diagnostic Accuracy</t>
  </si>
  <si>
    <t>artificial intelligence; multimodal large language models; clinical laboratory; proficiency testing; image recognition; prompt engineering; blood smears; urinalysis; parasitology</t>
  </si>
  <si>
    <t>TSAI, JIH-JIN/OQK-8707-2025</t>
  </si>
  <si>
    <t>APR 22 2026</t>
  </si>
  <si>
    <t>1258</t>
  </si>
  <si>
    <t>10.3390/diagnostics16091258</t>
  </si>
  <si>
    <t>http://dx.doi.org/10.3390/diagnostics16091258</t>
  </si>
  <si>
    <t>HW0YV</t>
  </si>
  <si>
    <t>42121962</t>
  </si>
  <si>
    <t>WOS:001764073400001</t>
  </si>
  <si>
    <t>Alsayyari, MS; Alshurafa, H; Abdelkader, W; Alfallaj, R; Alsaleh, S</t>
  </si>
  <si>
    <t>Background Large language models (LLMs), such as ChatGPT, are increasingly utilized by physicians for clinical decision support due to their ease of use and versatility. However, their performance in diagnostic imaging remains largely untested. This study prospectively evaluates ChatGPT's ability to interpret sinus computed tomography (CT) scans for chronic rhinosinusitis (CRS), using radiologist assessment as the reference standard. Methods In this prospective cohort study, 102 coronal sinus CT scans were evaluated by both a board-certified radiologist and ChatGPT-4o. Each scan was screen recorded and uploaded twice to ChatGPT to assess repeatability, resulting in 306 total interpretations. The radiologist reviewed the same screen recordings provided to ChatGPT. Both raters assessed 11 predefined binary anatomical features and generated Lund-Mackay scores. Diagnostic performance was assessed using standard accuracy metrics, and inter-rater agreement was evaluated using established reliability coefficients. Results ChatGPT demonstrated variable performance across anatomical features. Sensitivity ranged from 0.00 to 0.89, and specificity from 0.26 to 0.95. The model demonstrated relatively high sensitivity for mucosal thickening (0.84) and sinus expansion (0.73), as well as strong agreement with the radiologist for the lamina papyracea (AC1 = 0.92) and anterior ethmoid artery (AC1 = 0.77). However, performance was poor for air-fluid levels and bone thinning. Agreement with the radiologist was low across most features (AC1 &lt; 0.4 in 82% of variables), and repeatability between ChatGPT versions was limited (mean AC1 = 0.29). Correlation between runs for Lund-Mackay scores was weak (r = 0.11), and agreement with the radiologist was poor (ICC &lt; 0.07). Conclusion ChatGPT demonstrates partial capability in identifying specific sinus CT findings; however, it lacks overall diagnostic consistency. Human radiologists remain essential, and the clinical use of LLMs in imaging should be approached with caution.</t>
  </si>
  <si>
    <t>Alsayyari, Mohammed Sulaiman; Alshurafa, Hassan; Abdelkader, Waleed; Alfallaj, Rayan; Alsaleh, Saad</t>
  </si>
  <si>
    <t>Alsayyari, MS (corresponding author), King Saud Univ, Coll Med, Riyadh, Saudi Arabia.</t>
  </si>
  <si>
    <t>sayyari34@gmail.com</t>
  </si>
  <si>
    <t>[Alsayyari, Mohammed Sulaiman; Alshurafa, Hassan] King Saud Univ, Coll Med, Riyadh, Saudi Arabia; [Abdelkader, Waleed] King Saud Univ, King Abdulaziz Univ Hosp, Radiol Dept, Riyadh, Saudi Arabia; [Alfallaj, Rayan] King Saud Univ Med City, Otolaryngol Head &amp; Neck Surg Dept, Riyadh, Saudi Arabia; [Alsaleh, Saad] Minist Interior, Secur Forces Hosp Program, Gen Directorate Med Serv, Riyadh, Saudi Arabia</t>
  </si>
  <si>
    <t>King Saud University; King Saud University; King Abdulaziz University; King Abdulaziz University Hospital - Riyadh; King Saud University; Security Forces Hospital - Saudi Arabia</t>
  </si>
  <si>
    <t>Diagnostic Performance of a Large Language Model (ChatGPT-4o) in Chronic Rhinosinusitis CT Scan Interpretation</t>
  </si>
  <si>
    <t>LARYNGOSCOPE INVESTIGATIVE OTOLARYNGOLOGY</t>
  </si>
  <si>
    <t>artificial intelligence; ChatGPT; computed tomography; rhinology; rhinosinusitis</t>
  </si>
  <si>
    <t>SAMPLE-SIZE CALCULATION</t>
  </si>
  <si>
    <t>Abdelkader, Waleed/PMQ-5684-2026; Alsaleh, Saad/J-1481-2016</t>
  </si>
  <si>
    <t>Abdelkader, Waleed/0000-0001-6285-7331; Alsaleh, Saad/0000-0002-1236-2098</t>
  </si>
  <si>
    <t>2378-8038</t>
  </si>
  <si>
    <t>LARYNGOSCOPE INVEST</t>
  </si>
  <si>
    <t>Laryngoscope Investig. Otol.</t>
  </si>
  <si>
    <t>MAY 11 2026</t>
  </si>
  <si>
    <t>e70433</t>
  </si>
  <si>
    <t>10.1002/lio2.70433</t>
  </si>
  <si>
    <t>http://dx.doi.org/10.1002/lio2.70433</t>
  </si>
  <si>
    <t>HT1PK</t>
  </si>
  <si>
    <t>42125758</t>
  </si>
  <si>
    <t>WOS:001762083600001</t>
  </si>
  <si>
    <t>100</t>
  </si>
  <si>
    <t>Hager, P; Jungmann, F; Holland, R; Bhagat, K; Hubrecht, I; Knauer, M; Vielhauer, J; Makowski, M; Braren, R; Kaissis, G; Rueckert, D</t>
  </si>
  <si>
    <t>Clinical decision-making is one of the most impactful parts of a physician's responsibilities and stands to benefit greatly from artificial intelligence solutions and large language models (LLMs) in particular. However, while LLMs have achieved excellent performance on medical licensing exams, these tests fail to assess many skills necessary for deployment in a realistic clinical decision-making environment, including gathering information, adhering to guidelines, and integrating into clinical workflows. Here we have created a curated dataset based on the Medical Information Mart for Intensive Care database spanning 2,400 real patient cases and four common abdominal pathologies as well as a framework to simulate a realistic clinical setting. We show that current state-of-the-art LLMs do not accurately diagnose patients across all pathologies (performing significantly worse than physicians), follow neither diagnostic nor treatment guidelines, and cannot interpret laboratory results, thus posing a serious risk to the health of patients. Furthermore, we move beyond diagnostic accuracy and demonstrate that they cannot be easily integrated into existing workflows because they often fail to follow instructions and are sensitive to both the quantity and order of information. Overall, our analysis reveals that LLMs are currently not ready for autonomous clinical decision-making while providing a dataset and framework to guide future studies.Using a curated dataset of 2,400 cases and a framework to simulate a realistic clinical setting, current large language models are shown to incur substantial pitfalls when used for autonomous clinical decision-making.</t>
  </si>
  <si>
    <t>Hager, Paul; Jungmann, Friederike; Holland, Robbie; Bhagat, Kunal; Hubrecht, Inga; Knauer, Manuel; Vielhauer, Jakob; Makowski, Marcus; Braren, Rickmer; Kaissis, Georgios; Rueckert, Daniel</t>
  </si>
  <si>
    <t>Hager, P (corresponding author), Tech Univ Munich, Klinikum Rechts Isar, Inst AI &amp; Informat, Munich, Germany.; Hager, P (corresponding author), Tech Univ Munich, Inst Diagnost &amp; Intervent Radiol, Klinikum Rechts Isar, Munich, Germany.</t>
  </si>
  <si>
    <t>paul.hager@tum.de</t>
  </si>
  <si>
    <t>Technische Universitat Muenchen</t>
  </si>
  <si>
    <t>Open access funding provided by Technische Universitat Muenchen.</t>
  </si>
  <si>
    <t>[Hager, Paul; Jungmann, Friederike; Kaissis, Georgios; Rueckert, Daniel] Tech Univ Munich, Klinikum Rechts Isar, Inst AI &amp; Informat, Munich, Germany; [Hager, Paul; Jungmann, Friederike; Makowski, Marcus; Braren, Rickmer; Kaissis, Georgios] Tech Univ Munich, Inst Diagnost &amp; Intervent Radiol, Klinikum Rechts Isar, Munich, Germany; [Holland, Robbie; Kaissis, Georgios; Rueckert, Daniel] Imperial Coll, Dept Comp, London, England; [Bhagat, Kunal] ChristianaCare Hlth Syst, Dept Med, Wilmington, DE USA; [Hubrecht, Inga; Knauer, Manuel] Tech Univ Munich, Dept Med 3, Klinikum Rechts Isar, Munich, Germany; [Vielhauer, Jakob] Ludwig Maximilian Univ Munich, Dept Med 2, Univ Hosp, Munich, Germany; [Kaissis, Georgios] Helmholtz Munich, Inst Machine Learning Biomed Imaging, Reliable AI Grp, Munich, Germany</t>
  </si>
  <si>
    <t>Technical University of Munich; Technical University of Munich; Imperial College London; Technical University of Munich; University of Munich</t>
  </si>
  <si>
    <t>Evaluation and mitigation of the limitations of large language models in clinical decision-making</t>
  </si>
  <si>
    <t>NATURE MEDICINE</t>
  </si>
  <si>
    <t>AI; BIAS</t>
  </si>
  <si>
    <t>Holland, Robbie/JQI-5017-2023; Hager, Paul/KVZ-2285-2024; Braren, Rickmer/U-3254-2018</t>
  </si>
  <si>
    <t>Holland, Robbie/0000-0001-8373-8390; Hager, Paul/0000-0003-2166-0262; Knauer, Manuel M/0000-0002-3475-2396; Braren, Rickmer/0000-0001-6039-6957; Vielhauer, Jakob/0000-0003-3762-1575; Jungmann, Friederike/0000-0002-9600-4094</t>
  </si>
  <si>
    <t>494</t>
  </si>
  <si>
    <t>570</t>
  </si>
  <si>
    <t>128</t>
  </si>
  <si>
    <t>1078-8956</t>
  </si>
  <si>
    <t>1546-170X</t>
  </si>
  <si>
    <t>NAT MED</t>
  </si>
  <si>
    <t>Nat. Med.</t>
  </si>
  <si>
    <t>SEP 2024</t>
  </si>
  <si>
    <t>10.1038/s41591-024-03097-1</t>
  </si>
  <si>
    <t>http://dx.doi.org/10.1038/s41591-024-03097-1</t>
  </si>
  <si>
    <t>JUL 2024</t>
  </si>
  <si>
    <t>Biochemistry &amp; Molecular Biology; Cell Biology; Medicine, Research &amp; Experimental</t>
  </si>
  <si>
    <t>Biochemistry &amp; Molecular Biology; Cell Biology; Research &amp; Experimental Medicine</t>
  </si>
  <si>
    <t>W7Z9K</t>
  </si>
  <si>
    <t>38965432</t>
  </si>
  <si>
    <t>WOS:001262233500004</t>
  </si>
  <si>
    <t>Jiao, C; Rosas, E; Asadigandomani, H; Delsoz, M; Madadi, Y; Raja, H; Munir, WM; Tamm, B; Mehravaran, S; Djalilian, AR; Yousefi, S; Soleimani, M</t>
  </si>
  <si>
    <t>Background/Objectives: This study evaluated the diagnostic accuracy of seven publicly available large language models (LLMs)-GPT-3.5, GPT-4.o Mini, GPT-4.o, Gemini 1.5 Flash, Claude 3.5 Sonnet, Grok3, and DeepSeek R1-in diagnosing corneal diseases, comparing their performance to human specialists. Methods: Twenty corneal disease cases from the University of Iowa's EyeRounds were presented to each LLM. Diagnostic accuracy was determined by comparing LLM-generated diagnoses to the confirmed case diagnoses. Four human cornea specialists evaluated the same cases to establish a benchmark and assess interobserver agreement. Results: Diagnostic accuracy varied significantly among LLMs (p = 0.001). GPT-4.o achieved the highest accuracy (80.0%), followed by Claude 3.5 Sonnet and Grok3 (70.0%), DeepSeek R1 (65.0%), GPT-3.5 (60.0%), GPT-4.o Mini (55.0%), and Gemini 1.5 Flash (30.0%). Human experts averaged 92.5% accuracy, outperforming all LLMs (p &lt; 0.001, Cohen's d = -1.314). GPT-4.o showed no significant difference from human consensus (p = 0.250, kappa = 0.348), while Claude and Grok3 showed fair agreement (kappa = 0.219). DeepSeek R1 also performed reasonably (kappa = 0.178), although not significantly. Conclusions: Among the evaluated LLMs, GPT-4.o, Claude 3.5 Sonnet, Grok3, and DeepSeek R1 demonstrated promising diagnostic accuracy, with GPT-4.o most closely matching human performance. However, performance remained inconsistent, especially in complex cases. LLMs may offer value as diagnostic support tools, but human expertise remains indispensable for clinical decision-making.</t>
  </si>
  <si>
    <t>Jiao, Cheng; Rosas, Erik; Asadigandomani, Hassan; Delsoz, Mohammad; Madadi, Yeganeh; Raja, Hina; Munir, Wuqaas M.; Tamm, Brendan; Mehravaran, Shiva; Djalilian, Ali R.; Yousefi, Siamak; Soleimani, Mohammad</t>
  </si>
  <si>
    <t>Soleimani, M (corresponding author), Univ North Carolina, Dept Ophthalmol, Chapel Hill, NC 27599 USA.</t>
  </si>
  <si>
    <t>erikrosas.10@gmail.com; wmunir@som.umaryland.edu; hinaraja65@gmail.com; msolei@unc.edu; hassan.asadigandomani@ucsf.edu; delsoz_mohammad@yahoo.com; yeganeh.madadi@gmail.com; adjalili@uic.edu; btamm@som.umaryland.edu; siamak.yousefi@uthsc.edu; shiva.mehravaran@morgan.edu; cheng.jiao@unchealth.unc.edu</t>
  </si>
  <si>
    <t>[Jiao, Cheng; Rosas, Erik; Soleimani, Mohammad] Univ North Carolina, Dept Ophthalmol, Chapel Hill, NC 27599 USA; [Asadigandomani, Hassan] Univ Calif San Francisco, Dept Ophthalmol, San Francisco, CA 94143 USA; [Delsoz, Mohammad; Madadi, Yeganeh; Raja, Hina; Yousefi, Siamak] Univ Tennessee, Hamilton Eye Inst, Hlth Sci Ctr, Dept Ophthalmol, Memphis, TN 38103 USA; [Munir, Wuqaas M.; Tamm, Brendan] Univ Maryland, Sch Med, Dept Ophthalmol &amp; Visual Sci, Baltimore, MD 21201 USA; [Mehravaran, Shiva] Morgan State Univ, Sch Comp Math &amp; Nat Sci, Dept Biol, Baltimore, MD 21251 USA; [Djalilian, Ali R.] Univ Illinois, Dept Ophthalmol &amp; Visual Sci, Chicago, IL 60612 USA; [Yousefi, Siamak] Univ Tennessee, Hlth Sci Ctr, Dept Genet Genom &amp; Informat, Memphis, TN 38136 USA</t>
  </si>
  <si>
    <t>University of North Carolina; University of North Carolina Chapel Hill; University of California System; University of California San Francisco; University of Tennessee System; University of Tennessee Health Science Center; University System of Maryland; University of Maryland Baltimore; Morgan State University; University of Illinois System; University of Illinois Chicago; University of Illinois Chicago Hospital; University of Tennessee System; University of Tennessee Health Science Center</t>
  </si>
  <si>
    <t>Diagnostic Performance of Publicly Available Large Language Models in Corneal Diseases: A Comparison with Human Specialists</t>
  </si>
  <si>
    <t>ChatGPT; large language models; corneal disease; artificial intelligence</t>
  </si>
  <si>
    <t>DIABETIC-RETINOPATHY; VALIDATION; IMAGES</t>
  </si>
  <si>
    <t>Raja, hina/AAR-5423-2021; Soleimani, Mohammad/C-6469-2014; Munir, Wuqaas/L-1404-2019; Asadigandomani, Hassan/PCT-5024-2025; Delsoz, Mohammad/IUP-1811-2023; Madadi, Yeganeh/JUV-2768-2023; Mehravaran, Shiva/AAJ-1293-2021</t>
  </si>
  <si>
    <t>Soleimani, Mohammad/0000-0002-6546-3546; Jiao, Cheng/0000-0002-4191-4656; Munir, Wuqaas/0000-0001-8070-6668; Asadigandomani, Hassan/0000-0003-0744-8337; Delsoz, Mohammad/0000-0001-5638-2034; Mehravaran, Shiva/0000-0002-4249-3304</t>
  </si>
  <si>
    <t>47</t>
  </si>
  <si>
    <t>MAY 13 2025</t>
  </si>
  <si>
    <t>1221</t>
  </si>
  <si>
    <t>10.3390/diagnostics15101221</t>
  </si>
  <si>
    <t>http://dx.doi.org/10.3390/diagnostics15101221</t>
  </si>
  <si>
    <t>3BW3Y</t>
  </si>
  <si>
    <t>40428214</t>
  </si>
  <si>
    <t>WOS:001496633900001</t>
  </si>
  <si>
    <t>Niset, A; Melot, I; Pireau, M; Englebert, A; Scius, N; Flament, J; El Hadwe, S; Al Barajraji, M; Thonon, H; Barrit, S</t>
  </si>
  <si>
    <t>Objective To evaluate predictive diagnostic performance of open- and closed-source large language models (LLMs) in emergency medicine, addressing the urgent need for innovative clinical decision support tools amid rising patient volumes and staffing shortages. Materials and Methods We generated 2370 AI-driven diagnostic predictions (Top-5 diagnoses from each of 6 model pipelines per patient), using data from 79 real-world emergency department cases collected consecutively during a 24-hour peak influx period at a tertiary care center. Pipelines combined open- and closed-source embedding models (text-embedding-ada-002, MXBAI) with foundational models (GPT-4, Llama3, and Qwen2) grounded via retrieval-augmented generation using emergency medicine textbooks. Models' predictions were assessed against reference diagnoses established by expert consensus. Results All pipelines achieved comparable diagnostic match rates (62.03%-72.15%). Diagnostic performance was significantly influenced by case characteristics: match rates were notably higher for specific versus unspecific diagnoses (85.53% vs 31.41%, P &lt; .001) and surgical versus medical cases (79.49% vs 56.25%, P &lt; .001). Open-source models demonstrated markedly superior sourcing capabilities compared to GPT-4-based combinations (P &lt; 1.4e-12), with MBXAI/Qwen2 pipeline achieving perfect citation verification. Discussion Diagnostic accuracy primarily depended on case characteristics rather than the choice of model pipeline, highlighting fundamental AI alignment challenges in clinical reasoning. Low performance in unspecific diagnoses underscores inherent complexities in clinical definitions rather than technological shortcomings alone. Conclusion Open-source LLM pipelines provide enhanced sourcing capabilities, crucial for transparent clinical decision-making and interpretability. Further research should expand knowledge bases to include hospital guidelines and regional epidemiology, while exploring on-premises solutions to better align with privacy regulations and clinical integration.</t>
  </si>
  <si>
    <t>Niset, Alexandre; Melot, Ines; Pireau, Margaux; Englebert, Alexandre; Scius, Nathan; Flament, Julien; El Hadwe, Salim; Al Barajraji, Mejdeddine; Thonon, Henri; Barrit, Sami</t>
  </si>
  <si>
    <t>Barrit, S (corresponding author), Univ Calif Berkeley, Joint UC Berkeley UCSF Computat Precis Hlth CPH, Warren Hall,2195 Hearst Ave,Suite 120, Berkeley, CA 94720 USA.; Barrit, S (corresponding author), Univ Calif San Francisco, Joint UC Berkeley UCSF Computat Precis Hlth CPH, Warren Hall,2195 Hearst Ave,Suite 120, San Francisco, CA 94143 USA.</t>
  </si>
  <si>
    <t>sami@sciense.org</t>
  </si>
  <si>
    <t>[Niset, Alexandre; Pireau, Margaux] Clin Univ St Luc, Emergency Dept, B-1200 Brussels, Belgium; [Niset, Alexandre] UCLouvain, Clin Univ St Luc, Pediat Intens Care Unit, B-1200 Brussels, Belgium; [Niset, Alexandre; Englebert, Alexandre; El Hadwe, Salim; Al Barajraji, Mejdeddine; Barrit, Sami] Sciense, New York, NY 10004 USA; [Melot, Ines] CHR Helora Jolimont, Emergency Dept, B-7100 La Louviere, Belgium; [Englebert, Alexandre] UCLouvain, Informat &amp; Commun Technol, Elect &amp; Appl Math ICTEAM, B-1348 Louvain La Neuve, Belgium; [Englebert, Alexandre] CHU UCL Namur, Orthoped Dept, B-5530 Yvoir, Belgium; [Scius, Nathan; Flament, Julien; Thonon, Henri] CHU UCL Namur, Emergency Dept, Yvoir B-5530, Belgium; [El Hadwe, Salim] Univ Cambridge, Dept Clin Neurosci, Cambridge CB2 0QQ, England; [El Hadwe, Salim] Univ Cambridge, Dept Elect Engn, Bioelect Lab, Cambridge CB2 0QQ, England; [Al Barajraji, Mejdeddine] CHR Citadelle, Dept Neurosurg, B-4000 Liege, Belgium; [Barrit, Sami] Univ Calif Berkeley, Computat Precis Hlth, Berkeley, CA 94720 USA; [Barrit, Sami] Univ Calif San Francisco, Dept Neurol Surg, San Francisco, CA 90095 USA; [Barrit, Sami] Univ Calif Berkeley, Joint UC Berkeley UCSF Computat Precis Hlth CPH, Warren Hall,2195 Hearst Ave,Suite 120, Berkeley, CA 94720 USA; [Barrit, Sami] Univ Calif San Francisco, Joint UC Berkeley UCSF Computat Precis Hlth CPH, Warren Hall,2195 Hearst Ave,Suite 120, San Francisco, CA 94143 USA</t>
  </si>
  <si>
    <t>Universite Catholique Louvain; Cliniques Universitaires Saint-Luc; Universite Catholique Louvain; Cliniques Universitaires Saint-Luc; Universite Catholique Louvain; University of Cambridge; University of Cambridge; University of California System; University of California Berkeley; University of California System; University of California San Francisco; University of California System; University of California Berkeley; University of California System; University of California San Francisco</t>
  </si>
  <si>
    <t>Grounded large language models for diagnostic prediction in real-world emergency department settings</t>
  </si>
  <si>
    <t>large language models; emergency medicine; diagnostic prediction; retrieval-augmented generation; clinical decision support; open-source models</t>
  </si>
  <si>
    <t>CRISIS</t>
  </si>
  <si>
    <t>El Hadwe, Salim/0000-0002-5521-524X; Niset, Alexandre/0000-0002-8341-9338</t>
  </si>
  <si>
    <t>ooaf119</t>
  </si>
  <si>
    <t>10.1093/jamiaopen/ooaf119</t>
  </si>
  <si>
    <t>http://dx.doi.org/10.1093/jamiaopen/ooaf119</t>
  </si>
  <si>
    <t>8UP7Z</t>
  </si>
  <si>
    <t>41127256</t>
  </si>
  <si>
    <t>WOS:001597725600001</t>
  </si>
  <si>
    <t>Johri, S; Jeong, J; Tran, BA; Schlessinger, DI; Wongvibulsin, S; Barnes, LA; Zhou, HY; Cai, ZR; Van Allen, EM; Kim, D; Daneshjou, R; Rajpurkar, P</t>
  </si>
  <si>
    <t>The integration of large language models (LLMs) into clinical diagnostics has the potential to transform doctor-patient interactions. However, the readiness of these models for real-world clinical application remains inadequately tested. This paper introduces the Conversational Reasoning Assessment Framework for Testing in Medicine (CRAFT-MD) approach for evaluating clinical LLMs. Unlike traditional methods that rely on structured medical examinations, CRAFT-MD focuses on natural dialogues, using simulated artificial intelligence agents to interact with LLMs in a controlled environment. We applied CRAFT-MD to assess the diagnostic capabilities of GPT-4, GPT-3.5, Mistral and LLaMA-2-7b across 12 medical specialties. Our experiments revealed critical insights into the limitations of current LLMs in terms of clinical conversational reasoning, history-taking and diagnostic accuracy. These limitations also persisted when analyzing multimodal conversational and visual assessment capabilities of GPT-4V. We propose a comprehensive set of recommendations for future evaluations of clinical LLMs based on our empirical findings. These recommendations emphasize realistic doctor-patient conversations, comprehensive history-taking, open-ended questioning and using a combination of automated and expert evaluations. The introduction of CRAFT-MD marks an advancement in testing of clinical LLMs, aiming to ensure that these models augment medical practice effectively and ethically.</t>
  </si>
  <si>
    <t>Johri, Shreya; Jeong, Jaehwan; Tran, Benjamin A.; Schlessinger, Daniel I.; Wongvibulsin, Shannon; Barnes, Leandra A.; Zhou, Hong-Yu; Cai, Zhuo Ran; Van Allen, Eliezer M.; Kim, David; Daneshjou, Roxana; Rajpurkar, Pranav</t>
  </si>
  <si>
    <t>Rajpurkar, P (corresponding author), Harvard Med Sch, Dept Biomed Informat, Boston, MA 02115 USA.; Daneshjou, R (corresponding author), Stanford Univ, Dept Dermatol, Stanford, CA 94305 USA.; Daneshjou, R (corresponding author), Stanford Univ, Dept Biomed Data Sci, Stanford, CA 94305 USA.</t>
  </si>
  <si>
    <t>pranav_rajpurkar@hms.harvard.edu; roxanad@stanford.edu</t>
  </si>
  <si>
    <t>S.J. is supported by the Quad Fellowship. We would like to thank Microsoft's Accelerating Foundation Models Research (AFMR) grant for funding this study, especially Dr. Kenji Takeda for facilitating access to resources. We also thank Harvard Medical School; Quad Fellowship; Microsoft Accelerate Foundation Models Research grant program; Harvard Medical School's Dean's Innovation Award</t>
  </si>
  <si>
    <t>S.J. is supported by the Quad Fellowship. This research project has benefitted from the Microsoft Accelerate Foundation Models Research grant program awarded to P.R., and we especially thank K. Takeda for facilitating access to resources. We are also appreciative of Harvard Medical School's Dean's Innovation Award (awarded to P.R.) for funding this study.</t>
  </si>
  <si>
    <t>[Johri, Shreya; Jeong, Jaehwan; Zhou, Hong-Yu; Rajpurkar, Pranav] Harvard Med Sch, Dept Biomed Informat, Boston, MA 02115 USA; [Jeong, Jaehwan] Stanford Univ, Dept Comp Sci, Stanford, CA USA; [Tran, Benjamin A.] Medstar Georgetown Univ Hosp, Washington Hosp Ctr, Dept Dermatol, Washington, DC USA; [Schlessinger, Daniel I.] Northwestern Univ, Dept Dermatol, Chicago, IL USA; [Wongvibulsin, Shannon] Univ Calif Los Angeles, David Geffen Sch Med, Div Dermatol, Los Angeles, CA USA; [Barnes, Leandra A.; Cai, Zhuo Ran; Daneshjou, Roxana] Stanford Univ, Dept Dermatol, Stanford, CA 94305 USA; [Van Allen, Eliezer M.] Dana Farber Canc Inst, Dept Med Oncol, Boston, MA USA; [Kim, David] Stanford Univ, Dept Emergency Med, Stanford, CA USA; [Daneshjou, Roxana] Stanford Univ, Dept Biomed Data Sci, Stanford, CA 94305 USA</t>
  </si>
  <si>
    <t>Harvard University; Harvard Medical School; Stanford University; MedStar Washington Hospital Center; Georgetown University; Northwestern University; Feinberg School of Medicine; University of California System; University of California Los Angeles; University of California Los Angeles Medical Center; David Geffen School of Medicine at UCLA; Stanford University; Stanford Medicine; Harvard University; Harvard University Medical Affiliates; Dana-Farber Cancer Institute; Stanford Medicine; Stanford University; Stanford University</t>
  </si>
  <si>
    <t>An evaluation framework for clinical use of large language models in patient interaction tasks</t>
  </si>
  <si>
    <t>CARE</t>
  </si>
  <si>
    <t>Schlessinger, Daniel/M-9286-2019; Barnes, Leandra/IST-4928-2023; Daneshjou, Roxana/ABE-7764-2021; Tran, Ben/IST-7086-2023; Zhou, Hong-Yu/ADF-2386-2022</t>
  </si>
  <si>
    <t>Van Allen, Eliezer/0000-0002-0201-4444; Schlessinger, Daniel/0000-0001-5736-8891; Tran, Benjamin/0000-0003-3263-9530; Johri, Shreya/0000-0002-2388-3913; Barnes, Leandra/0000-0001-9251-0101; Daneshjou, Roxana/0000-0001-7988-9356; Zhou, Hong-Yu/0000-0002-1256-7050</t>
  </si>
  <si>
    <t>49</t>
  </si>
  <si>
    <t>136</t>
  </si>
  <si>
    <t>147</t>
  </si>
  <si>
    <t>JAN 2025</t>
  </si>
  <si>
    <t>77</t>
  </si>
  <si>
    <t>10.1038/s41591-024-03328-5</t>
  </si>
  <si>
    <t>http://dx.doi.org/10.1038/s41591-024-03328-5</t>
  </si>
  <si>
    <t>T1Z1W</t>
  </si>
  <si>
    <t>39747685</t>
  </si>
  <si>
    <t>WOS:001388208200001</t>
  </si>
  <si>
    <t>Laohawetwanit, T; Dixit, S; Agarwal, S; Yoshikawa, AL; Bychkov, A</t>
  </si>
  <si>
    <t>Thyroid fine-needle aspiration (FNA) cytology is a widely used, cost-effective method for evaluating thyroid nodules. However, interpretation of thyroid FNA smears remains challenging, particularly in settings with limited access to experienced cytopathologists. Multimodal large language models (LLMs) have shown potential in static image interpretation in histopathology and may serve as supportive tools when expert review is unavailable. Nevertheless, data regarding their application in cytopathology, including thyroid cytology, remain limited. In this study, we evaluated the diagnostic accuracy and consistency of ChatGPT and Gemini in interpreting 100 thyroid FNA cytology images, comprising 50 cases of papillary thyroid carcinoma (PTC) and 50 nonPTC lesions, including follicular nodular disease, follicular neoplasm, medullary thyroid carcinoma, and anaplastic thyroid carcinoma. Representative images were captured at 40 &amp; times; magnification and reviewed by expert pathologists to confirm the reference diagnoses. Each image was analyzed by ChatGPT and Gemini across five separate rounds. For the class-based analysis, ChatGPT and Gemini achieved mean diagnostic accuracies of 26.2% and 23.6%, respectively, based on Bethesda categories, and 39.2% and 20.2%, respectively, for specific diagnostic entities. ChatGPT rendered a higher number of suspicious for malignancy and atypia of undetermined significance diagnoses than Gemini. Five-image submission and inclusion of TIRADS data improved performance metrics in some instances. Medullary and anaplastic thyroid carcinomas were rarely correctly identified. In conclusion, although ChatGPT and Gemini demonstrated the potential of LLMs in cytologic image interpretation and drafting descriptive reports, their diagnostic performance in thyroid FNA cytology was limited, underscoring the current constraints of LLMs in this domain.</t>
  </si>
  <si>
    <t>Laohawetwanit, Thiyaphat; Dixit, Sonali; Agarwal, Shipra; Yoshikawa, Akira Leon; Bychkov, Andrey</t>
  </si>
  <si>
    <t>Bychkov, A (corresponding author), Kameda Med Ctr, Dept Pathol, Digital Pathol, Kamogawa, Chiba 2968602, Japan.</t>
  </si>
  <si>
    <t>drshipra0902@gmail.com; thiyapat@tu.ac.th; sonali21dixit@gmail.com; yoshikawa.akira@kameda.jp; bychkov.andrey@kameda.jp</t>
  </si>
  <si>
    <t>[Laohawetwanit, Thiyaphat] Thammasat Univ, Chulabhorn Int Coll Med, Div Pathol, Pathum Thani, Thailand; [Dixit, Sonali; Agarwal, Shipra] All India Inst Med Sci, Dept Pathol, New Delhi, India; [Yoshikawa, Akira Leon; Bychkov, Andrey] Kameda Med Ctr, Dept Pathol, Kamogawa, Chiba, Japan; [Yoshikawa, Akira Leon; Bychkov, Andrey] Nagasaki Univ, Grad Sch Biomed Sci, Dept Pathol Informat, Nagasaki, Japan; [Yoshikawa, Akira Leon] Juntendo Univ, Grad Sch Med, Dept Biochem &amp; Syst Biomed, Tokyo, Japan</t>
  </si>
  <si>
    <t>Thammasat University; Chulabhorn Research Institute; All India Institute of Medical Sciences (AIIMS) New Delhi; Nagasaki University; Juntendo University</t>
  </si>
  <si>
    <t>Evaluating the diagnostic performance of multimodal large language models in thyroid cytology</t>
  </si>
  <si>
    <t>HUMAN PATHOLOGY</t>
  </si>
  <si>
    <t>Thyroid cytology; ChatGPT; Thyroid nodules; Thyroid cancer; Fine-needle aspiration</t>
  </si>
  <si>
    <t>UNDETERMINED SIGNIFICANCE; SYSTEM; REPRODUCIBILITY; PATHOLOGY; ATYPIA</t>
  </si>
  <si>
    <t>Bychkov, Andrey/N-1884-2019; /ACS-0091-2022</t>
  </si>
  <si>
    <t>33</t>
  </si>
  <si>
    <t>0046-8177</t>
  </si>
  <si>
    <t>1532-8392</t>
  </si>
  <si>
    <t>HUM PATHOL</t>
  </si>
  <si>
    <t>Hum. Pathol.</t>
  </si>
  <si>
    <t>SEP 2026</t>
  </si>
  <si>
    <t>175</t>
  </si>
  <si>
    <t>106156</t>
  </si>
  <si>
    <t>10.1016/j.humpath.2026.106156</t>
  </si>
  <si>
    <t>http://dx.doi.org/10.1016/j.humpath.2026.106156</t>
  </si>
  <si>
    <t>JI9NP</t>
  </si>
  <si>
    <t>42144078</t>
  </si>
  <si>
    <t>WOS:001790434000001</t>
  </si>
  <si>
    <t>Wen, HY; Shi, HT; Yu, JS; Fan, ZB; Dai, HC; Jiang, LL; Song, QY</t>
  </si>
  <si>
    <t>The swine farming industry, a key pillar of Chinese animal husbandry, faces significant challenges due to frequent outbreaks of porcine gastrointestinal infectious diseases (PGID). Traditional diagnostic methods reliant on human expertise suffer from low efficiency, high subjectivity, and poor accuracy. To address these issues, this paper proposes a multimodal diagnostic method based on artificial intelligence (AI) and large language model (LLM) for six common types of PGID. In this method, ChatGPT and image augmentation techniques were first used to expand the dataset. Next, the Multi-scale TextCNN (MS-TextCNN) model was employed to capture multi-granularity semantic features from text. Subsequently, an improved Mask R-CNN model was applied to segment small intestine lesion regions, after which seven convolutional neural network (CNN) models were used to classify the segmented images. Finally, five machine learning models were utilized for multimodal classification diagnosis. Experimental results demonstrate that the multimodal diagnostic model can accurately identify six common types of PGID. This study provides an efficient and accurate intelligent solution for diagnosing PGID and demonstrates superior performance compared with single-modality methods.</t>
  </si>
  <si>
    <t>Wen, Haiyan; Shi, Hongtao; Yu, Jiashang; Fan, Zhaobin; Dai, Haicheng; Jiang, Lili; Song, Qinye</t>
  </si>
  <si>
    <t>Song, QY (corresponding author), Hebei Agr Univ, Coll Vet Med, Baoding, Peoples R China.</t>
  </si>
  <si>
    <t>songqinye@126.com</t>
  </si>
  <si>
    <t>The author(s) declare that financial support was received for the research and/or publication of this article. This work was jointly funded by the Key Research and Development Program of Shandong Province (Agricultural Good Variety Project, 2022LZGC003) and the new generation of artificial intelligence National Science and Technology Major Project (2021ZD0113802).</t>
  </si>
  <si>
    <t>[Wen, Haiyan; Song, Qinye] Hebei Agr Univ, Coll Vet Med, Baoding, Peoples R China; [Wen, Haiyan; Fan, Zhaobin; Jiang, Lili] Heze Univ, Coll Pharm, Heze, Peoples R China; [Shi, Hongtao] Qingdao Agr Univ, Sch Sci &amp; Informat Sci, Qingdao, Peoples R China; [Yu, Jiashang] Heze Univ, Coll Math &amp; Stat, Heze, Peoples R China; [Dai, Haicheng] Rizhao Jiacheng Anim Hlth Prod Co Ltd, Rizhao, Peoples R China</t>
  </si>
  <si>
    <t>Hebei Agricultural University; Heze University; Qingdao Agricultural University; Heze University</t>
  </si>
  <si>
    <t>An intelligent diagnostic method for porcine gastrointestinal infectious diseases based on multimodal AI and large language model</t>
  </si>
  <si>
    <t>FRONTIERS IN VETERINARY SCIENCE</t>
  </si>
  <si>
    <t>porcine gastrointestinal infectious diseases; multimodal; artificial intelligence; large language model; Mask R-CNN; machine learning</t>
  </si>
  <si>
    <t>2297-1769</t>
  </si>
  <si>
    <t>FRONT VET SCI</t>
  </si>
  <si>
    <t>Front. Vet. Sci.</t>
  </si>
  <si>
    <t>SEP 5 2025</t>
  </si>
  <si>
    <t>1660745</t>
  </si>
  <si>
    <t>10.3389/fvets.2025.1660745</t>
  </si>
  <si>
    <t>http://dx.doi.org/10.3389/fvets.2025.1660745</t>
  </si>
  <si>
    <t>7LN2T</t>
  </si>
  <si>
    <t>40979363</t>
  </si>
  <si>
    <t>WOS:001573875000001</t>
  </si>
  <si>
    <t>Simper, MA; Ahmad, FA; Abraham, J; Maddox, TM; Flotken, J; Rudloff, JR</t>
  </si>
  <si>
    <t>Background: Clinical decision algorithms used by clinicians guide evidence-based decisions and actions. Automated tools can help with the adoption and sustainability of these algorithms, and automation is especially needed in the emergency setting which requires quick decision making in a chaotic environment. This preimplementation study evaluated whether a large language model (LLM) can apply the Pediatric Emergency Care Applied Research Network (PECARN) Head Injury Algorithm safely and accurately on emergency department notes, a preliminary step in the development of a clinical decision support tool for treating pediatric head injuries. Methods: We studied the safety and capability of an LLM, Generative Pretrained Transformer (GPT), to apply the PECARN Head Injury Algorithm using notes of patient encounters aged 3 months - 18 years who presented to a pediatric emergency department (ED) with chief complaint of "head injury". A dataset of 24 patients was curated to include a diverse range of symptoms for developing models and a dataset of 122 was randomly selected for testing. We developed and compared four LLM models to extract clinical features from clinical notes. Primary outcomes were safety, measured as negative predictive value (NPV), and accuracy of the LLM models compared to gold standard pediatric emergency medicine (PEM) physicians. Secondary outcomes were the accuracies for the nine features used in the PECARN algorithm. Results: All models demonstrated high NPV comparable to PEM physicians. The GPT model with the highest combination of NPV and accuracy was the prompt-engineered "Optimized Features Model" (NPV = 0.98, accuracy = 0.89), which performed similarly to that of the ED clinicians in both NPV (0.99) and accuracy (0.92). Conclusions: Our LLM-based tool for a clinical decision algorithm demonstrated high accuracy and NPV. While promising, further studies on scalability and feasibility are needed to ensure LLM-based digital health tools encourage safe, effective care for pediatric patients in the ED.</t>
  </si>
  <si>
    <t>Simper, Mackenzie A.; Ahmad, Fahd A.; Abraham, Joanna; Maddox, Thomas M.; Flotken, James; Rudloff, James R.</t>
  </si>
  <si>
    <t>Simper, MA (corresponding author), Washington Univ, Sch Med, 660 South Euclid Ave, St Louis, MO 63110 USA.</t>
  </si>
  <si>
    <t>fahd.ahmad@wustl.edu; rudloff@wustl.edu; f.james@wustl.edu; joannaa@wustl.edu; tmaddox@wustl.edu; m.a.simper@wustl.edu</t>
  </si>
  <si>
    <t>NIH [NHLBI UG3HL165065]</t>
  </si>
  <si>
    <t>NIH (United States Department of Health &amp; Human Services, National Institutes of Health (NIH) - USA)</t>
  </si>
  <si>
    <t>TMM acknowledges grant funding from the NIH (NHLBI UG3HL165065) .</t>
  </si>
  <si>
    <t>[Simper, Mackenzie A.] Washington Univ, Sch Med, 660 South Euclid Ave, St Louis, MO 63110 USA; [Ahmad, Fahd A.; Flotken, James; Rudloff, James R.] Washington Univ, Sch Med, Dept Pediat, 660 South Euclid Ave, St Louis, MO 63110 USA; [Abraham, Joanna] Washington Univ, Sch Med, Dept Anesthesiol, 660 South Euclid Ave, St Louis, MO 63110 USA; [Abraham, Joanna; Rudloff, James R.] Washington Univ, Inst Informat Data Sci &amp; Biostat, Sch Med, 660 South Euclid Ave, St Louis, MO 63110 USA; [Maddox, Thomas M.] Washington Univ, Sch Med, Div Cardiol, 660 South Euclid Ave, St Louis, MO 63110 USA</t>
  </si>
  <si>
    <t>Washington University (WUSTL); Washington University (WUSTL); Washington University (WUSTL); Washington University (WUSTL); Washington University (WUSTL)</t>
  </si>
  <si>
    <t>Safety and diagnostic accuracy of large-language model application of PECARN head injury algorithm</t>
  </si>
  <si>
    <t>Large language model; PECARN; Head imaging; Decision algorithm; Pediatric emergency medicine</t>
  </si>
  <si>
    <t>DECISION RULES; CHILDREN</t>
  </si>
  <si>
    <t>Flotken, James Adam/0009-0002-7562-2990</t>
  </si>
  <si>
    <t>216</t>
  </si>
  <si>
    <t>106466</t>
  </si>
  <si>
    <t>10.1016/j.ijmedinf.2026.106466</t>
  </si>
  <si>
    <t>http://dx.doi.org/10.1016/j.ijmedinf.2026.106466</t>
  </si>
  <si>
    <t>ID5WV</t>
  </si>
  <si>
    <t>42127532</t>
  </si>
  <si>
    <t>WOS:001769154300001</t>
  </si>
  <si>
    <t>Lee, GG; Goodman, D; Chang, TCP</t>
  </si>
  <si>
    <t>Background: The rise of large language models (LLM) promises to widely impact healthcare providers and patients alike. As these tools reflect the biases of currently available data on the internet, there is a risk that increasing LLM use will proliferate these biases and affect information quality. This study aims to characterize the effects of different race, ethnicity, and gender modifiers in question prompts presented to three large language models (LLM) on the length and readability of patient education materials about myopia. Methods: ChatGPT, Gemini, and Copilot were provided a standardized prompt incorporating demographic modifiers to inquire about myopia. The races and ethnicities evaluated were Asian, Black, Hispanic, Native American, and White. Gender was limited to male or female. The prompt was inserted five times into new chat windows. Responses were analyzed for readability by word count, Simple Measure of Gobbledygook (SMOG) index, Flesch-Kincaid Grade Level, and Flesch Reading Ease score. Significant differences were analyzed using two-way ANOVA on SPSS. Results: A total of 150 responses were analyzed. There were no differences in SMOG index, Flesch-Kincaid Grade Level, or Flesch Reading Ease scores between responses generated with prompts containing different gender, race, or ethnicity modifiers using ChatGPT or Copilot. Gemini-generated responses differed significantly in their SMOG Index, Flesch-Kincaid Grade Level, and Flesch Reading Ease based on the race mentioned in the prompt (p&lt;0.05). Conclusion: Patient demographic information impacts the reading level of educational material generated by Gemini but not by ChatGPT or Copilot. As patients use LLMs to understand ophthalmologic diagnoses like myopia, clinicians and users should be aware of demographic influences on readability. Patient gender, race, and ethnicity may be overlooked variables affecting the readability of LLM-generated education materials, which can impact patient care. Future research could focus on the accuracy of generated information to identify potential risks of misinformation.</t>
  </si>
  <si>
    <t>Lee, Gabriela G.; Goodman, Deniz; Chang, Ta Chen Peter</t>
  </si>
  <si>
    <t>Chang, TCP (corresponding author), Univ Miami, Bascom Palmer Eye Inst, Dept Ophthalmol, Miller Sch Med, 900 NW 17th St 450N, Miami, FL 33136 USA.</t>
  </si>
  <si>
    <t>t.chang@med.miami.edu</t>
  </si>
  <si>
    <t>NIH Center Core Grant [P30EY014801]; Research to Prevent Blindness-Unrestricted Grant [GR004596]</t>
  </si>
  <si>
    <t>NIH Center Core Grant (United States Department of Health &amp; Human Services, National Institutes of Health (NIH) - USA); Research to Prevent Blindness-Unrestricted Grant</t>
  </si>
  <si>
    <t>This work was supported by funding from the NIH Center Core Grant P30EY014801, Research to Prevent Blindness-Unrestricted Grant (GR004596) .</t>
  </si>
  <si>
    <t>[Chang, Ta Chen Peter] Univ Miami, Bascom Palmer Eye Inst, Dept Ophthalmol, Miller Sch Med, 900 NW 17th St 450N, Miami, FL 33136 USA</t>
  </si>
  <si>
    <t>Bascom Palmer Eye Institute; University of Miami</t>
  </si>
  <si>
    <t>Impact of Demographic Modifiers on Readability of Myopia Education Materials Generated by Large Language Models</t>
  </si>
  <si>
    <t>CLINICAL OPHTHALMOLOGY</t>
  </si>
  <si>
    <t>health literacy; readability; large language models</t>
  </si>
  <si>
    <t>Chang, Ta Chen/D-7752-2017</t>
  </si>
  <si>
    <t>Chang, Ta Chen/0000-0003-4827-5014</t>
  </si>
  <si>
    <t>1177-5483</t>
  </si>
  <si>
    <t>CLIN OPHTHALMOL</t>
  </si>
  <si>
    <t>Clin. Ophthalmol.</t>
  </si>
  <si>
    <t>3591</t>
  </si>
  <si>
    <t>3604</t>
  </si>
  <si>
    <t>10.2147/OPTH.S483024</t>
  </si>
  <si>
    <t>http://dx.doi.org/10.2147/OPTH.S483024</t>
  </si>
  <si>
    <t>O7V4W</t>
  </si>
  <si>
    <t>39649984</t>
  </si>
  <si>
    <t>WOS:001373157100001</t>
  </si>
  <si>
    <t>Aliyeva, A; Nevzati, E; Grassia, F; Riaz, M; Mann, S; Nasirov, R</t>
  </si>
  <si>
    <t>Introduction: Large language models (LLMs) are explored as clinical decision-support tools in complex medical fields. However, their reliability and clinical usefulness in multidisciplinary management of pituitary adenomas remain insufficiently evaluated using validated, clinician-based frameworks. Research question: Do LLMs differ in informational quality, clinical reasoning, and expert satisfaction when applied to pituitary adenoma-related clinical scenarios? Materials and methods: A prospective comparative study evaluated three LLMs: ChatGPT-5.0, Claude Opus 4.1, and Gemini 2.5 Flash. A standardized prompt set covering general knowledge, surgical decision-making, endocrine evaluation, patient education, and MRI-based scenarios was submitted to each model identically. Outputs were anonymized and independently assessed by 10 board-certified doctors using three validated instruments: the Quality Assessment of Medical Artificial Intelligence (QAMAI), the Artificial Intelligence Performance Instrument (AIPI), and the Artificial Intelligence Satisfaction and Performance Evaluation Questionnaire (AISPE-Q). Results: Claude Opus 4.1 achieved the highest performance across all major domains. Aggregate QAMAI scores were highest for Claude Opus 4.1 (4.39 +/- 0.66), compared with ChatGPT-5.0 (4.12 +/- 0.74) and Gemini 2.5 Flash (4.07 +/- 0.76; p = 0.018). Clinical reasoning assessed by AIPI was superior for Claude Opus 4.1 versus Gemini 2.5 Flash and ChatGPT-5.0. Strong correlations were observed between informational quality, reasoning performance, and satisfaction. Discussion and conclusion: LLMs exhibit significant variability in performance when managing pituitary adenomas. Claude Opus 4.1 demonstrated the highest levels of informational quality, reasoning depth, and expert trust. While LLMs may serve as supportive adjuncts in multidisciplinary pituitary care, structured evaluation and expert oversight remain essential before clinical integration. Level of evidence: 2 - Prospective comparative diagnostic accuracy study.</t>
  </si>
  <si>
    <t>Aliyeva, Aynur; Nevzati, Edin; Grassia, Fabio; Riaz, Muhammad; Mann, Scott; Nasirov, Rauf</t>
  </si>
  <si>
    <t>Aliyeva, A (corresponding author), Denver Hlth &amp; Hosp Author, Dept Surg, Denver, CO 80204 USA.</t>
  </si>
  <si>
    <t>edin.nevzati@dhha.org; Muhammad.Riaz2@dhha.org; scott.mann@cuanschutz.edu; dr.aynuraliyeva86@gmail.com; rauf.nasirov@dhha.org; fabio.grassia@dhha.org</t>
  </si>
  <si>
    <t>[Aliyeva, Aynur; Nevzati, Edin; Grassia, Fabio; Riaz, Muhammad; Mann, Scott; Nasirov, Rauf] Denver Hlth &amp; Hosp Author, Dept Surg, Denver, CO 80204 USA; [Aliyeva, Aynur] Yeditepe Univ, Neurosci Doctoral Program, Istanbul, Turkiye; [Nevzati, Edin; Grassia, Fabio; Riaz, Muhammad] Univ Colorado, Sch Med, Dept Neurosurg, Anschutz Med Campus, Aurora, CO USA; [Nevzati, Edin] Univ Basel, Fac Med, Basel, Switzerland; [Mann, Scott] Univ Colorado, Sch Med, Dept Otolaryngol Head &amp; Neck Surg, Anschutz Med Campus, Aurora, CO USA</t>
  </si>
  <si>
    <t>Denver Health Medical Center; Yeditepe University; University of Colorado System; University of Colorado Anschutz; University of Basel; University of Geneva; University of Colorado System; University of Colorado Anschutz</t>
  </si>
  <si>
    <t>AI at the Sella Turcica: Multi-Model Large Language Model Evaluation in Pituitary Adenomas</t>
  </si>
  <si>
    <t>BRAIN AND SPINE</t>
  </si>
  <si>
    <t>Large language model; Pituitary adenoma; Neuroendocrinology; ChatGPT-5; Claude opus; Gemini</t>
  </si>
  <si>
    <t>Nevzati, Edin/HSG-7069-2023; Aliyeva, Aynur/ISU-8848-2023; Nasirov, Rauf/AGB-6410-2022</t>
  </si>
  <si>
    <t>2772-5294</t>
  </si>
  <si>
    <t>BRAIN SPINE</t>
  </si>
  <si>
    <t>Brain Spine</t>
  </si>
  <si>
    <t>105997</t>
  </si>
  <si>
    <t>10.1016/j.bas.2026.105997</t>
  </si>
  <si>
    <t>http://dx.doi.org/10.1016/j.bas.2026.105997</t>
  </si>
  <si>
    <t>FH2KR</t>
  </si>
  <si>
    <t>41859435</t>
  </si>
  <si>
    <t>WOS:001718697300001</t>
  </si>
  <si>
    <t>Zaheerudeen, TS; Rajan, NR</t>
  </si>
  <si>
    <t>Introduction: Large Language Models (LLMs) are increasingly explored for clinical diagnostic support, yet their real-world performance compared to clinician diagnoses remains inadequately characterised. Aim: To evaluate the diagnostic concordance of three leading LLMs, ChatGPT, Claude and Gemini against postoperative surgeon diagnoses. Materials and Methods: The present single centre retrospective observational comparative study including a total of 106 surgical cases from SAM Medical College and Hospitals, Kattankulathur, Chennai, Tamil Nadu, India, performed between March and September 2025, with documented presenting symptoms and confirmed postoperative diagnoses were analysed. Standardised prompts containing patient demographics, symptoms and clinical history were submitted to ChatGPT (GPT-4, version GPT-4-0613), Claude (Claude 3 Opus, version claude-3-opus-20240229) and Gemini (Gemini Pro, version gemini pro-1.0) between March 25, 2025 and September 24, 2025. Each LLM-generated diagnosis was independently categorised as concordant or discordant with the surgeon's diagnosis by two investigators. Model accuracy wascalculated with Clopper-Pearson 95% confidence intervals. Pair-wise differences were assessed using McNemar's exact test and inter-model agreement was quantified with Cohen's kappa. Qualitative analysis identified strengths and limitations of Artificial Intelligence (AI) diagnostic reasoning. Results: Mean patient age was 42.6 +/- 16.0 years; 70 (66.0%) were male. Diagnostic accuracy was 80.2% (95% CI: 71.3-87.3%) for ChatGPT (85/106 concordant), 83.0% (95% CI: 74.5-89.6%) for Claude (88/106 concordant) and 80.2% (95% CI: 71.3-87.3%) for Gemini (85/106 concordant). Pair-wise comparisons revealed no statistically significant differences (ChatGPT vs Claude, p=0.581; ChatGPT vs Gemini, p=1.000; Claude vs Gemini, p=0.375). Inter-model agreement was moderate to high (kappa=0.592-0.843). All three models correctly diagnosed 78 cases (73.6%), while all three failed in 13 cases (12.3%). Qualitative analysis revealed that LLMs excelled at pattern recognition for classic presentations (e.g., appendicitis, hernias) but struggled with atypical symptoms, rare conditions and cases lacking imaging data. Conclusion: ChatGPT, Claude and Gemini demonstrated comparable diagnostic concordance with postoperative surgeon diagnoses in this retrospective cohort. While LLMs show promise as adjunctive diagnostic tools, significant limitations in handling atypical presentations, contextual interpretation and accountability concerns preclude independent clinical deployment. These findings underscore the necessity of human oversight rather than replacement role of AI in surgical decision-making.</t>
  </si>
  <si>
    <t>Zaheerudeen, Tasneem Shaik; Rajan, Nembian Raja</t>
  </si>
  <si>
    <t>Rajan, NR (corresponding author), SRM Nagar Kattankalathur, Chengalpattu, Tamil Nadu, India.</t>
  </si>
  <si>
    <t>nembianr@srmist.edu.in</t>
  </si>
  <si>
    <t>[Zaheerudeen, Tasneem Shaik] SRM Med Coll Hosp &amp; Res Ctr, SRM Inst, Fac Med &amp; Hlth Sci, Dept Cardiothorac &amp; Vasc Surg, Chengalpattu, Tamil Nadu, India; [Rajan, Nembian Raja] SRM Nagar Kattankalathur, Chengalpattu, Tamil Nadu, India</t>
  </si>
  <si>
    <t>SRM Institute of Science &amp; Technology Chennai</t>
  </si>
  <si>
    <t>Diagnostic Concordance of Large Language Models with Postoperative Surgeon Diagnoses: A Comparative Analysis of ChatGPT, Claude, and Gemini</t>
  </si>
  <si>
    <t>JOURNAL OF CLINICAL AND DIAGNOSTIC RESEARCH</t>
  </si>
  <si>
    <t>Artificial intelligence; Diagnostic accuracy; Generative pretrained transformers; Surgical diagnosis</t>
  </si>
  <si>
    <t>ARTIFICIAL-INTELLIGENCE; LIMITS</t>
  </si>
  <si>
    <t>PREMCHAND SHANTIDEVI RESEARCH FOUNDATION</t>
  </si>
  <si>
    <t>DELHI</t>
  </si>
  <si>
    <t>71 JAIN COLONY, VEER NAGAR, DELHI, 110 007, INDIA</t>
  </si>
  <si>
    <t>2249-782X</t>
  </si>
  <si>
    <t>0973-709X</t>
  </si>
  <si>
    <t>J CLIN DIAGN RES</t>
  </si>
  <si>
    <t>J. Clin. Diagn. Res.</t>
  </si>
  <si>
    <t>PC15</t>
  </si>
  <si>
    <t>PC20</t>
  </si>
  <si>
    <t>10.7860/JCDR/2026/85628.23103</t>
  </si>
  <si>
    <t>http://dx.doi.org/10.7860/JCDR/2026/85628.23103</t>
  </si>
  <si>
    <t>FK4UD</t>
  </si>
  <si>
    <t>WOS:001720895100037</t>
  </si>
  <si>
    <t>Yin, HF; Shen, LX; Cai, HY; Wu, W; Grzybowski, A; Jin, K</t>
  </si>
  <si>
    <t>Purpose Clinical decision-making in glaucoma is complex and requires integration of heterogeneous information, including patient history, examination findings, and risk stratification. While artificial intelligence (AI) has shown strong performance in image-based ophthalmic tasks, its capability in specialty-specific clinical reasoning remains insufficiently explored.Methods Performance was evaluated by glaucoma specialists using a predefined rubric across three clinically oriented domains: medical accuracy (40%), key-point recall (30%), and logical completeness (30%). The weighted composite score was used as a descriptive summary of case-based reasoning quality.Results AI models showed structured clinical reasoning performance in this case-based dataset, with weighted mean scores overlapping with those of attending ophthalmologists and exceeding those of some lower-performing trainees. These findings should be interpreted as exploratory performance patterns rather than evidence of equivalence. Inter-individual variability was substantial among human clinicians, particularly residents. AI systems often included safety-critical diagnostic and management elements, while the best-performing human clinician achieved the highest individual score overall.Conclusion In this limited 34-case evaluation, large language model-based AI systems produced structured glaucoma-related reasoning with performance that overlapped with attending ophthalmologists but did not establish clinical equivalence. These systems require specialist oversight and further validation before clinical use, but may have potential as supervised decision-support and educational tools.</t>
  </si>
  <si>
    <t>Yin, Houfa; Shen, Lixia; Cai, Haiyan; Wu, Wei; Grzybowski, Andrzej; Jin, Kai</t>
  </si>
  <si>
    <t>Jin, K (corresponding author), Zhejiang Univ, Affiliated Hosp 2, Eye Ctr, Sch Med, Hangzhou, Peoples R China.; Jin, K (corresponding author), Zhejiang Prov Engn Inst Eye Dis, Zhejiang Prov Clin Res Ctr Eye Dis, Zhejiang Prov Key Lab Ophthalmol, Hangzhou, Peoples R China.</t>
  </si>
  <si>
    <t>Natural Science Foundation of China [82204713, 82201195]; Education Reform Project of the Second Affiliated Hospital Zhejiang University School of Medicine [20240412]</t>
  </si>
  <si>
    <t>Natural Science Foundation of China (National Natural Science Foundation of China (NSFC)); Education Reform Project of the Second Affiliated Hospital Zhejiang University School of Medicine</t>
  </si>
  <si>
    <t>This work was financially supported by the Natural Science Foundation of China (grant number 82201195, 82204713), and the Education Reform Project of the Second Affiliated Hospital Zhejiang University School of Medicine (grant number 20240412).</t>
  </si>
  <si>
    <t>[Yin, Houfa; Shen, Lixia; Cai, Haiyan; Wu, Wei; Jin, Kai] Zhejiang Univ, Affiliated Hosp 2, Eye Ctr, Sch Med, Hangzhou, Peoples R China; [Yin, Houfa; Shen, Lixia; Cai, Haiyan; Wu, Wei; Jin, Kai] Zhejiang Prov Engn Inst Eye Dis, Zhejiang Prov Clin Res Ctr Eye Dis, Zhejiang Prov Key Lab Ophthalmol, Hangzhou, Peoples R China; [Grzybowski, Andrzej] Univ Warmia &amp; Mazury, Dept Ophthalmol, Olsztyn, Poland; [Grzybowski, Andrzej] Fdn Ophthalmol Dev, Inst Res Ophthalmol, Poznan, Poland</t>
  </si>
  <si>
    <t>Zhejiang University; University of Warmia &amp; Mazury</t>
  </si>
  <si>
    <t>Comparative evaluation of large language models and clinicians in real-world glaucoma clinical reasoning</t>
  </si>
  <si>
    <t>GRAEFES ARCHIVE FOR CLINICAL AND EXPERIMENTAL OPHTHALMOLOGY</t>
  </si>
  <si>
    <t>Glaucoma; Artificial intelligence; Large language models; Clinical reasoning; Decision support</t>
  </si>
  <si>
    <t>INTELLIGENCE</t>
  </si>
  <si>
    <t>Jin, Kai/GRS-2857-2022</t>
  </si>
  <si>
    <t>0721-832X</t>
  </si>
  <si>
    <t>1435-702X</t>
  </si>
  <si>
    <t>GRAEF ARCH CLIN EXP</t>
  </si>
  <si>
    <t>Graefes Arch. Clin. Exp. Ophthalmol.</t>
  </si>
  <si>
    <t>10.1007/s00417-026-07442-7</t>
  </si>
  <si>
    <t>http://dx.doi.org/10.1007/s00417-026-07442-7</t>
  </si>
  <si>
    <t>MG7IB</t>
  </si>
  <si>
    <t>42560500</t>
  </si>
  <si>
    <t>WOS:001841839700001</t>
  </si>
  <si>
    <t>Yao, Y; Cen, XX; Gan, L; Jiang, JH; Wang, M; Xu, YH; Yuan, JY</t>
  </si>
  <si>
    <t>Background: Accurate staging of esophageal cancer is crucial for determining prognosis and guiding treatment strategies, but manual interpretation of radiology reports by clinicians is prone to variability and limited accuracy, resulting in reduced staging accuracy. Recent advances in large language models (LLMs) have shown promise in medical applications, but their utility in esophageal cancer staging remains underexplored. Objective: This study aims to compare the performance of 3 locally deployed LLMs (INF-72B, Qwen2.5-72B, and LLaMA3.1-70B) and clinicians in preoperative esophageal cancer staging using free-text radiology reports. Methods: This retrospective study included 200 patients from Shanghai Chest Hospital who underwent esophageal cancer surgery from May to December 2024. The dataset consisted of 1134 Chinese free-text radiology reports. The reference standard was derived from postoperative pathological staging. A total of 3 LLMs determined tumor classification (T1-T4), node classification (N0-N3), and overall staging (I-IV) using 3 prompting strategies (zero-shot, chain-of-thought, and a proposed interpretable reasoning [IR] method). The McNemar test and Pearson chi-square test were used for comparisons. Results: INF-72B+IR achieved a superior overall staging accuracy of 61.5% and an F-1-score of 0.60, substantially higher than the clinicians' accuracy of 39.5% and F-1-score of 0.39 (all P&lt;.001). Qwen2.5-72B+IR also demonstrated an advantage, achieving an overall staging accuracy of 46% and an F-1-score of 0.51, which was better than the clinicians' performance (P&lt;.001). LLaMA3.1-70B showed no statistically significant difference in overall staging performance compared to clinicians (all P&gt;0.5) Conclusions: This study demonstrates that LLMs, particularly when guided by the proposed IR strategy, can accurately and reliably perform esophageal cancer staging from free-text radiology reports. This approach not only provides high-performance predictions but also offers a transparent and verifiable reasoning process, highlighting its potential as a valuable decision-support tool to augment human expertise in complex clinical diagnostic tasks.</t>
  </si>
  <si>
    <t>Yao, Yao; Cen, Xingxing; Gan, Lu; Jiang, Jiehui; Wang, Min; Xu, Yinghui; Yuan, Junyi</t>
  </si>
  <si>
    <t>Yuan, JY (corresponding author), Shanghai Jiao Tong Univ, Shanghai Chest Hosp, Informat Ctr, Sch Med, 241 West Huaihai Rd, Shanghai 200030, Peoples R China.</t>
  </si>
  <si>
    <t>yuanjunyi_yjy@163.com</t>
  </si>
  <si>
    <t>Shanghai Municipal Commission of Economy and Informatization [2024-GZL-RGZN-02011]</t>
  </si>
  <si>
    <t>Shanghai Municipal Commission of Economy and Informatization</t>
  </si>
  <si>
    <t>Acknowledgments This research was funded by Shanghai Municipal Commission of Economy and Informatization (grant 2024-GZL-RGZN-02011) .</t>
  </si>
  <si>
    <t>[Yao, Yao; Cen, Xingxing; Yuan, Junyi] Shanghai Jiao Tong Univ, Shanghai Chest Hosp, Informat Ctr, Sch Med, 241 West Huaihai Rd, Shanghai 200030, Peoples R China; [Gan, Lu] INF Technol, Dept Healthcare, Shanghai, Peoples R China; [Jiang, Jiehui; Wang, Min] Shanghai Univ, Sch Life Sci, Shanghai, Peoples R China; [Xu, Yinghui] Fudan Univ, Artificial Intelligence Innovat &amp; Incubat Inst, Shanghai, Peoples R China</t>
  </si>
  <si>
    <t>Shanghai Jiao Tong University; Shanghai University; Fudan University</t>
  </si>
  <si>
    <t>Automated Esophageal Cancer Staging From Free-Text Radiology Reports: Large Language Model Evaluation Study</t>
  </si>
  <si>
    <t>large language model; esophageal cancer; cancer staging; tumor-node metastasis; TNM; radiology report</t>
  </si>
  <si>
    <t>Jiang, jiehui/ABA-5060-2020; Wang, Min/AAM-8419-2020</t>
  </si>
  <si>
    <t>姚, 尧/0000-0002-4979-7204; yuan, junyi/0000-0002-3143-1343; Jiang, jiehui/0000-0003-4948-3683; Wang, Min/0000-0002-3436-4246</t>
  </si>
  <si>
    <t>e75556</t>
  </si>
  <si>
    <t>10.2196/75556</t>
  </si>
  <si>
    <t>http://dx.doi.org/10.2196/75556</t>
  </si>
  <si>
    <t>9EO3D</t>
  </si>
  <si>
    <t>41105871</t>
  </si>
  <si>
    <t>WOS:001604476800001</t>
  </si>
  <si>
    <t>Fu, B; Liu, D; Bai, J</t>
  </si>
  <si>
    <t>Introduction: In vitro fertilization (IVF) and frozen-thawed embryo transfer (FET) are vital components of assisted reproductive technology. However, predicting pregnancy outcomes remains challenging due to various biological and clinical factors. Recent advances in artificial intelligence (AI) and machine learning (ML) have shown the potential in offering innovative solutions for forecasting reproductive success. Objective: This study explores the use of large language models, specifically ChatGPT-4o, to optimize ML models for predicting pregnancy outcomes in IVF. Methods: The clinical dataset comprised 1061 IVF patients who underwent FET from 2014 to 2017, including variables such as age, body mass index, infertility duration, endometrial thickness, and serum beta-human chorionic gonadotrophin ((3-HCG) levels on the 7th day after FET. ChatGPT-4o was tasked with preprocessing the data, evaluating several ML models, and optimizing performance. Results:The random forest model emerged as the best-performing model, achieving an accuracy of 85.45% and an area under the receiver operating characteristic curve of 0.8287 after applying the optimal threshold of 0.548, indicating strong predictive capability. Feature importance analysis revealed that serum (3-HCG levels on the 7th day after FET were the most influential predictor of pregnancy outcomes. Despite these promising results, the study noted potential overfitting, likely due to the limited training dataset, a constraint largely attributable to the computational limitations of ChatGPT-4o. Conclusion: ChatGPT-4o shows potential in enhancing ML models in IVF outcome prediction. While AI-driven models can significantly aid clinical decision-making, clinicians should maintain a central role in patient outcome predictions. Future work will focus on improving model generalization with larger datasets and enhanced computational resources.</t>
  </si>
  <si>
    <t>Fu, Bo; Liu, Di; Bai, Jing</t>
  </si>
  <si>
    <t>Bai, J (corresponding author), Heilongjiang Univ Chinese Med, Coll Med Informat Engn, Harbin, Heilongjiang, Peoples R China.</t>
  </si>
  <si>
    <t>baijing@hljucm.edu.cn</t>
  </si>
  <si>
    <t>Heilongjiang Provincial Research Institutes Research Business Fund Project [CZKYF2024-1-B006]</t>
  </si>
  <si>
    <t>Heilongjiang Provincial Research Institutes Research Business Fund Project</t>
  </si>
  <si>
    <t>This work was funded by Heilongjiang Provincial Research Institutes Research Business Fund Project (CZKYF2024-1-B006) .</t>
  </si>
  <si>
    <t>[Fu, Bo; Liu, Di] Heilongjiang Acad Agr Sci, Inst Anim Husb, Harbin, Heilongjiang, Peoples R China; [Fu, Bo; Liu, Di] Minist Agr &amp; Rural Affairs, Key Lab Combining Farming &amp; Anim Husb, Harbin, Heilongjiang, Peoples R China; [Bai, Jing] Heilongjiang Univ Chinese Med, Coll Med Informat Engn, Harbin, Heilongjiang, Peoples R China</t>
  </si>
  <si>
    <t>Heilongjiang Academy of Agricultural Sciences; Heilongjiang University of Chinese Medicine</t>
  </si>
  <si>
    <t>Bridging clinical knowledge and machine learning: Leveraging large language models to predict in vitro fertilization outcomes</t>
  </si>
  <si>
    <t>EURASIAN JOURNAL OF MEDICINE AND ONCOLOGY</t>
  </si>
  <si>
    <t>In vitro fertilization; Pregnancy prediction; Large language models; Machine learning; Assisted reproductive technology</t>
  </si>
  <si>
    <t>HEART-FAILURE; HCG</t>
  </si>
  <si>
    <t>Accscience Publishing</t>
  </si>
  <si>
    <t>Singapore</t>
  </si>
  <si>
    <t>8 Burn Road#15-03 Trivex, Singapore, SINGAPORE</t>
  </si>
  <si>
    <t>2587-196X</t>
  </si>
  <si>
    <t>EURASIAN J MED ONCOL</t>
  </si>
  <si>
    <t>Eurasian J. Med. Oncol.</t>
  </si>
  <si>
    <t>168</t>
  </si>
  <si>
    <t>177</t>
  </si>
  <si>
    <t>10.36922/EJMO025120058</t>
  </si>
  <si>
    <t>http://dx.doi.org/10.36922/EJMO025120058</t>
  </si>
  <si>
    <t>Oncology; Medicine, General &amp; Internal</t>
  </si>
  <si>
    <t>Oncology; General &amp; Internal Medicine</t>
  </si>
  <si>
    <t>AL9CE</t>
  </si>
  <si>
    <t>WOS:001651228400014</t>
  </si>
  <si>
    <t>Mayer, Y; Canullo, L; Kivovics, M; Giladi, HZ; Gabay, E; Ginesin, O</t>
  </si>
  <si>
    <t>Objectives: To compare expert-rated diagnostic accuracy, patient safety, completeness of management, and freedom from detectable hallucinations across eleven conversational artificial-intelligence (AI) platforms (general-purpose large language models [LLMs], a general-purpose retrieval-augmented [RAG] platform, and a medical-domain RAG platform) using synthetic vignettes of dental implant complications. Methods: Thirty vignettes (10 surgical, 10 biological, 10 mechanical/prosthetic) were submitted as independent prompts to each platform. Four blinded specialists (periodontists or oral and maxillofacial surgeons, &gt;10 years' implant experience) scored each response on a 5-point Likert scale across four parameters. Friedman tests (Kendall's W effect size) assessed ordinal scores, and Cochran's Q tested two binary outcomes: safe (Safety &gt; 4) and hallucination-free (Hallucinations &gt; 4). Results: Across 330 responses (1320 ratings), OpenEvidence achieved 100% safe and 100% hallucination-free responses. Among general-purpose platforms, safe rates ranged from 56.7% (Claude 4.5 Haiku) to 86.7% (Perplexity) and hallucination-free rates from 36.7% (Claude 4.5 Haiku) to 93.3% (GPT-5.4 Thinking; Qwen 3.5Plus), both significant (Cochran's Q, p &lt; 0.01). Friedman tests were significant for every parameter (lowest p = 1.7 &amp; times; 10(-15); Kendall's W 0.126-0.293). OpenEvidence had the highest composite score (4.90 +/- 0.18), with the largest effects in the mechanical/prosthetic subcategory (W = 0.548, large). Conclusions: Within a vignette-based design, the medical-domain RAG platform (OpenEvidence) achieved the highest ratings across all domains, with Perplexity second; among general-purpose LLMs, GPT-5.4 Thinking, Claude Opus, and Mistral led. These findings reflect performance under tested conditions, not real-world efficacy. All platforms should serve as adjuncts to specialist judgement, and prospective validation is required before clinical deployment. Clinical Significance: Retrieval-augmented platforms grounded in peer-reviewed literature earned higher expert ratings than general-purpose LLMs, with the medical-domain platform OpenEvidence rated 100% safe and hallucination-free. Inter-model gaps were largest for mechanical/prosthetic cases; specialist verification remains essential before clinical use.</t>
  </si>
  <si>
    <t>Mayer, Yaniv; Canullo, Luigi; Kivovics, Marton; Giladi, Hadar Zigdon; Gabay, Eran; Ginesin, Ofir</t>
  </si>
  <si>
    <t>Mayer, Y (corresponding author), Rambam Hlth Care Campus, Sch Grad Dent, Dept Periodontol, HaAliya HaShniya St 8, IL-3109601 Haifa, Israel.</t>
  </si>
  <si>
    <t>[Mayer, Yaniv; Giladi, Hadar Zigdon; Gabay, Eran; Ginesin, Ofir] Technion Israel Inst Technol, Ruth &amp; Bruce Rappaport Fac Med, Haifa, Israel; [Mayer, Yaniv; Giladi, Hadar Zigdon; Gabay, Eran; Ginesin, Ofir] Rambam Hlth Care Campus, Dept Periodontol, Haifa, Israel; [Canullo, Luigi] Univ St Camillus, Dept Prosthodont, I-00139 Rome, Italy; [Kivovics, Marton] Semmelweis Univ, Dept Publ Dent Hlth, Budapest, Hungary</t>
  </si>
  <si>
    <t>Technion Israel Institute of Technology; Rappaport Faculty of Medicine; Technion Israel Institute of Technology; Rambam Health Care Campus; Semmelweis University</t>
  </si>
  <si>
    <t>Large language models and retrieval-augmented platforms for dental implant complications: A blinded, expert-rated benchmarking study</t>
  </si>
  <si>
    <t>JOURNAL OF DENTISTRY</t>
  </si>
  <si>
    <t>Artificial intelligence; Large language models; Retrieval-augmented generation; Dental implants; Peri-implantitis; Clinical decision support; Hallucinations</t>
  </si>
  <si>
    <t>CONSENSUS REPORT; PLACEMENT; SURVIVAL</t>
  </si>
  <si>
    <t>0300-5712</t>
  </si>
  <si>
    <t>1879-176X</t>
  </si>
  <si>
    <t>J DENT</t>
  </si>
  <si>
    <t>J. Dent.</t>
  </si>
  <si>
    <t>DEC 2026</t>
  </si>
  <si>
    <t>106828</t>
  </si>
  <si>
    <t>10.1016/j.jdent.2026.106828</t>
  </si>
  <si>
    <t>http://dx.doi.org/10.1016/j.jdent.2026.106828</t>
  </si>
  <si>
    <t>MJ9BY</t>
  </si>
  <si>
    <t>42269758</t>
  </si>
  <si>
    <t>WOS:001843998200001</t>
  </si>
  <si>
    <t>Ayoub, M; Zhao, H; Li, LF; Yang, DJ; Hussain, S; Wahid, JA</t>
  </si>
  <si>
    <t>BackgroundApplying large language models to medicine faces critical trust challenges in diagnostic reasoning. Existing approaches often fail to generalize across different models and datasets, particularly those covering a wide range of diseases and diverse patient records. This study aims to develop a universal model-based clinical framework that improves diagnostic performance while providing explainable reasoning.MethodsWe introduce a structured clinical approach that replicates real-world diagnostic workflows. Patient narratives are first transformed into labeled clinical components. A validation mechanism then checks model-generated diagnoses using a disease knowledge algorithm. Additionally, a stepwise decision-making model simulates consultations progressing from junior to senior clinicians to refine diagnostic reasoning. The framework is evaluated across multiple large language models and clinical reasoning datasets using standard diagnostic accuracy metrics.ResultsHere we show that our approach outperforms existing prompting methods across six large language models and two clinical datasets. One model achieves the highest diagnostic F1 scores (0.93 on NEJM, 0.95 on MedCaseReasoning) with minimal misclassification (1 false positive and 3 false negatives). It also attains the best text-based reasoning scores on NEJM, demonstrating effective, explainable clinical outputs. When validated on real-time electronic health record data, the method shows high diagnostic accuracy (0.91) and human-like rationales (4.5 out of 5), confirming its applicability in real-world clinical settings.ConclusionsThese findings confirm the robustness and generalizability of our framework, highlighting its potential for reliable, scalable, and explainable clinical decision support across diverse models and datasets.</t>
  </si>
  <si>
    <t>Ayoub, Muhammad; Zhao, Hai; Li, Lifeng; Yang, Dongjie; Hussain, Shabir; Wahid, Junaid Abdul</t>
  </si>
  <si>
    <t>Zhao, H (corresponding author), Shanghai Jiao Tong Univ, AGI Inst, Sch Comp Sci, Shanghai, Peoples R China.; Zhao, H (corresponding author), Shanghai Key Lab Trusted Data Circulat &amp; Governanc, Shanghai, Peoples R China.; Zhao, H (corresponding author), Web3, Shanghai, Peoples R China.</t>
  </si>
  <si>
    <t>zhaohai@cs.sjtu.edu.cn</t>
  </si>
  <si>
    <t>Shanghai Jiao Tong University 2030 Initiative and The Major Program of Chinese National Foundation of Social Sciences under Grant and The Challenge and Governance of Smart Media on News Authenticity. No. 23ZD213; This work is funded by National Natural Science Foundation of China (NSFC) Grant number:W2542038; National Natural Science Foundation of China (National Science Foundation of China) [W2542038]</t>
  </si>
  <si>
    <t>Shanghai Jiao Tong University 2030 Initiative and The Major Program of Chinese National Foundation of Social Sciences under Grant and The Challenge and Governance of Smart Media on News Authenticity. No. 23ZD213; This work is funded by National Natural Science Foundation of China (NSFC) Grant number:W2542038 (National Natural Science Foundation of China (NSFC)); National Natural Science Foundation of China (National Science Foundation of China) (National Natural Science Foundation of China (NSFC))</t>
  </si>
  <si>
    <t>This work is funded by the National Natural Science Foundation of China (NSFC) Grant number: W2542038, the Shanghai Jiao Tong University 2030 Initiative, and the Major Program of the Chinese National Foundation of Social Sciences under Grant No. 23&amp;ZD213.</t>
  </si>
  <si>
    <t>[Ayoub, Muhammad; Zhao, Hai; Yang, Dongjie] Shanghai Jiao Tong Univ, AGI Inst, Sch Comp Sci, Shanghai, Peoples R China; [Ayoub, Muhammad; Zhao, Hai; Yang, Dongjie] Shanghai Key Lab Trusted Data Circulat &amp; Governanc, Shanghai, Peoples R China; [Ayoub, Muhammad; Zhao, Hai; Yang, Dongjie] Web3, Shanghai, Peoples R China; [Li, Lifeng] Nanchang Univ, Affiliated Hosp 1, Jiangxi Med Coll, Dept Radiol, Nanchang, Jiangxi, Peoples R China; [Hussain, Shabir] Tsinghua Univ, Tsinghua Shenzhen Int Grad Sch, Inst Biopharmaceut &amp; Hlth Engn, Shenzhen, Guangdong, Peoples R China; [Wahid, Junaid Abdul] Zhengzhou Univ, Sch Comp &amp; Artificial Intelligence, Zhengzhou, Henan, Peoples R China</t>
  </si>
  <si>
    <t>Shanghai Jiao Tong University; Nanchang University; Tsinghua University; Tsinghua Shenzhen International Graduate School; Zhengzhou University</t>
  </si>
  <si>
    <t>Structured clinical approach to enable large language models to be used for improved clinical diagnosis and explainable reasoning</t>
  </si>
  <si>
    <t>COMMUNICATIONS MEDICINE</t>
  </si>
  <si>
    <t>Abdul Wahid, Junaid/IAP-0383-2023; Hussain, Shabir/PSK-4371-2026</t>
  </si>
  <si>
    <t>2730-664X</t>
  </si>
  <si>
    <t>COMMUN MED-LONDON</t>
  </si>
  <si>
    <t>Communications Med.</t>
  </si>
  <si>
    <t>JAN 9 2026</t>
  </si>
  <si>
    <t>10.1038/s43856-025-01348-x</t>
  </si>
  <si>
    <t>http://dx.doi.org/10.1038/s43856-025-01348-x</t>
  </si>
  <si>
    <t>Medicine, Research &amp; Experimental</t>
  </si>
  <si>
    <t>Research &amp; Experimental Medicine</t>
  </si>
  <si>
    <t>DE1LC</t>
  </si>
  <si>
    <t>41507533</t>
  </si>
  <si>
    <t>WOS:001681270600001</t>
  </si>
  <si>
    <t>Sun, XT; Hong, QY; Zhang, MY; Li, YY; Chen, TW; Huang, ZG; Liang, GH; Tang, WJ; Xu, SL; Ni, XL; Pang, JL; Wan, PX; Long, ER</t>
  </si>
  <si>
    <t>Medical reasoning is fundamental to clinical decision-making, underpinning tasks such as patient communication, diagnosis, and treatment planning. Inspired by psychological findings that peer interaction promotes self-correction, we introduce model confrontation and collaboration (MCC), a debate intelligence framework that transcends static ensemble methods by integrating critique and self-reflection to iteratively refine reasoning through structured, multi-round confrontation and collaboration among diverse large language models (LLMs). In multiple-choice benchmarks, MCC achieved mean accuracy on MedQA (92.6%) and PubMedQA (84.8%) and demonstrated strong performance on medical subsets of MMLU. In long-form medical question answering, MCC outperformed all individual LLMs and the domain-specific LLM Med-PaLM 2 in both physician and layperson evaluations. In diagnostic dialog tasks, MCC further excelled in both history-taking and diagnostic accuracy, reaching a top-1 diagnosis rate of 80%. These results position MCC as a scalable, model-agnostic framework that advances medical reasoning through collaborative deliberation.</t>
  </si>
  <si>
    <t>Sun, Xinti; Hong, Qiyang; Zhang, Mengyan; Li, Yuyan; Chen, Tingwei; Huang, Zigeng; Liang, Guihan; Tang, Wenjun; Xu, Sulin; Ni, Xiaolin; Pang, Junling; Wan, Peixing; Long, Erping</t>
  </si>
  <si>
    <t>Long, ER (corresponding author), Chinese Acad Med Sci &amp; Peking Union Med Coll, Inst Basic Med Sci, State Key Lab Resp Hlth &amp; Multimorbid, Beijing, Peoples R China.; Wan, PX (corresponding author), Peking Univ, Sch Basic Med Sci, Beijing, Peoples R China.</t>
  </si>
  <si>
    <t>erping.long@ibms.pumc.edu.cn; peixing@bjmu.edu.cn</t>
  </si>
  <si>
    <t>National Natural Science Foundation of China (Excellent Youth Scholars Program) [32300483, 32470635, 82090011]; National Key RD Program [2024ZD0528500]; State Key Laboratory Special Fund [2060204]; Chinese Academy of Medical Sciences Innovation Fund [2023-I2M-3-010, 2023-I2M-2-001]</t>
  </si>
  <si>
    <t>National Natural Science Foundation of China (Excellent Youth Scholars Program); National Key RD Program; State Key Laboratory Special Fund; Chinese Academy of Medical Sciences Innovation Fund</t>
  </si>
  <si>
    <t>This study is supported by the National Natural Science Foundation of China (Excellent Youth Scholars Program, 32300483, 32470635, and 82090011) , the National Key R&amp;D Program (2024ZD0528500) , the State Key Laboratory Special Fund (2060204) , and the Chinese Academy of Medical Sciences Innovation Fund (2023-I2M-3-010 and 2023-I2M-2-001) . We thank the Bioinformatics Center of Institute of Basic Medical Sciences and High-Performance Computing Center of Chinese Academy of Medical Sciences for computing support.</t>
  </si>
  <si>
    <t>[Sun, Xinti; Hong, Qiyang; Zhang, Mengyan; Li, Yuyan; Chen, Tingwei; Huang, Zigeng; Tang, Wenjun; Xu, Sulin; Ni, Xiaolin; Pang, Junling; Long, Erping] Chinese Acad Med Sci &amp; Peking Union Med Coll, Inst Basic Med Sci, State Key Lab Resp Hlth &amp; Multimorbid, Beijing, Peoples R China; [Liang, Guihan; Wan, Peixing] Peking Univ, Sch Basic Med Sci, Beijing, Peoples R China</t>
  </si>
  <si>
    <t>Chinese Academy of Medical Sciences - Peking Union Medical College; Institute of Basic Medical Sciences - CAMS; Peking Union Medical College; Peking University</t>
  </si>
  <si>
    <t>Model confrontation and collaboration: A debate intelligence framework for enhancing medical reasoning in large language models</t>
  </si>
  <si>
    <t>CELL REPORTS MEDICINE</t>
  </si>
  <si>
    <t>Hong, Qiyang/QWC-2070-2026</t>
  </si>
  <si>
    <t>Hong, Qiyang/0009-0002-2522-3713</t>
  </si>
  <si>
    <t>CELL PRESS</t>
  </si>
  <si>
    <t>CAMBRIDGE</t>
  </si>
  <si>
    <t>50 HAMPSHIRE ST, FLOOR 5, CAMBRIDGE, MA 02139 USA</t>
  </si>
  <si>
    <t>2666-3791</t>
  </si>
  <si>
    <t>CELL REP MED</t>
  </si>
  <si>
    <t>Cell Rep. Med.</t>
  </si>
  <si>
    <t>JAN 20 2026</t>
  </si>
  <si>
    <t>102547</t>
  </si>
  <si>
    <t>10.1016/j.xcrm.2025.102547</t>
  </si>
  <si>
    <t>http://dx.doi.org/10.1016/j.xcrm.2025.102547</t>
  </si>
  <si>
    <t>Cell Biology; Medicine, Research &amp; Experimental</t>
  </si>
  <si>
    <t>Cell Biology; Research &amp; Experimental Medicine</t>
  </si>
  <si>
    <t>CX2ZH</t>
  </si>
  <si>
    <t>41494532</t>
  </si>
  <si>
    <t>WOS:001676625200001</t>
  </si>
  <si>
    <t>Liu, DL; Zhou, XP; Li, Y</t>
  </si>
  <si>
    <t>The operational data generated by variable air volume (VAV) systems provides rich information for intelligent control and fault detection, and diagnosis (FDD). However, traditional model-based and data-driven approaches rely heavily on accurate system modeling or large labeled datasets, limiting their adaptability and interpretability across diverse buildings. To address these challenges, this study proposes a large language model (LLM)-driven multi-agent framework that performs health inspection of VAV terminal units through structured expert knowledge reasoning rather than supervised learning. The framework is developed under the GBF (Gaia-BDI-FIPA) architecture, which defines three cooperating agents - the Planner, Executor, and Reporter - to structure organizational, cognitive, and communicative reasoning. The Planner interprets expert rules into executable diagnostic tasks, the Executor performs quantitative analyses with iterative self-correction, and the Reporter integrates verified results into interpretable health assessments. This design transforms static textual knowledge into adaptive, data-driven diagnostics capable of dynamic reasoning and validation. A case study on 29 VAV boxes demonstrates that the proposed framework achieves complete consistency with manually labeled ground truths and significantly outperforms a monolithic LLM baseline in task completeness, execution reliability, and diagnostic accuracy.</t>
  </si>
  <si>
    <t>Liu, Deli; Zhou, Xiaoping; Li, Yu</t>
  </si>
  <si>
    <t>Zhou, XP (corresponding author), Beijing Univ Civil Engn &amp; Architecture, 1 Zhanlanguan Rd, Beijing 100044, Peoples R China.</t>
  </si>
  <si>
    <t>zhouxiaoping@bucea.edu.cn</t>
  </si>
  <si>
    <t>BUCEA Post Graduate Innovation Project [PG2026113]</t>
  </si>
  <si>
    <t>BUCEA Post Graduate Innovation Project</t>
  </si>
  <si>
    <t>This study is sponsored by the BUCEA Post Graduate Innovation Project (PG2026113)</t>
  </si>
  <si>
    <t>[Liu, Deli; Zhou, Xiaoping; Li, Yu] Beijing Univ Civil Engn &amp; Architecture, 1 Zhanlanguan Rd, Beijing 100044, Peoples R China</t>
  </si>
  <si>
    <t>Beijing University of Civil Engineering &amp; Architecture</t>
  </si>
  <si>
    <t>Large language model-driven multi-agent framework for fault detection and diagnostics of variable air volume boxes</t>
  </si>
  <si>
    <t>ARCHITECTURAL ENGINEERING AND DESIGN MANAGEMENT</t>
  </si>
  <si>
    <t>Variable air volume (VAV); large language model (LLM); multi-agent; fault detection and diagnostics (FDD)</t>
  </si>
  <si>
    <t>KNOWLEDGE; SYSTEMS</t>
  </si>
  <si>
    <t>Zhou, Xiaoping/L-2980-2019</t>
  </si>
  <si>
    <t>53</t>
  </si>
  <si>
    <t>TAYLOR &amp; FRANCIS LTD</t>
  </si>
  <si>
    <t>ABINGDON</t>
  </si>
  <si>
    <t>2-4 PARK SQUARE, MILTON PARK, ABINGDON OR14 4RN, OXON, ENGLAND</t>
  </si>
  <si>
    <t>1745-2007</t>
  </si>
  <si>
    <t>1752-7589</t>
  </si>
  <si>
    <t>ARCHIT ENG DES MANAG</t>
  </si>
  <si>
    <t>Archit. Eng. Des. Manag.</t>
  </si>
  <si>
    <t>MAY 4 2026</t>
  </si>
  <si>
    <t>791</t>
  </si>
  <si>
    <t>808</t>
  </si>
  <si>
    <t>10.1080/17452007.2026.2647805</t>
  </si>
  <si>
    <t>http://dx.doi.org/10.1080/17452007.2026.2647805</t>
  </si>
  <si>
    <t>Construction &amp; Building Technology; Engineering, Civil</t>
  </si>
  <si>
    <t>Construction &amp; Building Technology; Engineering</t>
  </si>
  <si>
    <t>ME5WV</t>
  </si>
  <si>
    <t>WOS:001720530900001</t>
  </si>
  <si>
    <t>Sun, MQ; Yu, J; Long, ZH; Yang, Y; Xiao, T; Liang, JQ; Feng, J; Deng, HL; Huang, GP</t>
  </si>
  <si>
    <t>Background: Psychiatric disorders are diagnostically challenging and often rely on subjective clinical judgment, particularly in resource-limited settings. Large language models (LLMs) have demonstrated potential in supporting psychiatric diagnosis; however, robust evidence from large-scale, real-world clinical data remains limited. Objective: This study aimed to evaluate and compare the diagnostic performance of multiple LLMs for psychiatric disorders using multicenter real-world electronic health records (EHRs). Methods: We retrospectively analyzed 9923 inpatient EHRs collected from 6 psychiatric centers across China, encompassing all ICD-10 (International Statistical Classification of Diseases, Tenth Revision) psychiatric categories. In total, 3 LLMs-GPT-4.0 (OpenAI), GPT-3.5 (OpenAI), and GLM-4-Plus (Zhipu AI)-were evaluated against physician-confirmed discharge diagnoses. Diagnostic performance was assessed using strict accuracy criteria and lenient classification metrics, with subgroup analyses conducted across diagnostic categoriesand age groups. Results: GPT-4.0 achieved the highest overall strict diagnostic accuracy (71.7%) and the highest weighted F1-score under lenient evaluation (0.881), particularly for high-prevalence disorders, such as mood disorders and schizophrenia spectrum disorders. Diagnostic performance varied across age groups, with the highest accuracy observed in older adult patients (up to 79.5%) and lower accuracy in adolescents. Across centers, model performance remained stable, with no significant intercenter differences. Conclusions:LLMs-especially GPT-4.0-demonstrate promising capability in supporting psychiatric diagnosis using real-world EHRs. However, diagnostic performance varies by age group and disorder category. LLMs should be regarded as assistive tools rather than replacements for clinical judgment, and further validation is needed before routine clinical implementation.</t>
  </si>
  <si>
    <t>Sun, Maoqian; Yu, Jia; Long, Zhuhong; Yang, Yun; Xiao, Tao; Liang, Jiaquan; Feng, Jun; Deng, Huaili; Huang, Guoping</t>
  </si>
  <si>
    <t>Huang, GP (corresponding author), Third Hosp Mianyang, Sichuan Mental Hlth Ctr, 190,East Sect Jiannan Rd, Mianyang 621000, Peoples R China.</t>
  </si>
  <si>
    <t>xyhuanggp@126.com</t>
  </si>
  <si>
    <t>[Sun, Maoqian] Chongqing Med Univ, Mental Hlth Ctr, Univ Town Hosp, Chongqing, Peoples R China; [Sun, Maoqian; Long, Zhuhong; Yang, Yun; Huang, Guoping] Third Hosp Mianyang, Sichuan Mental Hlth Ctr, 190,East Sect Jiannan Rd, Mianyang 621000, Peoples R China; [Yu, Jia] Third Peoples Hosp Panzhihua, Panzhihua, Peoples R China; [Xiao, Tao] Third Peoples Hosp Ganzhou, Ganzhou, Peoples R China; [Liang, Jiaquan] Third Peoples Hosp Foshan, Foshan, Peoples R China; [Feng, Jun] Lanzhou Third Peoples Hosp, Lanzhou, Peoples R China; [Deng, Huaili] Shanxi Prov Mental Hlth Ctr, Taiyuan, Peoples R China</t>
  </si>
  <si>
    <t>Chongqing Medical University</t>
  </si>
  <si>
    <t>Large Language Models for Psychiatric Diagnosis Based on Multicenter Real-World Clinical Records: Comparative Study</t>
  </si>
  <si>
    <t>psychiatric disorders; large language models; artificial intelligence; multicenter study; real-world data</t>
  </si>
  <si>
    <t>MENTAL-DISORDERS</t>
  </si>
  <si>
    <t>Long, zhuhong/0009-0000-9971-8896; Maoqian, Sun/0009-0002-0050-982X; 肖, 涛/0000-0001-6674-5775</t>
  </si>
  <si>
    <t>e77699</t>
  </si>
  <si>
    <t>10.2196/77699</t>
  </si>
  <si>
    <t>http://dx.doi.org/10.2196/77699</t>
  </si>
  <si>
    <t>CM6QF</t>
  </si>
  <si>
    <t>41408781</t>
  </si>
  <si>
    <t>WOS:001669412900002</t>
  </si>
  <si>
    <t>Liu, ZK; Nalley, A; Hao, J; Ai, QYH; Yeung, AWK; Tanaka, R; Hung, KF</t>
  </si>
  <si>
    <t>Objectives This study aimed to systematically review the current performance of large language models (LLMs) in dento-maxillofacial radiology (DMFR).Methods Five electronic databases were used to identify studies that developed, fine-tuned, or evaluated LLMs for DMFR-related tasks. Data extracted included study purpose, LLM type, images/text source, applied language, dataset characteristics, input and output, performance outcomes, evaluation methods, and reference standards. Customized assessment criteria adapted from the TRIPOD-LLM reporting guideline were used to evaluate the risk-of-bias in the included studies specifically regarding the clarity of dataset origin, the robustness of performance evaluation methods, and the validity of the reference standards.Results The initial search yielded 1621 titles, and 19 studies were included. These studies investigated the use of LLMs for tasks including the production and answering of DMFR-related qualification exams and educational questions (n = 8), diagnosis and treatment recommendations (n = 7), and radiology report generation and patient communication (n = 4). LLMs demonstrated varied performance in diagnosing dental conditions, with accuracy ranging from 37% to 92.5% and expert ratings for differential diagnosis and treatment planning between 3.6 and 4.7 on a 5-point scale. For DMFR-related qualification exams and board-style questions, LLMs achieved correctness rates between 33.3% and 86.1%. Automated radiology report generation showed moderate performance with accuracy ranging from 70.4% to 81.3%.Conclusions LLMs demonstrate promising potential in DMFR, particularly for diagnostic, educational, and report generation tasks. However, their current accuracy, completeness, and consistency remain variable. Further development, validation, and standardization are needed before LLMs can be reliably integrated as supportive tools in clinical workflows and educational settings.</t>
  </si>
  <si>
    <t>Liu, Zekai; Nalley, Andrew; Hao, Jing; Ai, Qi Yong H.; Yeung, Andy Wai Kan; Tanaka, Ray; Hung, Kuo Feng</t>
  </si>
  <si>
    <t>Hung, KF (corresponding author), Univ Hong Kong, Fac Dent, 34 Hosp Rd, Hong Kong 999077, Peoples R China.</t>
  </si>
  <si>
    <t>hungkfg@hku.hk</t>
  </si>
  <si>
    <t>HKU URC Seed Fund for Basic Research for New Staff and Matching Fund [103036002]</t>
  </si>
  <si>
    <t>HKU URC Seed Fund for Basic Research for New Staff and Matching Fund</t>
  </si>
  <si>
    <t>This study was supported by the HKU URC Seed Fund for Basic Research for New Staff and Matching Fund (103036002).</t>
  </si>
  <si>
    <t>[Liu, Zekai; Nalley, Andrew; Hao, Jing; Yeung, Andy Wai Kan; Tanaka, Ray; Hung, Kuo Feng] Univ Hong Kong, Fac Dent, Div Appl Oral Sci &amp; Community Dent Care, Oral &amp; Maxillofacial Radiol, Hong Kong 999077, Peoples R China; [Ai, Qi Yong H.] Univ Hong Kong, Li Ka Shing Fac Med, Dept Diagnost Radiol, Hong Kong 999077, Peoples R China</t>
  </si>
  <si>
    <t>University of Hong Kong; University of Hong Kong</t>
  </si>
  <si>
    <t>The performance of large language models in dentomaxillofacial radiology: a systematic review</t>
  </si>
  <si>
    <t>DENTOMAXILLOFACIAL RADIOLOGY</t>
  </si>
  <si>
    <t>generative artificial intelligence; large language models; chatbots; dento-maxillofacial radiology</t>
  </si>
  <si>
    <t>Yeung, Andy Wai Kan/M-4332-2019; Ai, Qiyong Hemis/JKH-8377-2023; Hung, Kuo Feng/AAL-7795-2021; liu, zekai/LZH-9403-2025</t>
  </si>
  <si>
    <t>Yeung, Andy Wai Kan/0000-0003-3672-357X; Ai, Qiyong Hemis/0000-0002-1155-4389; Hung, Kuo Feng/0000-0002-3971-3484</t>
  </si>
  <si>
    <t>0250-832X</t>
  </si>
  <si>
    <t>1476-542X</t>
  </si>
  <si>
    <t>DENTOMAXILLOFAC RAD</t>
  </si>
  <si>
    <t>Dentomaxillofac. Radiol.</t>
  </si>
  <si>
    <t>54</t>
  </si>
  <si>
    <t>613</t>
  </si>
  <si>
    <t>631</t>
  </si>
  <si>
    <t>10.1093/dmfr/twaf060</t>
  </si>
  <si>
    <t>http://dx.doi.org/10.1093/dmfr/twaf060</t>
  </si>
  <si>
    <t>Dentistry, Oral Surgery &amp; Medicine; Radiology, Nuclear Medicine &amp; Medical Imaging</t>
  </si>
  <si>
    <t>F7323</t>
  </si>
  <si>
    <t>40796316</t>
  </si>
  <si>
    <t>WOS:001564906600001</t>
  </si>
  <si>
    <t>Patel, A; Vallamchetla, SK; Safa, A; Tatit, C; Bestic, O; Knox, AK; Roberts, M; Tatum, WO; Freund, B</t>
  </si>
  <si>
    <t>Differentiating epileptic from functional seizures is a clinical challenge; while smartphone videos can aid diagnosis, they often require expert review, causing delays. We evaluated the accuracy of four successive multimodal large language models (LLMs), Gemini 1.5 Pro, 2.0 Flash, 2.5 Flash, and 2.5 Pro, in differentiating seizure types from smartphone videos without clinical context. In this prospective diagnostic study at a tertiary epilepsy center, 24 videos from 15 patients were analyzed, with video-electroencephalography monitoring as the gold standard. Of the 24 events (19 epileptic, 5 functional), diagnostic accuracy improved with successive models: Gemini 1.5 Pro (33.3%), Gemini 2.0 Flash (25.0%), and both Gemini 2.5 Flash and Pro (54.2%). In exploratory pairwise comparisons, Gemini 2.5 pro showed higher accuracy than Gemini 1.5 Pro (p = 0.01) and Gemini 2.0 Flash (p = 0.003). Performance was influenced by video features; for example, diagnosis was more accurate for the Gemini 2.5 models when videos focused on the upper body/face (80.0%-90.0%) compared to a whole-body view (28.6%-35.7%). All models reported high confidence scores (median 8.0-9.0) that were poorly aligned and did not correlate with correctness. Successive LLMs show improved yet modest accuracy for seizure classification from video alone, highlighting the need for domain-specific fine-tuning before clinical implementation.</t>
  </si>
  <si>
    <t>Patel, Anshum; Vallamchetla, Sai Krishna; Safa, Adrian; Tatit, Caroline; Bestic, Olivia; Knox, Alicia Kissinger; Roberts, Mark; Tatum, William O.; Freund, Brin</t>
  </si>
  <si>
    <t>Freund, B (corresponding author), Mayo Clin, Dept Neurol, 4500 Mellish Dr, Jacksonville, FL 32224 USA.</t>
  </si>
  <si>
    <t>Freund.Brin@mayo.edu</t>
  </si>
  <si>
    <t>[Patel, Anshum; Vallamchetla, Sai Krishna; Safa, Adrian; Tatit, Caroline; Bestic, Olivia; Knox, Alicia Kissinger; Tatum, William O.; Freund, Brin] Mayo Clin, Dept Neurol, 4500 Mellish Dr, Jacksonville, FL 32224 USA; [Roberts, Mark] Mayo Clin, Dept Informat Technol, Rochester, MN USA</t>
  </si>
  <si>
    <t>Mayo Clinic; Mayo Clinic</t>
  </si>
  <si>
    <t>Diagnostic accuracy of multimodal large language models in differentiating epileptic from functional seizures in smartphone recorded videos</t>
  </si>
  <si>
    <t>Large language models (LLMs); Artificial intelligence; Epilepsy; Seizure classification; Diagnostic accuracy; Clinical decision support</t>
  </si>
  <si>
    <t>Vallamchetla, Sai Krishna/OYE-6494-2025</t>
  </si>
  <si>
    <t>P. Tatit, Caroline/0000-0002-3213-5167</t>
  </si>
  <si>
    <t>APR 7 2026</t>
  </si>
  <si>
    <t>11719</t>
  </si>
  <si>
    <t>10.1038/s41598-026-46333-z</t>
  </si>
  <si>
    <t>http://dx.doi.org/10.1038/s41598-026-46333-z</t>
  </si>
  <si>
    <t>GG9VO</t>
  </si>
  <si>
    <t>41946796</t>
  </si>
  <si>
    <t>WOS:001736167900017</t>
  </si>
  <si>
    <t>Zaidat, B; Shrestha, N; Rosenberg, AM; Ahmed, W; Rajjoub, R; Hoang, T; Mejia, MR; Duey, AH; Tang, JE; Kim, JS; Cho, SK</t>
  </si>
  <si>
    <t>Objective: Large language models, such as chat generative pre -trained transformer (ChatGPT), have great potential for streamlining medical processes and assisting physicians in clinical decision -making. This study aimed to assess the potential of ChatGPT's 2 models (GPT-3 .5 and GPT-4. 0) to support clinical decision -making by comparing its responses for antibiotic prophylaxis in spine surgery to accepted clinical guidelines. Methods: ChatGPT models were prompted with questions from the North American Spine Society (NASS) Evidence -based Clinical Guidelines for Multidisciplinary Spine Care for Antibiotic Prophylaxis in Spine Surgery (2013). Its responses were then compared and assessed for accuracy. Results: Of the 16 NASS guideline questions concerning antibiotic prophylaxis, 10 responses (62. 5%) were accurate in ChatGPT's GPT-3. 5 model and 13 (81%) were accurate in GPT4.0. Twenty-five percent of GPT-3 .5 answers were deemed as overly confident while 62.5% of GPT-4. 0 answers directly used the NASS guideline as evidence for its response. Conclusion: ChatGPT demonstrated an impressive ability to accurately answer clinical questions. GPT-3 .5 model's performance was limited by its tendency to give overly confident responses and its inability to identify the most significant elements in its responses. GPT-4. 0 model's responses had higher accuracy and cited the NASS guideline as direct evidence many times. While GPT-4. 0 is still far from perfect, it has shown an exceptional ability to extract the most relevant research available compared to GPT-3.5. Thus, while ChatGPT has shown far-reaching potential, scrutiny should still be exercised regarding its clinical use at this time.</t>
  </si>
  <si>
    <t>Zaidat, Bashar; Shrestha, Nancy; Rosenberg, Ashley M.; Ahmed, Wasil; Rajjoub, Rami; Hoang, Timothy; Mejia, Mateo Restrepo; Duey, Akiro H.; Tang, Justin E.; Kim, Jun S.; Cho, Samuel K.</t>
  </si>
  <si>
    <t>Cho, SK (corresponding author), Icahn Sch Med Mt Sinai, Dept Orthoped Surg, 787 11th Ave,7th Floor, New York, NY 10019 USA.</t>
  </si>
  <si>
    <t>samuel.cho@mountsinai.org</t>
  </si>
  <si>
    <t>[Zaidat, Bashar; Shrestha, Nancy; Rosenberg, Ashley M.; Ahmed, Wasil; Rajjoub, Rami; Hoang, Timothy; Mejia, Mateo Restrepo; Duey, Akiro H.; Tang, Justin E.; Kim, Jun S.; Cho, Samuel K.] Icahn Sch Med Mt Sinai, Dept Orthoped Surg, 787 11th Ave,7th Floor, New York, NY 10019 USA</t>
  </si>
  <si>
    <t>Icahn School of Medicine at Mount Sinai</t>
  </si>
  <si>
    <t>Performance of a Large Language Model in the Generation of Clinical Guidelines for Antibiotic Prophylaxis in Spine Surgery</t>
  </si>
  <si>
    <t>NEUROSPINE</t>
  </si>
  <si>
    <t>Artificial intelligence; Antibiotic prophylaxis; Orthopedic surgery</t>
  </si>
  <si>
    <t>SURGICAL SITE INFECTION; ANTIMICROBIAL PROPHYLAXIS; RISK-FACTORS; VANCOMYCIN</t>
  </si>
  <si>
    <t>Rosenberg, Ashley/0000-0001-9029-445X; Duey, Akiro H/0000-0003-0308-0512; Shrestha, Nancy/0000-0003-0314-7748; Ahmed, Wasil/0009-0001-0904-1891; Tang, Justin/0000-0003-4544-3262; Hoang, Timothy/0000-0002-3012-3461; Zaidat, Bashar/0000-0002-8823-720X; Rajjoub, Rami/0009-0005-2990-7874; Restrepo Mejia, Mateo/0009-0003-0457-3308</t>
  </si>
  <si>
    <t>KOREAN SPINAL NEUROSURGERY SOC</t>
  </si>
  <si>
    <t>SEOUL</t>
  </si>
  <si>
    <t>ND #407, DONG-A VILLATE 2 TOWN, 350, SEOCHO-DAERO, SEOCHO-GU, SEOUL, 06631, SOUTH KOREA</t>
  </si>
  <si>
    <t>2586-6583</t>
  </si>
  <si>
    <t>2586-6591</t>
  </si>
  <si>
    <t>Neurospine</t>
  </si>
  <si>
    <t>MAR 2024</t>
  </si>
  <si>
    <t>146</t>
  </si>
  <si>
    <t>10.14245/ns.2347310.655</t>
  </si>
  <si>
    <t>http://dx.doi.org/10.14245/ns.2347310.655</t>
  </si>
  <si>
    <t>Clinical Neurology; Surgery</t>
  </si>
  <si>
    <t>Neurosciences &amp; Neurology; Surgery</t>
  </si>
  <si>
    <t>MX2Z8</t>
  </si>
  <si>
    <t>38569639</t>
  </si>
  <si>
    <t>WOS:001196883300002</t>
  </si>
  <si>
    <t>Signer, B; Mokhtari, A; Cazzaniga, S; Brand, F; Caro, G; De Viragh, PA; Heidemeyer, K; Hosseini, A; Iorizzo, M; Junge, A; Martignoni, Z; Reygagne, PE; Piraccini, BM; Starace, M; Reimer-Taschenbrecker, A; Vogel, C; Obrist, D; Jafari, SMS</t>
  </si>
  <si>
    <t>Background/Objectives: Trichoscopy is an important diagnostic tool for hair and scalp disorders, but it requires significant expertise. Publicly available large language models (LLMs) are becoming more popular among both physicians and patients, yet their usefulness in trichology is unknown. We aimed to evaluate the diagnostic accuracy of four publicly available LLMs when interpreting trichoscopic images, as well as to compare their performance with that of dermatology residents, board-certified dermatologists, and trichology experts. Method: In this prospective comparative study, a preprocessed set of trichoscopic images was assessed in an online image-based survey. To reduced recognition bias from public image repositories, all images were structurally transformed while preserving diagnostic features. Fifteen dermatologists (five residents, four board-certified dermatologists, six trichology experts) provided a suspected diagnosis (SD), and up to three the differential diagnoses (DD). Four LLMs (ChatGPT-4o, Claude Sonnet 4, Gemini 2.5 Flash, and Grok-3) evaluated the images under the same conditions. Results: The overall diagnostic accuracy among 15 dermatologists was 58.1% (95% CI, 53.0-63.0) for SD and 68.3% (95% CI, 63.4-72.8) for SD + DD. Experts significantly outperformed residents and board-certified dermatologists. AI models achieved an accuracy of 18.2% (95% CI, 11.8-26.9) for SD and 44.4% (95% CI, 35.0-54.3) for SD + DD. Gemini 2.5 Flash performed best, with an accuracy of 62.5% for SD + DD. Agreement among dermatologists increased with experience (AC1 up to 0.65 for experts), while agreement among AI models was moderate to good (AC1 up to 0.70). Agreement between AI models and dermatologists was only slight to fair (AC1 = 0.06 for SD and 0.21 for SD + DD). All human-AI differences were statistically significant (p &lt; 0.001). Conclusions: In trichology, publicly available LLMs currently underperform compared to human experts, especially in providing a single correct diagnosis. These models require further development and specialized training before they can reliably assist with trichological diagnoses in routine care.</t>
  </si>
  <si>
    <t>Signer, Basil; Mokhtari, Ali; Cazzaniga, Simone; Brand, Flurin; Caro, Gemma; De Viragh, Pierre A.; Heidemeyer, Kristine; Hosseini, Aref; Iorizzo, Matilde; Junge, Alexandra; Martignoni, Zora; Reygagne, Pascal Edouard; Piraccini, Bianca Maria; Starace, Michela; Reimer-Taschenbrecker, Antonia; Vogel, Charlotte; Obrist, Dominik; Seyed Jafari, Seyed Morteza</t>
  </si>
  <si>
    <t>Signer, B (corresponding author), Bern Univ Hosp, Dept Dermatol, Inselspital, CH-3010 Bern, Switzerland.</t>
  </si>
  <si>
    <t>basil.signer@insel.ch</t>
  </si>
  <si>
    <t>[Signer, Basil; Cazzaniga, Simone; Brand, Flurin; De Viragh, Pierre A.; Heidemeyer, Kristine; Hosseini, Aref; Junge, Alexandra; Martignoni, Zora; Reimer-Taschenbrecker, Antonia; Vogel, Charlotte; Seyed Jafari, Seyed Morteza] Bern Univ Hosp, Dept Dermatol, Inselspital, CH-3010 Bern, Switzerland; [Mokhtari, Ali; Obrist, Dominik] Univ Bern, ARTORG Ctr, Biomed Engn Res, Bern 3010, Switzerland; [Caro, Gemma] Bellinzona Reg Hosp, Dept Dermatol, Ente Osped Cantonale EOC, CH-6500 Bellinzona, Switzerland; [Heidemeyer, Kristine] Univ Lucerne, Univ Teaching &amp; Res Hosp, Dept Dermatol, CH-6000 Luzern, Switzerland; [Reygagne, Pascal Edouard] Hop St Louis, Ctr Sabouraud, F-75010 Paris, France; [Starace, Michela] IRCCS Azienda Osped Univ Bologna, Dermatol Unit, I-40138 Bologna, Italy; [Starace, Michela] Univ Bologna, Dept Med &amp; Surg Sci, Alma Mater Studiorum, I-40126 Bologna, Italy</t>
  </si>
  <si>
    <t>University of Bern; University Hospital of Bern; University of Bern; ARTORG Center for Biomedical Engineering Research; Regional Hospital of Bellinzona &amp; Valleys, San Giovanni; University of Lucerne; Universite Paris Cite; Assistance Publique Hopitaux Paris (APHP); Hopital Universitaire Saint-Louis - APHP; IRCCS Azienda Ospedaliero-Universitaria di Bologna; University of Bologna</t>
  </si>
  <si>
    <t>Publicly Available Large Language Models for Trichoscopy: A Head-to-Head Comparison with Dermatologists</t>
  </si>
  <si>
    <t>alopecia; artificial intelligence; comparative study; dermatologists; diagnostic accuracy; large language models; prospective study; trichoscopy</t>
  </si>
  <si>
    <t>Reimer-Taschenbrecker, Antonia/AFR-3759-2022; Caro, Gemma/AAM-1250-2020; Obrist, Dominik/AAT-3254-2020; Piraccini, Bianca Maria/AAD-5957-2021; Hosseini, Aref/MXK-3987-2025; Reimer-Taschenbrecker, Antonia/AFR-3759-2022; STARACE, MICHELA/AFK-0542-2022</t>
  </si>
  <si>
    <t>Reimer-Taschenbrecker, Antonia/0000-0002-3378-4476; Heidemeyer, Kristine/0000-0001-9217-6086; Obrist, Dominik/0000-0002-6062-9076; Junge, Alexandra/0009-0008-5117-1551; Piraccini, Bianca Maria/0000-0001-6537-9689; STARACE, MICHELA/0000-0002-3981-1527; Iorizzo, Matilde/0000-0003-4227-5443</t>
  </si>
  <si>
    <t>JAN 5 2026</t>
  </si>
  <si>
    <t>10.3390/diagnostics16010169</t>
  </si>
  <si>
    <t>http://dx.doi.org/10.3390/diagnostics16010169</t>
  </si>
  <si>
    <t>AW8OD</t>
  </si>
  <si>
    <t>41515664</t>
  </si>
  <si>
    <t>WOS:001658660800001</t>
  </si>
  <si>
    <t>Konukoglu, O; Kaya, M; Arslan, BC; Gunaydin, I</t>
  </si>
  <si>
    <t>Objective: To evaluate the diagnostic accuracy and reliability of closed-source, multimodal large language models (LLMs)-ChatGPT-4o, ChatGPT-4.5, and Gemini 2.5 Pro-in detecting acute knee fractures on radiographs compared with an emergency medicine specialist and a radiologist. Materials and Methods: This retrospective study included 252 patients who underwent both knee radiography and CT between September 2023 and July 2025. Fracture status was determined by CT and reviewed by radiologists. Anteroposterior and lateral radiographs were independently assessed by an emergency medicine specialist, a radiologist, and three LLMs. Diagnostic performance was evaluated using sensitivity, specificity, predictive values, likelihood ratios, accuracy, and area under the curve (AUC). Reliability was assessed using Cohen's kappa and McNemar's tests. Results: According to CT findings, fractures were present in 23.08% (n=58) of patients. The LLMs demonstrated low sensitivity: ChatGPT-4o, 37.9%; ChatGPT-4.5, 13.8%; and Gemini 2.5 Pro, 10.3%, with moderate overall accuracy (72-77%). In contrast, the radiologist achieved 92.1% accuracy, with high sensitivity (77.6%) and specificity (96.4%), whereas the emergency diagnostic performance for clinicians, particularly radiologists, than for all LLMs (p&lt;0.05). Consistency analysis showed moderate agreement for ChatGPT-4o, slight agreement for ChatGPT-4.5, and substantial agreement for Gemini 2.5 Pro. Conclusion: Closed-source LLMs performed worse than clinicians in diagnosing acute knee fractures on radiographs, with a high risk of missed fractures. Although they may support triage by reliably identifying normal cases, they are not sufficient for standalone diagnostic use.</t>
  </si>
  <si>
    <t>Konukoglu, Osman; Kaya, Murat; Arslan, Baris Can; Gunaydin, Isa</t>
  </si>
  <si>
    <t>Konukoglu, O (corresponding author), Gaziantep City Hosp, Dept Radiol, Gaziantep, Turkiye.</t>
  </si>
  <si>
    <t>o.konukoglu@hotmail.com</t>
  </si>
  <si>
    <t>[Konukoglu, Osman; Kaya, Murat; Arslan, Baris Can] Gaziantep City Hosp, Dept Radiol, Gaziantep, Turkiye; [Gunaydin, Isa] Gaziantep City Hosp, Dept Emergency Med, Gaziantep, Turkiye</t>
  </si>
  <si>
    <t>Assessing the Reliability of Large Language Models in Detecting Acute Knee Fractures on Radiographs: A Comparative Study</t>
  </si>
  <si>
    <t>JOURNAL OF CLINICAL PRACTICE AND RESEARCH</t>
  </si>
  <si>
    <t>Fracture; knee trauma; large language models; radiology; X-ray.</t>
  </si>
  <si>
    <t>TRAUMA</t>
  </si>
  <si>
    <t>Kaya, Murat/JMB-6396-2023; konukoglu, osman/LNQ-9007-2024</t>
  </si>
  <si>
    <t>konukoglu, osman/0000-0002-3353-0230</t>
  </si>
  <si>
    <t>ERCIYES UNIV SCH MEDICINE</t>
  </si>
  <si>
    <t>KAYSERI</t>
  </si>
  <si>
    <t>ERCIYES UNIV TIP FAK 38039 MELIKGAZI, KAYSERI, 00000, Turkiye</t>
  </si>
  <si>
    <t>2980-2156</t>
  </si>
  <si>
    <t>J CLIN PRACT RES</t>
  </si>
  <si>
    <t>J. CLIN. PRACT. RES.</t>
  </si>
  <si>
    <t>176</t>
  </si>
  <si>
    <t>182</t>
  </si>
  <si>
    <t>10.14744/cpr.2026.37887</t>
  </si>
  <si>
    <t>http://dx.doi.org/10.14744/cpr.2026.37887</t>
  </si>
  <si>
    <t>IC3WT</t>
  </si>
  <si>
    <t>42305281</t>
  </si>
  <si>
    <t>WOS:001768340000010</t>
  </si>
  <si>
    <t>Saidu, F; Wall, J</t>
  </si>
  <si>
    <t>This study examines clinician interactions with a Knowledge Graph (KG)-enhanced Large Language Model (LLM) for diagnostic support, with an emphasis on the rare condition pseudohypoparathyroidism (PHP). Ten medical professionals engaged with simulated diagnostic scenarios, using the KG-enhanced LLM to support reasoning and validate differential diagnoses. Evaluation included basic model performance (RAGAS = 0.85; F1 = 0.79) and clinician-centered outcomes, such as diagnostic conclusions, confidence, adherence, and efficiency. Results show the tool was most valuable for rare or uncertain cases, increasing clinician confidence and supporting reasoning, while familiar cases elicited selective adoption with minimal AI engagement. Participant feedback indicated generally high usability, accuracy, and relevance, with most reporting improved efficiency and trust. Statistical analysis confirmed that AI assistance significantly reduced time-to-diagnosis (t(8)=4.99, p=0.001, Cohen's dz=1.66, 95% CI [73.8, 197.2]; Wilcoxon W=0.0, p=0.0039). These findings suggest that KG-enhanced LLMs can effectively augment clinician judgment in complex cases, serving as reasoning aids or educational tools while preserving clinician control over decision-making. The study emphasizes evaluating AI not only for accuracy, but also for practical utility and integration into real-world clinical workflows.</t>
  </si>
  <si>
    <t>Saidu, Fatima; Wall, Julie</t>
  </si>
  <si>
    <t>Wall, J (corresponding author), Univ West London, Sch Comp &amp; Engn, London W5 5RF, England.</t>
  </si>
  <si>
    <t>32147050@student.uwl.ac.uk; julie.wall@uwl.ac.uk</t>
  </si>
  <si>
    <t>[Saidu, Fatima; Wall, Julie] Univ West London, Sch Comp &amp; Engn, London W5 5RF, England</t>
  </si>
  <si>
    <t>University of West London</t>
  </si>
  <si>
    <t>Retrieval-Augmented Large Language Model for Clinical Decision Support with a Medical Knowledge Graph</t>
  </si>
  <si>
    <t>ELECTRONICS</t>
  </si>
  <si>
    <t>knowledge graph; large language model; retrieval-augmented generation; clinical decision support system; diagnostic accuracy; explainable AI; pseudohypoparathyroidism</t>
  </si>
  <si>
    <t>2079-9292</t>
  </si>
  <si>
    <t>ELECTRONICS-SWITZ</t>
  </si>
  <si>
    <t>Electronics</t>
  </si>
  <si>
    <t>JAN 28 2026</t>
  </si>
  <si>
    <t>555</t>
  </si>
  <si>
    <t>10.3390/electronics15030555</t>
  </si>
  <si>
    <t>http://dx.doi.org/10.3390/electronics15030555</t>
  </si>
  <si>
    <t>Computer Science, Information Systems; Engineering, Electrical &amp; Electronic; Physics, Applied</t>
  </si>
  <si>
    <t>Computer Science; Engineering; Physics</t>
  </si>
  <si>
    <t>DN5ZV</t>
  </si>
  <si>
    <t>WOS:001687687800001</t>
  </si>
  <si>
    <t>Stelling, H; Kraus, A; Grieb, G; Breidung, D; Güler, I</t>
  </si>
  <si>
    <t>The electrocardiogram (ECG) is a central tool in cardiovascular diagnostics, yet interpretation requires expertise and remains subject to variability. Multimodal large language models (MLLMs) have shown emerging capabilities in medical image analysis, but their performance in ECG interpretation remains insufficiently characterized. This study evaluated the diagnostic accuracy and inter-run reliability of five MLLMs across ECG interpretation tasks. Thirteen standard 12-lead ECGs were presented to five models (ChatGPT-5.3, Gemini 3.1 Pro, Claude Opus 4.6, Grok 4.1, and ERNIE 5.0) across five independent runs per case, yielding 2275 task-level assessments. Six categorical interpretation tasks (rhythm, electrical axis, PR/P-wave morphology, QRS duration, ST/T-wave morphology, and QTc interval) were compared with expert-consensus ground truth, while heart rate estimation was evaluated using mean absolute error (MAE). Overall categorical accuracy ranged from 52.3% to 64.9%. QRS duration classification achieved the highest accuracy (66.2-90.8%), whereas ST/T-wave assessment showed the lowest performance (20.0-41.5%). Heart rate MAE ranged from 14.8 to 46.7 bpm. A dissociation between diagnostic accuracy and inter-run reliability was observed across models. These findings indicate that current MLLMs do not achieve clinically reliable ECG interpretation performance and highlight the importance of assessing diagnostic accuracy and inter-run reliability when evaluating artificial intelligence systems in biomedical diagnostics.</t>
  </si>
  <si>
    <t>Stelling, Henrik; Kraus, Armin; Grieb, Gerrit; Breidung, David; Guler, Ibrahim</t>
  </si>
  <si>
    <t>Güler, I (corresponding author), Friedrich Alexander Univ Erlangen Nurnberg FAU, Dept Hlth Management, Lange Gasse 20, D-90403 Nurnberg, Germany.; Güler, I (corresponding author), Otto von Guericke Univ, Dept Plast Aesthet &amp; Hand Surg, D-39120 Magdeburg, Germany.</t>
  </si>
  <si>
    <t>ibrahim.gueler@med.ovgu.de; henrikstelling@googlemail.com; david.breidung@usz.ch; armin.kraus@med.ovgu.de; gerritgrieb@gmx.de</t>
  </si>
  <si>
    <t>[Stelling, Henrik] Rubensstr 125, D-12157 Berlin, Germany; [Stelling, Henrik; Guler, Ibrahim] Friedrich Alexander Univ Erlangen Nurnberg FAU, Dept Hlth Management, Lange Gasse 20, D-90403 Nurnberg, Germany; [Kraus, Armin; Guler, Ibrahim] Otto von Guericke Univ, Dept Plast Aesthet &amp; Hand Surg, D-39120 Magdeburg, Germany; [Grieb, Gerrit] Gemeinschaftskrankenhaus Havelhohe, Dept Plast Surg &amp; Hand Surg, Kladower Damm 221, D-14089 Berlin, Germany; [Grieb, Gerrit] Rhein Westfal TH Aachen, Dept Plast Surg &amp; Hand Surg, Pauwelsstr 30, D-52074 Aachen, Germany; [Breidung, David] Univ Witten Herdecke, Dept Hlth, D-58455 Witten, Germany; [Breidung, David] Univ Hosp Zurich, Dept Plast Surg &amp; Hand Surg, Ramistr 100, CH-8091 Zurich, Switzerland</t>
  </si>
  <si>
    <t>University of Erlangen Nuremberg; Otto von Guericke University; RWTH Aachen University; Witten Herdecke University; University of Zurich; University Zurich Hospital</t>
  </si>
  <si>
    <t>Artificial Intelligence for Biomedical Diagnostics: Diagnostic Accuracy and Reliability of Multimodal Large Language Models in Electrocardiogram Interpretation</t>
  </si>
  <si>
    <t>LIFE-BASEL</t>
  </si>
  <si>
    <t>electrocardiography; electrocardiogram interpretation; cardiovascular diagnostics; diagnostic accuracy; biomedical signal analysis; multimodal large language models; artificial intelligence; cardiac rhythm analysis; clinical electrocardiography; cardiovascular physiology</t>
  </si>
  <si>
    <t>12-LEAD ELECTROCARDIOGRAMS; AMERICAN-COLLEGE; RECOMMENDATIONS; COMPETENCE; AGREEMENT</t>
  </si>
  <si>
    <t>2075-1729</t>
  </si>
  <si>
    <t>Life-Basel</t>
  </si>
  <si>
    <t>681</t>
  </si>
  <si>
    <t>10.3390/life16040681</t>
  </si>
  <si>
    <t>http://dx.doi.org/10.3390/life16040681</t>
  </si>
  <si>
    <t>Biology; Microbiology</t>
  </si>
  <si>
    <t>Life Sciences &amp; Biomedicine - Other Topics; Microbiology</t>
  </si>
  <si>
    <t>HC5YE</t>
  </si>
  <si>
    <t>42073489</t>
  </si>
  <si>
    <t>WOS:001750838300001</t>
  </si>
  <si>
    <t>Huang, YH; Yang, GZ; Shen, YH; Chen, HG; Wu, WB; Li, XJ; Wu, YH; Zhang, K; Xu, JN; Zhang, J</t>
  </si>
  <si>
    <t>Background: Large language models (LLMs) have made significant advancements in natural language processing (NLP) and are gradually showing potential for application in the medical field. However, LLMs still face challenges in medicine. Objective: This study aims to evaluate the efficiency, accuracy, and cost of LLMs in handling complex medical cases and to assess their potential and applicability as tools for clinical decision support. Methods: We selected cases from the database of the Department of Cardiothoracic Surgery, the Third Affiliated Hospital of Sun Yat-sen University (2021-2024), and conducted a multidimensional preliminary evaluation of the latest LLMs in clinical decision-making for complex cases. The evaluation included measuring the time taken for the LLMs to generate decision recommendations, Likert scores, and calculating decision costs to assess the execution efficiency, accuracy, and cost-effectiveness of the models. Results: A total of 80 complex cases were included in this study, and the performance of multiple LLMs in clinical decision-making was evaluated. Experts required 33.60 minutes on average (95% CI 32.57-34.63), far longer than any LLM. GPTo1 (0.71, 95% CI 0.67-0.74), GPT4o (0.88, 95% CI 0.83-0.92), and Deepseek (0.94, 95% CI 0.90-0.96) all finished under a minute without statistical differences. Although Kimi, Gemini, LLaMa3-8B, and LLaMa3-70B took 1.02-3.20 minutes, they were still faster than experts. In terms of decision accuracy, Deepseek-R1 had the highest accuracy (mean Likert score=4.19), with no significant difference compared to GPTo1 (P=.699), and both performed significantly better than GPT4o, Kimi, Gemini, LLaMa3-70B, and LLaMa3-8B (P&lt;.001). Deepseek-R1 and GPTo1 demonstrated the lowest hallucination rates-6/80 (8%) and 5/80 (6%), respectively-significantly outperforming GPT-4o (7/80, 9%), Kimi (10/80, 12%), and the Gemini and LLaMa3 models, which exhibited substantially higher rates ranging from 13/80 (16%) to 25/80 (31%). Regarding decision costs, all LLMs showed significantly lower costs than the Multidisciplinary Team, with open-source models such as Deepseek-R1 offering a zero direct cost advantage. Conclusions: GPTo1 and Deepseek-R1 show strong clinical potential, boosting efficiency, maintaining accuracy, and reducing costs. GPT4o and Kimi performed moderately, indicating suitability for broader clinical tasks. Further research is needed to validate LLaMa3 series and Gemini in clinical decision.</t>
  </si>
  <si>
    <t>Huang, Yuanheng; Yang, Guozhen; Shen, Yahui; Chen, Huiguo; Wu, Weibin; Li, Xiaojun; Wu, Yonghui; Zhang, Kai; Xu, Jiannan; Zhang, Jian</t>
  </si>
  <si>
    <t>Zhang, J (corresponding author), Sun Yat sen Univ, Affiliated Hosp 3, Dept Cardiothorac Surg, 2693 Kaichuang Ave, Guangzhou 510000, Peoples R China.</t>
  </si>
  <si>
    <t>sumszhangjian@163.com</t>
  </si>
  <si>
    <t>National Natural Science Foundation of China [82373186]</t>
  </si>
  <si>
    <t>National Natural Science Foundation of China (National Natural Science Foundation of China (NSFC))</t>
  </si>
  <si>
    <t>This study was supported by the National Natural Science Foundation of China (grant number 82373186) . We would like to express our deepest gratitude to all those who have provided their support and assistance in the completion of this project.</t>
  </si>
  <si>
    <t>[Huang, Yuanheng; Yang, Guozhen; Chen, Huiguo; Wu, Weibin; Li, Xiaojun; Wu, Yonghui; Zhang, Kai; Xu, Jiannan; Zhang, Jian] Sun Yat sen Univ, Affiliated Hosp 3, Dept Cardiothorac Surg, 2693 Kaichuang Ave, Guangzhou 510000, Peoples R China; [Shen, Yahui] Shaanxi Prov Canc Hosp, Dept Gynecol Oncol, Xian, Peoples R China</t>
  </si>
  <si>
    <t>Sun Yat Sen University</t>
  </si>
  <si>
    <t>Application of Large Language Models in Complex Clinical Cases: Cross-Sectional Evaluation Study</t>
  </si>
  <si>
    <t>large language models; artificial intelligence; clinical decision support; complex medical cases; cross-sectional studies</t>
  </si>
  <si>
    <t>Wu, Yonghui/ABX-2603-2022; zhang, kai/KLZ-6019-2024; Yang, Guozhen/R-1545-2016</t>
  </si>
  <si>
    <t>Wu, Weibin/0000-0002-2272-8735; Huang, Yuanheng/0000-0003-3357-8645</t>
  </si>
  <si>
    <t>e73941</t>
  </si>
  <si>
    <t>10.2196/73941</t>
  </si>
  <si>
    <t>http://dx.doi.org/10.2196/73941</t>
  </si>
  <si>
    <t>6RX2T</t>
  </si>
  <si>
    <t>41055081</t>
  </si>
  <si>
    <t>WOS:001560556800002</t>
  </si>
  <si>
    <t>He, Y; Wang, Y; Lai, LL; Liu, N; Hong, YC; Chen, PP; Zhang, ZH</t>
  </si>
  <si>
    <t>Background ChatGPT has demonstrated strong performance in the complex, full clinical workflow. In recent years, several large language models (LLMs) from China have been introduced; however, their performance in such intricate tasks has yet to be thoroughly assessed, and it remains unclear whether their performance diverges from that of ChatGPT. This study seeks to evaluate the capacity of the Chinese LLMs for providing continuous clinical decision support by assessing their performance with simulated patient cases. Methods We selected 29 standard cases from the Merck Manual as simulated patients. We provided their information to the LLMs. Each simulated case is accompanied by a series of sequential questions designed to simulate the process of differential diagnosis, diagnostic workup, diagnosis and management. The responses were then recorded and scored. Then we compared the performance of two Chinese large language models with ChatGPT-4 in entire clinical workflow of simulated patient, selecting the best-performing model for a comparison with 18 human emergency fellow doctors. Additionally, we compared the differences in performance between different versions of the LLMs. Results There were no significant differences between ChatGPT-4 and Doubao in all four aspects (P &gt; 0.05). However, ERNIE Bot 3.5 was inferior to ChatGPT-4 and Doubao in differential diagnosis, diagnostic questions, and management (P &lt; 0.05). But in diagnosis questions, the average accuracy proportion for all three models was above 97%, with no significant differences observed (P &gt; 0.05). There was no significant difference between LLMs and emergency fellow physicians in diagnosis and differential diagnosis (P &gt; 0.05), but in diagnostic questions as well as management, LMMs were superior to emergency fellow physicians (P &lt; 0.05). ChatGPT-4 was higher than ChatGPT 3.5 in all four aspects (P &lt; 0.05). Conclusion The large language model Doubao from China demonstrates performance similar to ChatGPT across full clinical workflows. LLMs outperform human emergency fellow physicians and exhibit rapid development, offering significant practical application potential in healthcare.</t>
  </si>
  <si>
    <t>He, Yang; Wang, Yang; Lai, Lingling; Liu, Ning; Hong, Yucai; Chen, Pengpeng; Zhang, Zhongheng</t>
  </si>
  <si>
    <t>Zhang, ZH (corresponding author), Zhejiang Univ, Sir Run Run Shaw Hosp, Dept Emergency Med, Sch Med, 3 East Qingchun Rd, Hangzhou 310016, Zhejiang, Peoples R China.</t>
  </si>
  <si>
    <t>zh_zhang1984@zju.edu.cn</t>
  </si>
  <si>
    <t>Medical Health Science and Technology Project of Zhejiang Provincial Health Commission</t>
  </si>
  <si>
    <t>We would like to thank the researchers and study participants for their contributions.</t>
  </si>
  <si>
    <t>[He, Yang; Lai, Lingling; Liu, Ning; Hong, Yucai; Chen, Pengpeng; Zhang, Zhongheng] Zhejiang Univ, Sir Run Run Shaw Hosp, Dept Emergency Med, Sch Med, 3 East Qingchun Rd, Hangzhou 310016, Zhejiang, Peoples R China; [Wang, Yang] Shaoxing Univ, Sch Med, Shaoxing 312000, Zhejiang, Peoples R China</t>
  </si>
  <si>
    <t>Zhejiang University; Shaoxing University</t>
  </si>
  <si>
    <t>A comparison of the performance of Chinese large language models and ChatGPT throughout the entire clinical workflow</t>
  </si>
  <si>
    <t>Large language models; LLMs; Artificial intelligence; AI; ChatGPT</t>
  </si>
  <si>
    <t>Lai, Ling/S-8245-2019</t>
  </si>
  <si>
    <t>OCT 17 2025</t>
  </si>
  <si>
    <t>36322</t>
  </si>
  <si>
    <t>10.1038/s41598-025-20210-7</t>
  </si>
  <si>
    <t>http://dx.doi.org/10.1038/s41598-025-20210-7</t>
  </si>
  <si>
    <t>8TS0C</t>
  </si>
  <si>
    <t>41107328</t>
  </si>
  <si>
    <t>WOS:001597100100038</t>
  </si>
  <si>
    <t>Peng, L; Zhang, Y; Zhao, AG; Li, RK; Li, ZL; Zhao, JD; Yu, P; Liu, Y; Shi, HJ; Liang, R; Wang, HF</t>
  </si>
  <si>
    <t>Background This study evaluates the comparative performance of DeepSeek-R1, ChatGPT-5 Pro, and urologists in the specific domains of bladder cancer knowledge retrieval and complex clinical reasoning. Methods We constructed a benchmark dataset comprising 91 standardized multiple-choice questions on bladder cancer derived from MedQA, MedMCQA, and the Chinese National Medical Licensing Examination, alongside three retrospectively reconstructed real-world cases. Five advanced models, including DeepSeek (V3, R1) and OpenAI variants (ChatGPT-5, ChatGPT-5 Pro, ChatGPT-5 Mini), were evaluated. Accuracy and stability were assessed across three independent runs for standardized questions. In clinical simulations, DeepSeek-R1 and ChatGPT-5 Pro were benchmarked against human urologists. A blinded expert panel of three senior urologists evaluated responses using a 5-point Likert scale across four dimensions: readability, medical accuracy, diagnostic test appropriateness, and logical coherence. Results In standardized testing, all models achieved &gt;92% accuracy. ChatGPT-5 Pro ranked first (97.52%), followed closely by DeepSeek-R1 (95.04%), with both displaying superior stability. In clinical simulations, DeepSeek-R1 demonstrated logical coherence comparable to both human experts and ChatGPT-5 Pro (P &gt; 0.05). However, DeepSeek-R1 scored significantly lower than ChatGPT-5 Pro regarding readability and "error-free" rates. Notably, human urologists significantly outperformed both AI models in diagnostic test appropriateness (P &lt; 0.01), primarily because DeepSeek-R1 struggled with "test avoidance," tending to recommend redundant investigations (P &lt; 0.0001). Conclusions DeepSeek-R1 demonstrates excellent accuracy and expert-level clinical reasoning, exhibiting competitiveness with ChatGPT-5 Pro. Although slightly inferior in readability and prone to suggesting unnecessary tests, its core reasoning capabilities remain favorable.</t>
  </si>
  <si>
    <t>Peng, Lei; Zhang, Yi; Zhao, Anguo; Li, Rongkang; Li, Zhilin; Zhao, Jiadong; Yu, Peng; Liu, Yang; Shi, Hongjin; Liang, Rui; Wang, Haifeng</t>
  </si>
  <si>
    <t>Shi, HJ; Wang, HF (corresponding author), Kunming Med Univ, Yunnan Inst Urol, Affiliated Hosp 2, Dept Urol, Kunming, Peoples R China.; Liang, R (corresponding author), Shenzhen Univ, South China Hosp, Med Sch, Dept Urol, Shenzhen, Guangdong, Peoples R China.</t>
  </si>
  <si>
    <t>20190797@kmmu.edu.cn; 18326900957@163.com; wanghaifeng@kmmu.edu.cn</t>
  </si>
  <si>
    <t>[Peng, Lei; Zhang, Yi; Li, Rongkang; Shi, Hongjin; Wang, Haifeng] Kunming Med Univ, Yunnan Inst Urol, Affiliated Hosp 2, Dept Urol, Kunming, Peoples R China; [Peng, Lei; Zhang, Yi; Li, Rongkang; Zhao, Jiadong; Yu, Peng; Liu, Yang] Lanzhou Univ, Hosp 2, Dept Urol, Lanzhou, Peoples R China; [Peng, Lei; Zhang, Yi; Zhao, Anguo; Li, Rongkang; Zhao, Jiadong; Liang, Rui] Shenzhen Univ, South China Hosp, Med Sch, Dept Urol, Shenzhen, Guangdong, Peoples R China; [Zhao, Anguo] Soochow Univ, Med Ctr,Affiliated Hosp 4, Suzhou Dushu Lake Hosp, Dept Urol, Suzhou, Peoples R China; [Li, Zhilin] Third Affiliated Hosp The Affiliated Luohu Hosp Sh, Shenzhen Univ, Shenzhen, Guangdong, Peoples R China</t>
  </si>
  <si>
    <t>Kunming Medical University; Lanzhou University; Shenzhen University; Soochow University - China; Shenzhen University</t>
  </si>
  <si>
    <t>Benchmarking Large Language Models for Bladder Cancer: Comparative Knowledge Retrieval and Clinical Reasoning of DeepSeek and ChatGPT</t>
  </si>
  <si>
    <t>ANNALS OF SURGICAL ONCOLOGY</t>
  </si>
  <si>
    <t>ARTIFICIAL-INTELLIGENCE; DIAGNOSIS</t>
  </si>
  <si>
    <t>1068-9265</t>
  </si>
  <si>
    <t>1534-4681</t>
  </si>
  <si>
    <t>ANN SURG ONCOL</t>
  </si>
  <si>
    <t>Ann. Surg. Oncol.</t>
  </si>
  <si>
    <t>10.1245/s10434-026-19745-4</t>
  </si>
  <si>
    <t>http://dx.doi.org/10.1245/s10434-026-19745-4</t>
  </si>
  <si>
    <t>Oncology; Surgery</t>
  </si>
  <si>
    <t>JM3ZA</t>
  </si>
  <si>
    <t>42289629</t>
  </si>
  <si>
    <t>WOS:001792769200001</t>
  </si>
  <si>
    <t>Tao, YC; Lin, XS; Sun, H; Bao, WR; Zhu, XB; Wu, SW; Liu, YX; Li, Z; Wu, JL; Zhao, ZK; Qiu, L; Ni, QY; Zhang, S; Tang, ZC; Ying, ZB; An, Y; Tian, J; Liu, ZY; Lu, J</t>
  </si>
  <si>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specialty scenario, junior clinicians' scores increased by 0.579-0.723 (15.9%-20.8%) across 4 clinical stages, whereas senior clinicians' improvements ranged from 0.053-0.303 (1.3%-7.5%). With LLM support, junior clinicians surpassed senior clinicians' unaided performance in postoperative rehabilitation and prognosis stages (P &lt; .05) and achieved comparable performance in diagnosis and treatment stages (P &gt; .05). Performance varied among models, with Deepseek-R1 performing best in diagnostic tasks. Discussion These findings suggest that LLM assistance may provide greater benefit to less-experienced clinicians and are particularly effective in downstream decision-making stages, indicating a potential role in mitigating experience-related performance disparities. Conclusions LLMs may serve as supportive clinical-decision support tools across diseases, specialties, clinician experience levels, and workflow stages, with observed improvements in decision quality and reduced performance disparities.</t>
  </si>
  <si>
    <t>Tao, Yuechen; Lin, Xiushi; Sun, He; Bao, Wenrui; Zhu, Xiaobo; Wu, Shiwei; Liu, Yixiao; Li, Ziang; Wu, Jialong; Zhao, Zhenkun; Qiu, Lei; Ni, Qianyang; Zhang, Song; Tang, Zhenchao; Ying, Zuobin; An, Yu; Tian, Jie; Liu, Zhenyu; Lu, Jian</t>
  </si>
  <si>
    <t>Tian, J; Liu, ZY (corresponding author), Chinese Acad Sci, Inst Automat, CAS Key Lab Mol Imaging, 95 Zhongguancun East Rd, Beijing 100190, Peoples R China.; Lu, J (corresponding author), Peking Univ Third Hosp, Dept Urol, 49 Huayuan North Rd, Beijing 100191, Peoples R China.; An, Y (corresponding author), Beihang Univ, Sch Engn Med, 37 Xueyuan Rd, Beijing 100191, Peoples R China.; An, Y (corresponding author), Beihang Univ, Sch Biol Sci &amp; Med Engn, 37 Xueyuan Rd, Beijing 100191, Peoples R China.</t>
  </si>
  <si>
    <t>lujian@bjmu.edu.cn; zhenyu.liu@ia.ac.cn; yuan1989@buaa.edu.cn; tian@ieee.org</t>
  </si>
  <si>
    <t>National Natural Science Foundation of China [12571555, 62331001, 62333022, 82272068, 92359302, 92259301]; National Key Research and Development Program of China [2024YFF1207400, 2023YFC3402800, 2021YFA1301603]; Young Elite Scientists Sponsorship Program [2023QNRC001]; Beijing Natural Science Foundation [JQ23034, L234056, L232097]</t>
  </si>
  <si>
    <t>National Natural Science Foundation of China (National Natural Science Foundation of China (NSFC)); National Key Research and Development Program of China (National Key Research &amp; Development Program of China); Young Elite Scientists Sponsorship Program; Beijing Natural Science Foundation (Beijing Natural Science Foundation)</t>
  </si>
  <si>
    <t>This work was supported by the National Key Research and Development Program of China (2024YFF1207400, 2023YFC3402800, 2021YFA1301603), the National Natural Science Foundation of China (12571555, 62331001, 62333022, 82272068, 92359302, and 92259301), Beijing Natural Science Foundation (JQ23034, L234056, L232097), Young Elite Scientists Sponsorship Program (2023QNRC001).</t>
  </si>
  <si>
    <t>[Tao, Yuechen; Zhu, Xiaobo; Wu, Shiwei; Zhang, Song; Tian, Jie; Liu, Zhenyu] Chinese Acad Sci, Inst Automat, CAS Key Lab Mol Imaging, 95 Zhongguancun East Rd, Beijing 100190, Peoples R China; [Tao, Yuechen; Bao, Wenrui; Zhu, Xiaobo; Zhang, Song; Tian, Jie; Liu, Zhenyu] Univ Chinese Acad Sci, Sch Artificial Intelligence, Beijing 100049, Peoples R China; [Lin, Xiushi; Liu, Yixiao; Li, Ziang; Wu, Jialong; Zhao, Zhenkun; Qiu, Lei; Ni, Qianyang; Lu, Jian] Peking Univ Third Hosp, Dept Urol, 49 Huayuan North Rd, Beijing 100191, Peoples R China; [Sun, He; Tang, Zhenchao; An, Yu] Beihang Univ, Sch Engn Med, 37 Xueyuan Rd, Beijing 100191, Peoples R China; [Sun, He; Tang, Zhenchao; An, Yu] Beihang Univ, Sch Biol Sci &amp; Med Engn, 37 Xueyuan Rd, Beijing 100191, Peoples R China; [Wu, Shiwei] Nanjing Univ Sci &amp; Technol, Sch Comp Sci &amp; Engn, Nanjing 210094, Peoples R China; [Ying, Zuobin] City Univ Macau, Fac Data Sci, Macau 999078, Peoples R China</t>
  </si>
  <si>
    <t>Chinese Academy of Sciences; Institute of Automation, CAS; Chinese Academy of Sciences; University of Chinese Academy of Sciences, CAS; Peking University; Beihang University; Beihang University; Nanjing University of Science &amp; Technology; City University of Macau</t>
  </si>
  <si>
    <t>Augmenting clinical decision-making with large language models: evaluation across general and specialty tasks</t>
  </si>
  <si>
    <t>JOURNAL OF THE AMERICAN MEDICAL INFORMATICS ASSOCIATION</t>
  </si>
  <si>
    <t>Large Language Models; clinical decision-making; medical artificial intelligence; healthcare augmentation; clinician experience level</t>
  </si>
  <si>
    <t>Zhang, Song/PSL-7112-2026</t>
  </si>
  <si>
    <t>1067-5027</t>
  </si>
  <si>
    <t>1527-974X</t>
  </si>
  <si>
    <t>J AM MED INFORM ASSN</t>
  </si>
  <si>
    <t>J. Am. Med. Inf. Assoc.</t>
  </si>
  <si>
    <t>10.1093/jamia/ocag053</t>
  </si>
  <si>
    <t>http://dx.doi.org/10.1093/jamia/ocag053</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</si>
  <si>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</si>
  <si>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</si>
  <si>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JM5NZ</t>
  </si>
  <si>
    <t>42289821</t>
  </si>
  <si>
    <t>WOS:001792876900001</t>
  </si>
  <si>
    <t>Carl, N; Nguyen, L; Haggenmüller, S; Hetz, MJ; Winterstein, JT; Hartung, FO; Gruene, B; Kather, JN; Holland-Letz, T; Michel, MS; Wessels, F; Brinker, TJ</t>
  </si>
  <si>
    <t>Background and objective: Data on interaction of patients with artificial intelligence (AI) are limited, primarily derived from small-scale studies, cross-sectional surveys, and qualitative reviews. Most patients have not yet encountered AI in their clinical experience. This study explored patients' confidence in AI, specifically large language models, after a direct interaction with a chatbot in a clinical setting. Through hands-on experience, the study sought to reduce potential biases due to an anticipated lack of AI experience in a real-world urological patient sample. Methods: A total of 300 patients scheduled for counseling were enrolled from February to July 2024. Participants voluntarily conversed about their medical questions with a GPT-4 powered chatbot, followed by a survey assessing their confidence in clinical capabilities of AI compared with their counseling urologists. Clinical capabilities included history taking, diagnostics, treatment recommendation, anxiety reduction, and time allocation. Key findings and limitations: Of the 292 patients who completed the study, AI was significantly preferred to physicians for consultation time allocation (p &lt; 0.001). However, urologists were overwhelmingly favored for all other capabilities, especially treatment recommendations and anxiety reduction. Notably, age did not influence patients' confidence in AI. Limitations include a potential social desirability bias. Conclusions and clinical implications: Our study demonstrates that urological patients prefer AI as a powerful complement to-rather than a replacement for-human expertise in clinical care. Patients appreciated the additional consultation time provided by AI. Interestingly, age was not associated with confidence in AI, suggesting that large language models are user-friendly tools for patients of all age groups. Patient summary: In this report, we explored how patients feel about using an artificial intelligence (AI)-powered chatbot in a medical setting. Patients interacted with the AI for medical questions and compared its skills with those of doctors through a survey. They appreciated the AI for providing more time during consultations but preferred doctors for other tasks, for example, diagnostics, recommendation of treatments, and reduction of anxieties. (c) 2024 The Author(s). Published by Elsevier B.V. on behalf of European Association of Urology. This is an open access article under the CC BY license (http://creativecommons. org/licenses/by/4.0/).</t>
  </si>
  <si>
    <t>Carl, Nicolas; Nguyen, Lisa; Haggenmueller, Sarah; Hetz, Martin Joachim; Winterstein, Jana Theres; Hartung, Friedrich Otto; Gruene, Britta; Kather, Jakob Nikolas; Holland-Letz, Tim; Michel, Maurice Stephan; Wessels, Frederik; Brinker, Titus Josef</t>
  </si>
  <si>
    <t>Brinker, TJ (corresponding author), German Canc Res Ctr, Digital Biomarkers Oncol Grp, Neuenheimer Feld 223, D-69120 Heidelberg, Germany.</t>
  </si>
  <si>
    <t>titus.brinker@dkfz.de</t>
  </si>
  <si>
    <t>Ministry for Social Affairs, Health and Integration, Baden Wurttemberg, Germany</t>
  </si>
  <si>
    <t>The research is funded by the Ministry for Social Affairs, Health and Integration, Baden Wurttemberg, Germany. The funder had no role in study design, data collection and analysis, decision to publish, or preparation of the manuscript.</t>
  </si>
  <si>
    <t>[Carl, Nicolas; Haggenmueller, Sarah; Hetz, Martin Joachim; Winterstein, Jana Theres; Brinker, Titus Josef] German Canc Res Ctr, Digital Biomarkers Oncol Grp, Neuenheimer Feld 223, D-69120 Heidelberg, Germany; [Carl, Nicolas; Hartung, Friedrich Otto; Gruene, Britta; Michel, Maurice Stephan; Wessels, Frederik] Heidelberg Univ, Univ Med Ctr Mannheim, Dept Urol, Mannheim, Germany; [Nguyen, Lisa] Heidelberg Univ, Med Fac Mannheim, Mannheim, Germany; [Winterstein, Jana Theres] Heidelberg Univ, Med Fac Heidelberg, Heidelberg, Germany; [Kather, Jakob Nikolas] TUD Dresden Univ Technol, Med Fac Carl Gustav Carus, Else Kroener Fresenius Ctr Digital Hlth, Dresden, Germany; [Holland-Letz, Tim] German Canc Res Ctr, Dept Biostat, Heidelberg, Germany</t>
  </si>
  <si>
    <t>Helmholtz Association; German Cancer Research Center (DKFZ); Ruprecht Karls University Heidelberg; Ruprecht Karls University Heidelberg; Ruprecht Karls University Heidelberg; Technische Universitat Dresden; Carl Gustav Carus University Hospital; Helmholtz Association; German Cancer Research Center (DKFZ)</t>
  </si>
  <si>
    <t>Comparing Patient's Confidence in Clinical Capabilities in Urology: Large Language Models Versus Urologists</t>
  </si>
  <si>
    <t>EUROPEAN UROLOGY OPEN SCIENCE</t>
  </si>
  <si>
    <t>Clinical trial; Generative artificial intelligence; Implementation science; Large language models; Patient interaction</t>
  </si>
  <si>
    <t>Wessels, Frederik/AAC-4882-2022; Kather, Jakob Nikolas/D-4279-2015</t>
  </si>
  <si>
    <t>Carl, med. Nicolas/0009-0002-0080-3455; Kather, Jakob Nikolas/0000-0002-3730-5348; Winterstein, Jana Therés/0000-0003-3346-9537</t>
  </si>
  <si>
    <t>2666-1691</t>
  </si>
  <si>
    <t>2666-1683</t>
  </si>
  <si>
    <t>EUR UROL OPEN SCI</t>
  </si>
  <si>
    <t>Eur. Urol. Open Sci.</t>
  </si>
  <si>
    <t>DEC 2024</t>
  </si>
  <si>
    <t>98</t>
  </si>
  <si>
    <t>10.1016/j.euros.2024.10.009</t>
  </si>
  <si>
    <t>http://dx.doi.org/10.1016/j.euros.2024.10.009</t>
  </si>
  <si>
    <t>OCT 2024</t>
  </si>
  <si>
    <t>K5K5L</t>
  </si>
  <si>
    <t>39507511</t>
  </si>
  <si>
    <t>WOS:001344260300001</t>
  </si>
  <si>
    <t>Kocaman, Y; Yanmaz, LE; Okur, S; Turgut, F; Kocaman, IS; Canatan, VA; Bedir, AG; Sahin, O</t>
  </si>
  <si>
    <t>This study aimed to evaluate the diagnostic performance of Large Language Models (LLMs) in canine oral assessment by comparing their accuracy and agreement with a panel of expert veterinary academicians. Sixty lateral oral photographs from clinical canine cases were evaluated for nine oral clinical signs by novice veterinarians, a panel of expert veterinary academicians, and four LLMs (ChatGPT-5.1, ChatGPT-5.1 Thinking, Claude-Sonnet 4.5, Gemini-Pro 3). Expert consensus served as the reference standard. Intra-model consistency testing demonstrated substantial reliability for Claude-Sonnet 4.5 (90 % full agreement; kappa = 0.75), moderate reliability for Gemini-Pro 3 (70 %; kappa = 0.57) and ChatGPT-5.1 (50 %; kappa = 0.43), and weak reliability for ChatGPT-5.1 Thinking (30 %; kappa = 0.33). Overall diagnostic accuracy across evaluators ranged from 33.3 % to 95 %. Novice veterinarians achieved statistically significant agreement in six clinical signs (e.g., calculus kappa = 0.577; p &lt; 0.001; pigmentation kappa = 0.378; p &lt; 0.001), outperforming all LLMs in diagnostic breadth. Among LLMs, ChatGPT-5.1 and ChatGPT-5.1 Thinking reached significant weak-to-moderate agreement for several clinical signs (e.g., calculus kappa = 0.356-0.485; p &lt;= 0.001). LLMs outperformed novices only in traumatic lesions (Gemini-Pro 3 kappa = 0.290; p = 0.001). All evaluators exhibited chance-level performance for tooth fractures. In conclusion, novice veterinarians demonstrated higher diagnostic consistency and agreement with experts than all evaluated LLMs. Although ChatGPT-5.1 models showed the strongest AI performance, current LLMs remain insufficient for independent diagnostic use in veterinary dentistry.</t>
  </si>
  <si>
    <t>Kocaman, Yakup; Yanmaz, Latif Emrah; Okur, Sitkican; Turgut, Ferda; Kocaman, Irem Suzak; Canatan, Vildan Aslan; Bedir, Ayse Golgeli; Sahin, Oguzcan</t>
  </si>
  <si>
    <t>Kocaman, Y (corresponding author), Yozgat Bozok Univ, Fac Vet Med, Dept Surg, Yozgat, Turkiye.</t>
  </si>
  <si>
    <t>sitkican.okur@atauni.edu.tr; yakup.kocaman@bozok.edu.tr; iremsuzak@gmail.com; fturgut@cu.edu.tr; vaslan@cu.edu.tr; aysegolgeli@atauni.edu.tr; oguz.shn.19@hotmail.com; latifemrahyanmaz@gmail.com</t>
  </si>
  <si>
    <t>[Kocaman, Yakup] Yozgat Bozok Univ, Fac Vet Med, Dept Surg, Yozgat, Turkiye; [Yanmaz, Latif Emrah; Sahin, Oguzcan] Burdur Mehmet Akif Ersoy Univ, Fac Vet Med, Dept Surg, Burdur, Turkiye; [Okur, Sitkican; Bedir, Ayse Golgeli] Ataturk Univ, Fac Vet Med, Dept Surg, Erzurum, Turkiye; [Turgut, Ferda; Canatan, Vildan Aslan] Cukurova Univ, Fac Vet Med, Dept Surg, Adana, Turkiye; [Kocaman, Irem Suzak] Erciyes Univ, Fac Vet Med, Dept Internal Med, Kayseri, Turkiye</t>
  </si>
  <si>
    <t>Bozok University; Mehmet Akif Ersoy University; Ataturk University; Cukurova University; Erciyes University</t>
  </si>
  <si>
    <t>Evaluation of large language models for clinical sign-based oral assessment in dogs compared with veterinary practitioners</t>
  </si>
  <si>
    <t>ChatGPT; Claude-Sonnet; Dentistry; Gemini; Gingivitis; Image-analysis</t>
  </si>
  <si>
    <t>Okur, Sıtkıcan/AAA-7176-2021; Turgut, Ferda/GNP-3037-2022; Yanmaz, Latif/ADA-4013-2022; Aslan Canatan, Vildan/LLM-4559-2024; Gölgeli, Ayşe/JMB-2891-2023; Kocaman, Yakup/MAH-7653-2025</t>
  </si>
  <si>
    <t>Turgut, Ferda/0000-0003-2956-7548; Gölgeli, Ayşe/0000-0002-9798-8638</t>
  </si>
  <si>
    <t>317</t>
  </si>
  <si>
    <t>106611</t>
  </si>
  <si>
    <t>10.1016/j.tvjl.2026.106611</t>
  </si>
  <si>
    <t>http://dx.doi.org/10.1016/j.tvjl.2026.106611</t>
  </si>
  <si>
    <t>EN2CO</t>
  </si>
  <si>
    <t>41740881</t>
  </si>
  <si>
    <t>WOS:001705078200001</t>
  </si>
  <si>
    <t>Lammert, J; Dreyer, T; Mathes, S; Kuligin, L; Borm, KJ; Schatz, UA; Kiechle, M; Lörsch, AM; Jung, J; Lange, S; Pfarr, N; Durner, A; Schwamborn, K; Winter, C; Ferber, D; Kather, JN; Mogler, C; Illert, AL; Tschochohei, M</t>
  </si>
  <si>
    <t>PURPOSE Rapidly expanding medical literature challenges oncologists seeking targeted cancer therapies. General-purpose large language models (LLMs) lack domain-specific knowledge, limiting their clinical utility. This study introduces the LLM system Medical Evidence Retrieval and Data Integration for Tailored Healthcare (MEREDITH), designed to support treatment recommendations in precision oncology. Built on Google's Gemini Pro LLM, MEREDITH uses retrieval-augmented generation and chain of thought.METHODS We evaluated MEREDITH on 10 publicly available fictional oncology cases with iterative feedback from a molecular tumor board (MTB) at a major German cancer center. Initially limited to PubMed-indexed literature (draft system), MEREDITH was enhanced to incorporate clinical studies on drug response within the specific tumor type, trial databases, drug approval status, and oncologic guidelines. The MTB provided a benchmark with manually curated treatment recommendations and assessed the clinical relevance of LLM-generated options (qualitative assessment). We measured semantic cosine similarity between LLM suggestions and clinician responses (quantitative assessment).RESULTS MEREDITH identified a broader range of treatment options (median 4) compared with MTB experts (median 2). These options included therapies on the basis of preclinical data and combination treatments, expanding the treatment possibilities for consideration by the MTB. This broader approach was achieved by incorporating a curated medical data set that contextualized molecular targetability. Mirroring the approach MTB experts use to evaluate MTB cases improved the LLM's ability to generate relevant suggestions. This is supported by high concordance between LLM suggestions and expert recommendations (94.7% for the enhanced system) and a significant increase in semantic similarity from the draft to the enhanced system (from 0.71 to 0.76, P = .01).CONCLUSION Expert feedback and domain-specific data augment LLM performance. Future research should investigate responsible LLM integration into real-world clinical workflows.</t>
  </si>
  <si>
    <t>Lammert, Jacqueline; Dreyer, Tobias; Mathes, Sonja; Kuligin, Leonid; Borm, Kai J.; Schatz, Ulrich A.; Kiechle, Marion; Loersch, Alisa M.; Jung, Johannes; Lange, Sebastian; Pfarr, Nicole; Durner, Anna; Schwamborn, Kristina; Winter, Christof; Ferber, Dyke; Kather, Jakob Nikolas; Mogler, Carolin; Illert, Anna L.; Tschochohei, Maximilian</t>
  </si>
  <si>
    <t>Lammert, J (corresponding author), Tech Univ Munich TUM, Sch Med &amp; Hlth, Dept Gynecol, TUM Univ Hosp,Klinikum Rechts Isar, Munich, Germany.; Lammert, J (corresponding author), Tech Univ Munich TUM, Sch Med &amp; Hlth, Ctr Hereditary Breast &amp; Ovarian Canc, TUM Univ Hosp,Klinikum Rechts Isar, Munich, Germany.; Lammert, J (corresponding author), Tech Univ Munich TUM, Sch Med &amp; Hlth, Ctr Personalized Med ZPM, TUM Univ Hosp,Klinikum Rechts Isar, Munich, Germany.; Lammert, J (corresponding author), German Canc Consortium DKTK, Partner Site Munich, Munich, Germany.; Lammert, J (corresponding author), EUropean Network RAre CANcers EURACAN Initiat, Partner Site Munich, Munich, Germany.</t>
  </si>
  <si>
    <t>Jacqueline.Lammert@mri.tum.de</t>
  </si>
  <si>
    <t>[Lammert, Jacqueline; Dreyer, Tobias; Schatz, Ulrich A.; Kiechle, Marion] Tech Univ Munich TUM, Sch Med &amp; Hlth, Dept Gynecol, TUM Univ Hosp,Klinikum Rechts Isar, Munich, Germany; [Lammert, Jacqueline; Dreyer, Tobias; Schatz, Ulrich A.; Kiechle, Marion] Tech Univ Munich TUM, Sch Med &amp; Hlth, Ctr Hereditary Breast &amp; Ovarian Canc, TUM Univ Hosp,Klinikum Rechts Isar, Munich, Germany; [Lammert, Jacqueline; Schatz, Ulrich A.; Kiechle, Marion; Loersch, Alisa M.; Jung, Johannes; Lange, Sebastian; Pfarr, Nicole; Durner, Anna; Schwamborn, Kristina; Winter, Christof; Mogler, Carolin; Illert, Anna L.] Tech Univ Munich TUM, Sch Med &amp; Hlth, Ctr Personalized Med ZPM, TUM Univ Hosp,Klinikum Rechts Isar, Munich, Germany; [Lammert, Jacqueline; Dreyer, Tobias; Winter, Christof; Mogler, Carolin; Illert, Anna L.] German Canc Consortium DKTK, Partner Site Munich, Munich, Germany; [Lammert, Jacqueline] EUropean Network RAre CANcers EURACAN Initiat, Partner Site Munich, Munich, Germany; [Mathes, Sonja] Tech Univ Munich TUM, Dept Dermatol &amp; Allergy Biederstein, Sch Med &amp; Hlth, Klinikum Rechts Isar,TUM Univ Hosp, Munich, Germany; [Mathes, Sonja] Johannes Gutenberg Univ Mainz, Inst Hist Theory &amp; Eth Med, Med Ctr, Mainz, Germany; [Kuligin, Leonid; Tschochohei, Maximilian] Google Cloud, Munich, Germany; [Borm, Kai J.] Tech Univ Munich TUM, Dept Radiat Oncol, TUM Univ Hosp, Klinikum Rechts Isar,Sch Med &amp; Hlth, Munich, Germany; [Borm, Kai J.; Illert, Anna L.] Tech Univ Munich, Partner Site, Bavarian Ctr Canc Res BZKF, Munich, Germany; [Loersch, Alisa M.; Jung, Johannes; Illert, Anna L.] Tech Univ Munich TUM, Dept Med 3, Sch Med &amp; Hlth, Klinikum Rechts Isar,TUM Univ Hosp, Munich, Germany; [Lange, Sebastian] Tech Univ Munich TUM, Dept Med 2, Sch Med &amp; Hlth, Klinikum Rechts Isar,TUM Univ Hosp, Munich, Germany; [Pfarr, Nicole; Schwamborn, Kristina; Mogler, Carolin] Tech Univ Munich TUM, Inst Pathol, TUM Sch Med &amp; Hlth, Munich, Germany; [Winter, Christof] Tech Univ Munich TUM, Sch Med &amp; Hlth, Inst Clin Chem &amp; Pathobiochem, Klinikum Rechts Isar,TUM Univ Hosp, Munich, Germany; [Ferber, Dyke; Kather, Jakob Nikolas] Tech Univ Dresden, Else Kroener Fresenius Ctr Digital Hlth, Dresden, Germany; [Ferber, Dyke; Kather, Jakob Nikolas] Heidelberg Univ Hosp, Natl Ctr Tumor Dis, Heidelberg, Germany; [Ferber, Dyke] Heidelberg Univ Hosp, Dept Med Oncol, Heidelberg, Germany; [Kather, Jakob Nikolas] Univ Hosp Dresden, Dept Med 1, Dresden, Germany</t>
  </si>
  <si>
    <t>Technical University of Munich; Technical University of Munich; Technical University of Munich; Helmholtz Association; German Cancer Research Center (DKFZ); Technical University of Munich; Johannes Gutenberg University of Mainz; Technical University of Munich; Technical University of Munich; Technical University of Munich; Technical University of Munich; Technical University of Munich; Technical University of Munich; Technische Universitat Dresden; Ruprecht Karls University Heidelberg; Helmholtz Association; National Center for Tumor Diseases; German Cancer Research Center (DKFZ); Ruprecht Karls University Heidelberg; National Center for Tumor Diseases; Technische Universitat Dresden; Carl Gustav Carus University Hospital</t>
  </si>
  <si>
    <t>Expert-Guided Large Language Models for Clinical Decision Support in Precision Oncology</t>
  </si>
  <si>
    <t>JCO PRECISION ONCOLOGY</t>
  </si>
  <si>
    <t>Illert, Anna Lena/G-8127-2019; Schwamborn, Kristina/PKR-8735-2026; /AFD-1919-2022; Dreyer, Tobias/IYS-1076-2023; Winter, Christof/A-1887-2011; Lange, Sebastian/S-4635-2019; Mogler, Carolin/HZM-1973-2023; Kather, Jakob Nikolas/D-4279-2015</t>
  </si>
  <si>
    <t>Illert, Anna Lena/0000-0003-3141-417X; Lammert, Jacqueline/0000-0002-0380-574X; kiechle, marion/0000-0003-4237-2657; Jung, Johannes/0000-0003-0137-7929; Dreyer, Tobias/0000-0002-5366-7859; Winter, Christof/0000-0002-0253-9056; Lange, Sebastian/0000-0003-0406-1401; Mogler, Carolin/0000-0003-3400-7254; Kather, Jakob Nikolas/0000-0002-3730-5348</t>
  </si>
  <si>
    <t>58</t>
  </si>
  <si>
    <t>2473-4284</t>
  </si>
  <si>
    <t>JCO PRECIS ONCOL</t>
  </si>
  <si>
    <t>JCO Precis. Oncol.</t>
  </si>
  <si>
    <t>e2400478</t>
  </si>
  <si>
    <t>10.1200/PO-24-00478</t>
  </si>
  <si>
    <t>http://dx.doi.org/10.1200/PO-24-00478</t>
  </si>
  <si>
    <t>Oncology</t>
  </si>
  <si>
    <t>P3J2N</t>
  </si>
  <si>
    <t>39475661</t>
  </si>
  <si>
    <t>WOS:001376907800001</t>
  </si>
  <si>
    <t>Chan, LYT; Chan, DZM; Tan, YL; Yap, QV; Ong, W; Lee, A; Ge, SL; Leow, WN; Makmur, A; Ting, YH; Teo, EC; Hao, TJ; Kumar, N; Hallinan, JTPD</t>
  </si>
  <si>
    <t>Background: Large language models (LLMs) have emerged as powerful tools in healthcare. In diagnostic radiology, LLMs can assist in the computation of the Spine Instability Neoplastic Score (SINS), which is a critical tool for assessing spinal metastases. However, the accuracy of LLMs in calculating the SINS based on radiological reports remains underexplored. Objective: This study evaluates the accuracy of two institutional privacy-preserving LLMs-Claude 3.5 and Llama 3.1-in computing the SINS from radiology reports and electronic medical records, comparing their performance against clinician readers. Methods: A retrospective analysis was conducted on 124 radiology reports from patients with spinal metastases. Three expert readers established a reference standard for the SINS calculation. Two orthopaedic surgery residents and two LLMs (Claude 3.5 and Llama 3.1) independently calculated the SINS. The intraclass correlation coefficient (ICC) was used to measure the inter-rater agreement for the total SINS, while Gwet's Kappa was used to measure the inter-rater agreement for the individual SINS components. Results: Both LLMs and clinicians demonstrated almost perfect agreement with the reference standard for the total SINS. Between the two LLMs, Claude 3.5 (ICC = 0.984) outperformed Llama 3.1 (ICC = 0.829). Claude 3.5 was also comparable to the clinician readers with ICCs of 0.926 and 0.986, exhibiting a near-perfect agreement across all individual SINS components [0.919-0.990]. Conclusions: Claude 3.5 demonstrated high accuracy in calculating the SINS and may serve as a valuable adjunct in clinical workflows, potentially reducing clinician workload while maintaining diagnostic reliability. However, variations in LLM performance highlight the need for further validation and optimisation before clinical integration.</t>
  </si>
  <si>
    <t>Chan, Li Yi Tammy; Chan, Ding Zhou Matthew; Tan, Yi Liang; Yap, Qai Ven; Ong, Wilson; Lee, Aric; Ge, Shuliang; Leow, Wenxin Naomi; Makmur, Andrew; Ting, Yonghan; Teo, Ee Chin; Jiong Hao, Tan; Kumar, Naresh; Hallinan, James Thomas Patrick Decourcy</t>
  </si>
  <si>
    <t>Hallinan, JTPD (corresponding author), Natl Univ Singapore Hosp, Dept Diag Imaging, Singapore 119074, Singapore.</t>
  </si>
  <si>
    <t>yi_liang_tan@nuhs.edu.sg; tammy.chan@mohh.com.sg; aric_lee@mohh.edu.sg; wilson.ong@mohh.com.sg; andrew_makmur@nuhs.edu.sg; ee_chin_teo@nuhs.edu.sg; yonghan_ting@nuhs.edu.sg; naomi_wenxin_leow@nuhs.edu.sg; qaiven@nus.edu.sg; jonathan_jh_tan@nuhs.edu.sg; matthew.chan@mohh.com.sg; shuliang_ge@nuhs.edu.sg; dosksn@nus.edu.sg; james_hallinan@nuhs.edu.sg</t>
  </si>
  <si>
    <t>Singapore Ministry of Health National Medical Research Council; MOH/NMRC [CIAINV23jan-0001, MOH-001405]; Singapore Ministry of Health National Medical Research Council under the NMRC Clinician Innovator Award</t>
  </si>
  <si>
    <t>Singapore Ministry of Health National Medical Research Council (Ministry of Health - Singapore, National Medical Research Council, Singapore); MOH/NMRC (Ministry of Health - Singapore, National Medical Research Council, Singapore); Singapore Ministry of Health National Medical Research Council under the NMRC Clinician Innovator Award</t>
  </si>
  <si>
    <t>This research was funded as follows: Direct Funding from MOH/NMRC. This research is supported by the Singapore Ministry of Health National Medical Research Council under the NMRC Clinician Innovator Award (CIA). Grant Title: Deep learning pipeline for augmented reporting of MRI whole spine (CIAINV23jan-0001, MOH-001405) (J.T.P.D.H).</t>
  </si>
  <si>
    <t>[Chan, Li Yi Tammy; Chan, Ding Zhou Matthew; Tan, Yi Liang; Ong, Wilson; Lee, Aric; Ge, Shuliang; Makmur, Andrew; Ting, Yonghan; Teo, Ee Chin; Hallinan, James Thomas Patrick Decourcy] Natl Univ Singapore Hosp, Dept Diag Imaging, Singapore 119074, Singapore; [Yap, Qai Ven] Yong Loo Lin Sch Med, Biostat Unit, Singapore 117597, Singapore; [Leow, Wenxin Naomi] Natl Univ Hlth Syst, AIO Innovat Off, Singapore 119228, Singapore; [Jiong Hao, Tan; Kumar, Naresh] Natl Univ Hlth Syst, Univ Orthoped Hand &amp; Reconstruct Microsurg, Univ Spine Ctr, Singapore 119074, Singapore</t>
  </si>
  <si>
    <t>National University of Singapore; National University of Singapore; National University of Singapore; National University of Singapore</t>
  </si>
  <si>
    <t>Evaluating the Accuracy of Privacy-Preserving Large Language Models in Calculating the Spinal Instability Neoplastic Score (SINS)</t>
  </si>
  <si>
    <t>CANCERS</t>
  </si>
  <si>
    <t>large language models; radiology; artificial intelligence; spine metastases</t>
  </si>
  <si>
    <t>Kumar, Naresh/J-9422-2015; Hallinan, James/AAB-9348-2022</t>
  </si>
  <si>
    <t>Makmur, Andrew/0000-0002-9631-4121; Kumar, Naresh/0000-0003-4538-5031; Teo, Ee Chin/0000-0002-7053-2083; Tan, Yi Liang/0000-0002-1544-1250; Ge, Shuliang/0000-0002-4928-1195; Hallinan, James/0000-0002-0082-9033; Ong Ying Fa, Wilson/0000-0003-0262-3802; Yap, Qai Ven/0000-0003-3215-1754; Ting, Yonghan/0000-0002-8682-9914; Chan, Matthew/0009-0008-7014-9376</t>
  </si>
  <si>
    <t>2072-6694</t>
  </si>
  <si>
    <t>Cancers</t>
  </si>
  <si>
    <t>JUN 20 2025</t>
  </si>
  <si>
    <t>2073</t>
  </si>
  <si>
    <t>10.3390/cancers17132073</t>
  </si>
  <si>
    <t>http://dx.doi.org/10.3390/cancers17132073</t>
  </si>
  <si>
    <t>4XA7N</t>
  </si>
  <si>
    <t>40647373</t>
  </si>
  <si>
    <t>WOS:001528700900001</t>
  </si>
  <si>
    <t>Li, ZS; Wang, L; Zhang, XY; Wu, AP; Liu, T</t>
  </si>
  <si>
    <t>Objectives This study aimed to identify critical risk factors for acute kidney injury (AKI) following cardiac surgery. By integrating patient data from the MIMIC-IV database with large language models (LLMs) and machine learning algorithms, we ensured the clinical relevance of the selected risk factors, providing robust insights for the early identification and intervention of postoperative AKI.Methods Intensive care unit (ICU) data of patients from the MIMIC-IV database undergoing cardiac surgery were analyzed. Lasso regression and random forest algorithms were used to select significant predictive features from high-dimensional data. Model evaluation involved 10-fold cross-validation and metrics including accuracy, sensitivity, specificity, and the area under the curve. To enhance clinical relevance, LLMs-simulated expert judgment in cardiology and nephrology, which was further validated through discussions with clinical experts.Results In the cohort consisting of 4,565 patients, a total of 113 important and shared risk factors for AKI were identified, including variables such as anion gap, arterial partial pressure of oxygen (PaO2), and fraction of inspired oxygen (FiO2). Among these, 18 key variables were identified as postoperative AKI predictors via machine learning and LLMs-simulated expert validation. These included anchor age, Creatinine (serum), BUN (Blood Urea Nitrogen), Potassium (serum), Sodium (serum), Lactic Acid, Troponin-T, Furosemide (Lasix), Vancomycin (Random), Gentamicin (Trough), Albumin 5%, ART BP Mean, Cardiac Output (thermodilution), Brain Natriuretic Peptide (BNP), Absolute Count - Lymphs, Absolute Count - Monos, and Absolute Count - Neuts. The integration of LLMs with machine learning algorithms proved effective in accurately identifying clinically relevant risk factors.Conclusion The proposed risk prediction approach for postoperative AKI following cardiac surgery, based on the collaborative analysis of machine learning and large language models (LLMs), effectively identified and validated key clinical risk factors. By simulating expert clinical reasoning, the LLMs significantly enhanced the medical relevance of feature selection and improved the clinical interpretability of the model. This approach provides a solid theoretical and practical foundation for the precise early identification and clinical intervention of postoperative AKI in cardiac surgery patients.</t>
  </si>
  <si>
    <t>Li, Zishan; Wang, Lei; Zhang, Xunying; Wu, Aiping; Liu, Tao</t>
  </si>
  <si>
    <t>Liu, T (corresponding author), North China Univ Sci &amp; Technol, Coll Sci, Tangshan, Peoples R China.</t>
  </si>
  <si>
    <t>liutaocreate@gmail.com</t>
  </si>
  <si>
    <t>Natural Science Foundation of Hebei Province [C2025209039]; Key Scientific Research Project of North China University of Science and Technology [ZD-YG-202310]; Matching Fund of the National Natural Science Foundation from North China University of Science and Technology</t>
  </si>
  <si>
    <t>Natural Science Foundation of Hebei Province (Natural Science Foundation of Hebei Province); Key Scientific Research Project of North China University of Science and Technology; Matching Fund of the National Natural Science Foundation from North China University of Science and Technology</t>
  </si>
  <si>
    <t>This study was made possible by the support from the Natural Science Foundation of Hebei Province (Grant No. C2025209039), the Key Scientific Research Project of North China University of Science and Technology (Grant No. ZD-YG-202310), and the Matching Fund of the National Natural Science Foundation from North China University of Science and Technology.</t>
  </si>
  <si>
    <t>[Li, Zishan; Zhang, Xunying; Liu, Tao] North China Univ Sci &amp; Technol, Coll Sci, Tangshan, Peoples R China; [Wang, Lei] North China Univ Sci &amp; Technol, Affiliated Hosp, Dept Urol, Tangshan, Peoples R China; [Zhang, Xunying] Hebei Coll Sci &amp; Technol, Coll Automot Engn, Tangshan, Peoples R China; [Wu, Aiping] North China Univ Sci &amp; Technol, Sch Basic Med Sci, Tangshan, Peoples R China</t>
  </si>
  <si>
    <t>North China University of Science &amp; Technology; North China University of Science &amp; Technology; North China University of Science &amp; Technology</t>
  </si>
  <si>
    <t>Integration of machine learning and large language models for screening and identifying key risk factors of acute kidney injury after cardiac surgery</t>
  </si>
  <si>
    <t>acute kidney injury (AKI); large language models (LLMs); lasso regression; random forest; MIMIC-IV database</t>
  </si>
  <si>
    <t>tao, liu/MBG-4216-2025</t>
  </si>
  <si>
    <t>1618222</t>
  </si>
  <si>
    <t>10.3389/fmed.2025.1618222</t>
  </si>
  <si>
    <t>http://dx.doi.org/10.3389/fmed.2025.1618222</t>
  </si>
  <si>
    <t>9ZH5E</t>
  </si>
  <si>
    <t>41282027</t>
  </si>
  <si>
    <t>WOS:001618597200001</t>
  </si>
  <si>
    <t>Xia, SJ; Hua, Q; Mei, ZH; Xu, WW; Lai, LM; Wei, MY; Qin, Y; Luo, L; Wang, CH; Huo, SN; Fu, LJ; Zhou, FD; Wu, J; Zhang, L; Lv, D; Li, JX; Wang, X; Li, N; Song, YY; Zhou, JQ</t>
  </si>
  <si>
    <t>Background Limited data indicated the performance of large language model (LLM) taking on the role of doctors. We aimed to investigate the potential for ChatGPT-3.5 and New Bing Chat acting as doctors using thyroid nodules as an example. Methods A total of 145 patients with thyroid nodules were included for generating questions. Each question was entered into chatbot of ChatGPT-3.5 and New Bing Chat five times and five responses were acquired respectively. These responses were compared with answers given by five junior doctors. Responses from five senior doctors were regarded as gold standard. Accuracy and reproducibility of responses from ChatGPT-3.5 and New Bing Chat were evaluated. Results The accuracy of ChatGPT-3.5 and New Bing Chat in answering Q2, Q3, Q5 were lower than that of junior doctors (all P &lt; 0.05), while both LLMs were comparable to junior doctors when answering Q4 and Q6. In terms of "high reproducibility and accuracy", ChatGPT-3.5 outperformed New Bing Chat in Q1 and Q5 (P &lt; 0.001 and P = 0.008, respectively), but showed no significant difference in Q2, Q3, Q4, and Q6 (P &gt; 0.05 for all). New Bing Chat generated higher accuracy than ChatGPT-3.5 (72.41% vs 58.62%) (P = 0.003) in decision making of thyroid nodules, and both were less accurate than junior doctors (89.66%, P &lt; 0.001 for both). Conclusions The exploration of ChatGPT-3.5 and New Bing Chat in the diagnosis and management of thyroid nodules illustrates that LLMs currently demonstrate the potential for medical applications, but do not yet reach the clinical decision-making capacity of doctors.</t>
  </si>
  <si>
    <t>Xia, Shujun; Hua, Qing; Mei, Zihan; Xu, Wenwen; Lai, Limei; Wei, Minyan; Qin, Yu; Luo, Lin; Wang, Changhua; Huo, ShengNan; Fu, Lijun; Zhou, Feidu; Wu, Jiang; Zhang, Li; Lv, De; Li, Jianxin; Wang, Xin; Li, Ning; Song, Yanyan; Zhou, Jianqiao</t>
  </si>
  <si>
    <t>Zhou, JQ (corresponding author), Shanghai Jiao Tong Univ, Sch Med, Ruijin Hosp, Dept Ultrasound, Shanghai, Peoples R China.; Zhou, JQ (corresponding author), Shanghai Jiao Tong Univ, Coll Hlth Sci &amp; Technol, Sch Med, Shanghai, Peoples R China.</t>
  </si>
  <si>
    <t>zhousu30@126.com</t>
  </si>
  <si>
    <t>National Natural Science Foundation of China [82071928]; Academician Expert Workstation of Yunnan Province [202105AF150087]</t>
  </si>
  <si>
    <t>National Natural Science Foundation of China (National Natural Science Foundation of China (NSFC)); Academician Expert Workstation of Yunnan Province</t>
  </si>
  <si>
    <t>This study was supported by National Natural Science Foundation of China (82071928); the Academician Expert Workstation of Yunnan Province (202105AF150087)</t>
  </si>
  <si>
    <t>[Xia, Shujun; Hua, Qing; Mei, Zihan; Xu, Wenwen; Lai, Limei; Wei, Minyan; Qin, Yu; Zhou, Jianqiao] Shanghai Jiao Tong Univ, Sch Med, Ruijin Hosp, Dept Ultrasound, Shanghai, Peoples R China; [Xia, Shujun; Zhou, Jianqiao] Shanghai Jiao Tong Univ, Coll Hlth Sci &amp; Technol, Sch Med, Shanghai, Peoples R China; [Luo, Lin] Kongjiang Hosp, Dept Endocrinol, Shanghai, Peoples R China; [Wang, Changhua] Xianning 1 Peoples Hosp, Dept Thyroid &amp; Breast Surg, Xianning, Peoples R China; [Huo, ShengNan] Handan Hangang Hosp, Dept Thyroid, Handan, Hebei, Peoples R China; [Fu, Lijun] Zhengzhou Univ, Dept Thyroid Surg, Affiliated Hosp 1, Zhengzhou, Peoples R China; [Zhou, Feidu] LiuYang Peoples Hosp, Thyroid &amp; Breast Surg, Changsha, Peoples R China; [Wu, Jiang] Fourth Mil Med Univ, Xijing Hosp, Dept Thyroid Breast &amp; Vasc Surg, Xian, Shanxi, Peoples R China; [Zhang, Li] Shanxi Prov Canc Hosp, Dept Head &amp; Neck Surg, Taiyuan, Peoples R China; [Lv, De] Hosp Chengdu Univ Tradit Chinese Med, Dept Endocrinol, Chengdu, Peoples R China; [Li, Jianxin] Mazhanghuiwen Hosp, Dept Surg, Zhanjiang, Guangdong, Peoples R China; [Wang, Xin] Lianshui Peoples Hosp, Endocrine Dept, Huaian, Jiangsu, Peoples R China; [Li, Ning] Kunming Univ Sci &amp; Technol, Anning Peoples Hosp 1, Dept Ultrasound, Anning, Yunnan, Peoples R China; [Song, Yanyan] Shanghai Jiao Tong Univ, Sch Med, Inst Med Sci, Dept Biostat, Shanghai, Peoples R China</t>
  </si>
  <si>
    <t>Shanghai Jiao Tong University; Shanghai Jiao Tong University; Zhengzhou University; Air Force Medical University; Shanxi Medical University; Chengdu University of Traditional Chinese Medicine; Kunming University of Science &amp; Technology; Shanghai Jiao Tong University</t>
  </si>
  <si>
    <t>Clinical application potential of large language model: a study based on thyroid nodules</t>
  </si>
  <si>
    <t>ENDOCRINE</t>
  </si>
  <si>
    <t>Artificial intelligence; LLM; ChatGPT; New Bing Chat</t>
  </si>
  <si>
    <t>ACTIVE SURVEILLANCE; CANCER; MANAGEMENT; AMERICAN</t>
  </si>
  <si>
    <t>Zhou, JianQiao/ADS-9679-2022; FU, LIJUN/JRY-0586-2023; Lai, Lai/GXG-3717-2022; Song, Yanyan/ACI-6084-2022</t>
  </si>
  <si>
    <t>Song, Yanyan/0000-0001-9564-8261</t>
  </si>
  <si>
    <t>1355-008X</t>
  </si>
  <si>
    <t>1559-0100</t>
  </si>
  <si>
    <t>Endocrine</t>
  </si>
  <si>
    <t>87</t>
  </si>
  <si>
    <t>206</t>
  </si>
  <si>
    <t>213</t>
  </si>
  <si>
    <t>10.1007/s12020-024-03981-3</t>
  </si>
  <si>
    <t>http://dx.doi.org/10.1007/s12020-024-03981-3</t>
  </si>
  <si>
    <t>Endocrinology &amp; Metabolism</t>
  </si>
  <si>
    <t>S4E7M</t>
  </si>
  <si>
    <t>39080210</t>
  </si>
  <si>
    <t>WOS:001281038100001</t>
  </si>
  <si>
    <t>Yu, YN; Ji, J; Chen, ZY; Dhupia, J; Tang, LH; Liu, ZP; Xiang, JW</t>
  </si>
  <si>
    <t>Self-supervised contrastive learning is effective in few-shot fault diagnosis by extracting discriminative temporal features from unlabelled data. However, conventional data augmentation strategies in existing contrastive approaches are often suboptimal for vibration signals, requiring profound expertise in fault diagnosis and signal processing. Additionally, differences between negative sample pairs in the same batch are typically ignored, potentially causing mistaken rejection of similar samples. To address these issues, this paper proposes a novel learning framework (LLM-CoTAugSCLFD) that leverages a large language model (LLM) with chain of thought (CoT) to assist data augmentation (Aug) for few-shot soft contrastive learning (SCL) fault diagnosis (FD). A data augmentation strategy driven by LLM dialogue and CoT reasoning is developed to adaptively provide reliable and diverse augmentation samples, even with limited domain expertise. Furthermore, a soft label assignment mechanism is introduced to offer precise sample relationship metrics, improving the weighting of fake negative pairs within batches. This enables the model to learn vibration features with higher consistency and better generalization for downstream tasks. Comprehensive evaluations, including few-shot fault diagnosis tasks of bearings and gears, confirm the effectiveness and generalizability of the proposed method.</t>
  </si>
  <si>
    <t>Yu, Yannan; Ji, J. C.; Chen, Zhuyun; Dhupia, Jaspreet; Tang, Lihua; Liu, Zhiping; Xiang, Jiawei</t>
  </si>
  <si>
    <t>Liu, ZP (corresponding author), Wuhan Univ Technol, Sch Transportat &amp; Logist Engn, Wuhan 430063, Hubei, Peoples R China.</t>
  </si>
  <si>
    <t>lzp@whut.edu.cn</t>
  </si>
  <si>
    <t>National Key R &amp; D Program of China [2022YFB2602303, 2024YFB470920001]; China Scholarship Council (CSC) [202306950092]; Fundamental Research Funds for the Central Universities [2025-JL-016]</t>
  </si>
  <si>
    <t>National Key R &amp; D Program of China; China Scholarship Council (CSC) (China Scholarship Council); Fundamental Research Funds for the Central Universities (Fundamental Research Funds for the Central Universities)</t>
  </si>
  <si>
    <t>This work is supported by the National Key R &amp; D Program of China under Grant 2022YFB2602303, 2024YFB470920001 and the China Scholarship Council (CSC) under Grant 202306950092, and the Fundamental Research Funds for the Central Universities under Grant 2025-JL-016.</t>
  </si>
  <si>
    <t>[Yu, Yannan; Liu, Zhiping] Wuhan Univ Technol, Sch Transportat &amp; Logist Engn, Wuhan 430063, Hubei, Peoples R China; [Yu, Yannan; Dhupia, Jaspreet; Tang, Lihua] Univ Auckland, Dept Mech &amp; Mechatron Engn, Auckland 1010, New Zealand; [Chen, Zhuyun] Guangdong Univ Technol, State Key Lab Precis Elect Mfg Technol &amp; Equipment, Guangzhou, Peoples R China; [Ji, J. C.] Univ Technol Sydney, Sch Mech &amp; Mechatron Engn, Sydney, NSW 2007, Australia; [Xiang, Jiawei] Wenzhou Univ, Coll Mech &amp; Elect Engn, Wenzhou 325035, Peoples R China</t>
  </si>
  <si>
    <t>Wuhan University of Technology; University of Auckland; Guangdong University of Technology; University of Technology Sydney; Wenzhou University</t>
  </si>
  <si>
    <t>Large language model to assist data augmentation in soft contrastive learning for few-shot machinery fault diagnosis</t>
  </si>
  <si>
    <t>ADVANCED ENGINEERING INFORMATICS</t>
  </si>
  <si>
    <t>Large language model; Chain of thought; Soft contrastive learning; Data augmentation; Few-shot; Fault diagnosis</t>
  </si>
  <si>
    <t>Tang, Lihua/AAN-3406-2021; Xiang, Jiawei/G-1177-2011; Chen, Zhuyun/AFV-7930-2022; Dhupia, Jaspreet/A-3818-2011; Ji, JC/AFK-3787-2022</t>
  </si>
  <si>
    <t>Tang, Lihua/0000-0001-9031-4190; Ji, JC/0000-0003-3280-5463</t>
  </si>
  <si>
    <t>1474-0346</t>
  </si>
  <si>
    <t>1873-5320</t>
  </si>
  <si>
    <t>ADV ENG INFORM</t>
  </si>
  <si>
    <t>Adv. Eng. Inform.</t>
  </si>
  <si>
    <t>69</t>
  </si>
  <si>
    <t>D</t>
  </si>
  <si>
    <t>104078</t>
  </si>
  <si>
    <t>10.1016/j.aei.2025.104078</t>
  </si>
  <si>
    <t>http://dx.doi.org/10.1016/j.aei.2025.104078</t>
  </si>
  <si>
    <t>Computer Science, Artificial Intelligence; Engineering, Multidisciplinary</t>
  </si>
  <si>
    <t>Computer Science; Engineering</t>
  </si>
  <si>
    <t>M8300</t>
  </si>
  <si>
    <t>WOS:001630964700002</t>
  </si>
  <si>
    <t>Zhang, ZX; Ma, YX; Xiao, YC; Dai, YG; Lin, QZ; Liu, C; Wang, CC; Tu, T; Liu, QM</t>
  </si>
  <si>
    <t>Large language models (LLMs) have showed strong performance on standardized medical examinations, yet their comparative clinical relevance against human clinicians remains limited. This study benchmarked the performance of DeepSeek-R1 and ChatGPT 4.0 against cardiovascular clinicians from different hospital levels in China. We conducted a cross-sectional, vignette-based assessment consisting of 100 standardized cardiovascular multiple-choice questions covering four competency domains: clinical reasoning (CR), frontier updates (FU), basic memory (BM), and emergency decision (ED). Thirty clinicians from six hospitals (three primary and three tertiary) were compared with two LLMs. Each question was executed five times per model, and run-to-run consistency was evaluated. Mean differences (LLM - clinician) with 95% confidence intervals (CIs) were estimated using nonparametric bootstrap resampling (10,000 iterations). Clinicians achieved a mean total score of 69.7 +/- 7.9, whereas DeepSeek-R1 and ChatGPT-4.0 scored 97 and 95, respectively. The mean total score differences were + 27.3 points (95% CI 24.4-30.1) for DeepSeek-R1 and + 25.3 points (22.4-28.1) for ChatGPT 4.0. Both models outperformed clinicians in CR, FU, BM, and ED. Run-to-run agreement was high (DeepSeek-R1 kappa = 0.73; ChatGPT 4.0 kappa = 0.76). LLMs substantially outperformed clinicians in knowledge- and decision-based tasks while approaching clinician-level performance in CR. These findings suggest that LLMs may complement clinical expertise and enhance diagnostic consistency across hospital levels.</t>
  </si>
  <si>
    <t>Zhang, Zixi; Ma, Yingxu; Xiao, Yichao; Dai, Yongguo; Lin, Qiuzhen; Liu, Chan; Wang, Cancan; Tu, Tao; Liu, Qiming</t>
  </si>
  <si>
    <t>Tu, T; Liu, QM (corresponding author), Cent South Univ, Xiangya Hosp 2, Dept Cardiol, 139 Renmin Rd, Changsha, Hunan, Peoples R China.</t>
  </si>
  <si>
    <t>qimingliu@csu.edu.cn; tutaotodd@csu.edu.cn</t>
  </si>
  <si>
    <t>Hunan Provincial Natural Science Foundation of China [2023JJ30791, 2021JJ30033]; Clinical Medical Technology Innovation Guidance Project of Hunan Science and Technology Agency [2021SK53519]; Key Project of Hunan Provincial Science and Technology Innovation [2024JK2119]; National Natural Science Foundation of China [82200367, 82300357, 82470333, 82070356]; Chinese Society of Cardiology's Foundation [CSCF2024B02]</t>
  </si>
  <si>
    <t>Hunan Provincial Natural Science Foundation of China (Natural Science Foundation of Hunan Province); Clinical Medical Technology Innovation Guidance Project of Hunan Science and Technology Agency; Key Project of Hunan Provincial Science and Technology Innovation; National Natural Science Foundation of China (National Natural Science Foundation of China (NSFC)); Chinese Society of Cardiology's Foundation</t>
  </si>
  <si>
    <t>This work was supported by the National Natural Science Foundation of China [No. 82070356, 81770337, 82470333, 82300357, 82200367], the Chinese Society of Cardiology's Foundation [No. CSCF2024B02], the Hunan Provincial Natural Science Foundation of China [No. 2021JJ30033, 2023JJ30791], the Key Project of Hunan Provincial Science and Technology Innovation [No. 2024JK2119], and the Clinical Medical Technology Innovation Guidance Project of Hunan Science and Technology Agency [No. 2021SK53519].</t>
  </si>
  <si>
    <t>[Zhang, Zixi; Ma, Yingxu; Xiao, Yichao; Lin, Qiuzhen; Tu, Tao; Liu, Qiming] Cent South Univ, Xiangya Hosp 2, Dept Cardiol, 139 Renmin Rd, Changsha, Hunan, Peoples R China; [Dai, Yongguo] Cent South Univ, Xiangya Hosp, Dept Pharm, Changsha, Hunan, Peoples R China; [Liu, Chan] Cent South Univ, Xiangya Hosp 2, Dept Int Med, Changsha, Hunan, Peoples R China; [Wang, Cancan] Cent Hosp Hunan Prov Prison Adm, Detent Area 1, Changsha, Hunan, Peoples R China</t>
  </si>
  <si>
    <t>Central South University; Central South University; Central South University</t>
  </si>
  <si>
    <t>Benchmarking large language models against clinicians across hospital levels in cardiovascular decision-making: a cross-sectional vignette-based study</t>
  </si>
  <si>
    <t>Artificial intelligence; DeepSeek-R1; ChatGPT 4.0; Clinical decision-making; China</t>
  </si>
  <si>
    <t>Zhang, Zixi/IAR-7619-2023; Xiao, Yichao/HNQ-3581-2023; Dai, Yongguo/MVY-2965-2025</t>
  </si>
  <si>
    <t>Liu, Qiming/0000-0002-5213-2668; Dai, Yongguo/0000-0002-9023-5211</t>
  </si>
  <si>
    <t>DEC 15 2025</t>
  </si>
  <si>
    <t>2764</t>
  </si>
  <si>
    <t>10.1038/s41598-025-32602-w</t>
  </si>
  <si>
    <t>http://dx.doi.org/10.1038/s41598-025-32602-w</t>
  </si>
  <si>
    <t>CK0CD</t>
  </si>
  <si>
    <t>41398287</t>
  </si>
  <si>
    <t>WOS:001667609400001</t>
  </si>
  <si>
    <t>Xie, WB; Song, XL; Lu, ZR; Fei, GQ; Zhou, YJ; Ding, SQ; Zuo, FY; Wu, BY; Gu, TH; Xu, L; De, XM; Zhu, B</t>
  </si>
  <si>
    <t>Background Depression imposes substantial individual and societal burdens, yet more than 80% of cases remain undetected in non-psychiatric settings, and approximately 15% of individuals with severe depression die by suicide. Existing screening methods are limited by subjective self-report, fragmented care pathways, and stigma-related underutilization. Methods We developed and locally deployed a Retrieval-Augmented Generation (RAG) framework that integrates large language models (LLMs) with an evidence-based clinical knowledge base for depression and suicidality. Three leading Chinese LLMs (DeepSeek, Qwen, Baichuan) were evaluated under base and RAG-augmented configurations. The knowledge base comprised clinical practice guidelines, standard textbooks, and peer-reviewed literature. Model performance was assessed on multi-source datasets. Outcomes included classification of depression and suicide risk, consistency of diagnostic outputs, symptom-summary quality, and clinician-rated empathy and dialogue quality. Results RAG augmentation consistently improved diagnostic performance across datasets. For depression detection, Qwen3 + RAG achieved an F1-score of 0.9107, and for suicide risk stratification, RAG enhanced F1-scores by approximately 0.15 compared with non-RAG baselines. The best-performing configuration demonstrated high reproducibility for both depression diagnosis and suicide risk classification (overall kappa = 0.93; 95% CI: 0.91-0.95). Symptom summarization was substantially improved with RAG, with relative gains of 44.1-207.2% in BLEU-2 and 37.0-94.0% in ROUGE-L. Clinician-blinded ratings indicated clinician-evaluated high-level empathic expression in RAG-enhanced models (mean scores 4.23-4.98/5), with Qwen3 + RAG exhibiting particularly strong emotional concordance (95% CI: 4.80-4.92). Dialogue quality was rated as high across domains, including fluency (mean 4.98/5) and perceived doctor-likeness (mean 4.94/5). Conclusions A domain-specific, RAG-enhanced LLM framework can deliver clinically reliable, reproducible, and empathetic depression screening and suicide risk stratification in both real-world and simulated settings. Local on-premises deployment supports privacy and data-governance requirements, while the scalable architecture and structured outputs position this approach as a promising tool for augmenting mental health triage and longitudinal monitoring in resource-constrained environments.</t>
  </si>
  <si>
    <t>Xie, Wenbo; Song, Xulai; Lu, Zerui; Fei, Gaoqiang; Zhou, Yujia; Ding, Siqi; Zuo, Fengyi; Wu, Bangyu; Gu, Tianhao; Xu, Lin; De, Xiaomeng; Zhu, Bin</t>
  </si>
  <si>
    <t>De, XM (corresponding author), Nanjing Med Univ, Affiliated Canc Hosp, Dept Thorac Surg, Nanjing 210009, Peoples R China.; De, XM (corresponding author), Jiangsu Canc Hosp, Nanjing 210009, Peoples R China.; De, XM (corresponding author), Jiangsu Inst Canc Res, Nanjing 210009, Peoples R China.; De, XM; Zhu, B (corresponding author), Canc Inst Jiangsu Prov, Jiangsu Key Lab Innovat Canc Diag &amp; Therapeut, Nanjing, Peoples R China.; De, XM; Zhu, B (corresponding author), Nanjing Med Univ, Hosp Dev Management Off, Nanjing, Peoples R China.</t>
  </si>
  <si>
    <t>zfyhftz@stu.njmu.edu.cn; luzerui@stu.njmu.edu.cn; dick2015@qq.com; dingsiqimag@163.com; jszb96@163.com; zhous650@icloud.com; 2324679690@qq.com; m15651879132@163.com; feigaoqiang@njmu.edu.cn; xulin83@hotmail.com; dexiaomeng2001@163.com</t>
  </si>
  <si>
    <t>Jiangsu Geriatrics Society</t>
  </si>
  <si>
    <t>This study was supported by the grants from the Scientific Research Projects of Jiangsu Geriatrics Society (JGS2025ZDQ008).</t>
  </si>
  <si>
    <t>[Xie, Wenbo; Song, Xulai; Gu, Tianhao] Nanjing Med Univ, Sch Clin Med 4, Nanjing, Peoples R China; [Song, Xulai; Xu, Lin; De, Xiaomeng] Nanjing Med Univ, Affiliated Canc Hosp, Dept Thorac Surg, Nanjing 210009, Peoples R China; [Song, Xulai; Fei, Gaoqiang; Xu, Lin; De, Xiaomeng] Jiangsu Canc Hosp, Nanjing 210009, Peoples R China; [Song, Xulai; Fei, Gaoqiang; Xu, Lin; De, Xiaomeng] Jiangsu Inst Canc Res, Nanjing 210009, Peoples R China; [Song, Xulai; Xu, Lin; De, Xiaomeng; Zhu, Bin] Canc Inst Jiangsu Prov, Jiangsu Key Lab Innovat Canc Diag &amp; Therapeut, Nanjing, Peoples R China; [Lu, Zerui] Nanjing Med Univ, Sch Clin Med 1, Nanjing, Peoples R China; [Fei, Gaoqiang] Nanjing Med Univ, Affiliated Canc Hosp, Off Jiangsu Canc Ctr, Nanjing, Peoples R China; [Zhou, Yujia; Zuo, Fengyi; Wu, Bangyu] Nanjing Med Univ, Clin Med Sch 2, Nanjing, Peoples R China; [Ding, Siqi] Nanjing Med Univ, Dept Med Imaging, Nanjing, Peoples R China; [De, Xiaomeng; Zhu, Bin] Nanjing Med Univ, Hosp Dev Management Off, Nanjing, Peoples R China; [Xie, Wenbo; Zhou, Yujia; Ding, Siqi; Zuo, Fengyi; Wu, Bangyu; Gu, Tianhao] Nanjing Med Univ, Data Min Ultimate DMU Res Team, Nanjing, Peoples R China</t>
  </si>
  <si>
    <t>Nanjing Medical University; Nanjing Medical University; Nanjing Medical University; Nanjing Medical University; Nanjing Medical University; Nanjing Medical University; Nanjing Medical University; Nanjing Medical University; Nanjing Medical University; Nanjing Medical University</t>
  </si>
  <si>
    <t>Retrieval-augmented large language models for depression screening and suicide risk stratification</t>
  </si>
  <si>
    <t>BMC PSYCHIATRY</t>
  </si>
  <si>
    <t>Large language models; Depression screening; Suicide risk stratification; Retrieval-augmented generation; Clinical decision support; Empathic human-AI interaction; Mental health triage</t>
  </si>
  <si>
    <t>1471-244X</t>
  </si>
  <si>
    <t>BMC Psychiatry</t>
  </si>
  <si>
    <t>MAR 31 2026</t>
  </si>
  <si>
    <t>386</t>
  </si>
  <si>
    <t>10.1186/s12888-026-07988-0</t>
  </si>
  <si>
    <t>http://dx.doi.org/10.1186/s12888-026-07988-0</t>
  </si>
  <si>
    <t>HV0MZ</t>
  </si>
  <si>
    <t>41917861</t>
  </si>
  <si>
    <t>WOS:001763364000002</t>
  </si>
  <si>
    <t>Chakravarthi, BA; Shivakanth, G</t>
  </si>
  <si>
    <t>Early diagnosis of Alzheimer's disease (AD) is important for early intervention, but current diagnostic tools tend to use unimodal methods, processing either speech or text separately. Although models such as the ComParE Baseline for audio and BERT-based text classifiers have been successful, they do not take advantage of the complementary strengths of both modalities, which restricts their diagnostic power. To overcome this, we suggest SPID-AD (Speech-Based Intelligent Detection of Alzheimer's Dementia), a multimodal deep-learning approach that combines linguistic and acoustic features for the automated detection of Alzheimer's. Our approach uses a BERT-based architecture to mine semantic patterns from transcripts and an augmented Convolutional Neural Network (CNN) to process Mel-spectrogram representations of speech. By combining these features in dense layers, the model retains language-related as well as auditory biomarkers of cognitive impairment. Assessed on the DementiaBank Pitt Corpus, SPID-AD has 95.6% classification accuracy, surpassing state-of-the-art models in precision, recall, and F1-score. The findings demonstrate the strength of multimodal analysis in detecting dementia speech patterns, providing a non-invasive, AI-based diagnostic tool that may assist clinicians in the early detection of Alzheimer's.</t>
  </si>
  <si>
    <t>Chakravarthi, Bandaru A.; Shivakanth, Gandla</t>
  </si>
  <si>
    <t>Shivakanth, G (corresponding author), Koneru Lakshmaiah Educ Fdn, Dept Comp Sci &amp; Engn, Hyderabad, India.</t>
  </si>
  <si>
    <t>shivakanth256@gmail.com</t>
  </si>
  <si>
    <t>[Chakravarthi, Bandaru A.; Shivakanth, Gandla] Koneru Lakshmaiah Educ Fdn, Dept Comp Sci &amp; Engn, Hyderabad, India</t>
  </si>
  <si>
    <t>Koneru Lakshmaiah Education Foundation (K L Deemed to be University)</t>
  </si>
  <si>
    <t>Speech2Dementia: A Novel Deep Learning Framework Integrating Enhanced CNN and Large Language Models for Automatic Detection of Alzheimer's Dementia</t>
  </si>
  <si>
    <t>COMPUTATIONAL INTELLIGENCE</t>
  </si>
  <si>
    <t>Alzheimer's dementia detection; enhanced CNN-BERT framework; healthcare AI diagnostics; multimodal deep learning; speech and text analysis</t>
  </si>
  <si>
    <t>FEATURES</t>
  </si>
  <si>
    <t>kanth, Shiva/HRD-0638-2023</t>
  </si>
  <si>
    <t>, Bandaru A Chakravarthi/0009-0004-1980-1788; shivakanth, Gandla/0000-0001-6787-6929</t>
  </si>
  <si>
    <t>0824-7935</t>
  </si>
  <si>
    <t>1467-8640</t>
  </si>
  <si>
    <t>COMPUT INTELL-US</t>
  </si>
  <si>
    <t>Comput. Intell.</t>
  </si>
  <si>
    <t>APR 9 2025</t>
  </si>
  <si>
    <t>e70051</t>
  </si>
  <si>
    <t>10.1111/coin.70051</t>
  </si>
  <si>
    <t>http://dx.doi.org/10.1111/coin.70051</t>
  </si>
  <si>
    <t>Computer Science, Artificial Intelligence</t>
  </si>
  <si>
    <t>1FA5E</t>
  </si>
  <si>
    <t>WOS:001463477800001</t>
  </si>
  <si>
    <t>Campo-Beamud, C; Ruiz, AA; Quijano, JB; Beamud, EC; Gómez-Romero, FJ; Ruíz, AJF; Copete, S</t>
  </si>
  <si>
    <t>Background/aims Ocular surface infections remain a major cause of visual loss worldwide, yet diagnosis often relies on slow or insensitive microbiological techniques. Artificial intelligence may complement emerging molecular tools by supporting rapid triage and diagnostic reasoning. This study benchmarked publicly available multimodal large language models (LLMs) against corneal specialists for the diagnosis, treatment and urgency triage of infectious keratitis and conjunctivitis.Methods A single-centre diagnostic-accuracy study included 60 microbiologically confirmed infectious keratitis and conjunctivitis cases, each comprising a slit-lamp photograph and a paired clinical vignette. Six multimodal LLMs (GPT-4o, GPT-5, Gemini, Claude, Perplexity and Grok) were evaluated for diagnosis, treatment and urgency triage under three input conditions (image-only, text-only and image+text). Outputs were compared with two corneal specialists.Results LLM performance depended strongly on input modality. Image-only accuracy was lowest (best GPT-5, 61.4%; kappa=0.38) with frequent misclassification of fungal and Acanthamoeba keratitis and hallucinations confined to this setting. Text input improved results (GPT-5, 83.3%; kappa=0.78), though accuracy remained below specialists (87-90%; kappa approximate to 0.8). Combined image+text achieved near-human accuracy without consistently surpassing corneal specialists (Perplexity 96.7%; kappa=0.95; GPT-5 91.7%; kappa=0.87). Treatment accuracy remained lower (81-85% vs 90-98%), while urgency triage matched experts in multimodal input.Conclusion Publicly accessible multimodal LLMs can approach expert-level performance in diagnosis and triage when provided with clinical context and slit-lamp images. Gaps in therapeutic reasoning and rare pathogen recognition underscore the need for targeted refinement and validation. These models may complement specialist care, supporting rapid triage and integration with molecular or metagenomic diagnostics, especially in resource-limited settings.</t>
  </si>
  <si>
    <t>Campo-Beamud, Carlos; Ruiz, Antonio Adan; Quijano, Jesus Bastante; Beamud, Esther Campo; Gomez-Romero, Francisco Javier; Ruiz, Alfredo Julian Fernandez; Copete, Sergio</t>
  </si>
  <si>
    <t>Campo-Beamud, C (corresponding author), Hosp Gen Univ Ciudad Real, Ophthalmol Dept, Ciudad Real, Spain.</t>
  </si>
  <si>
    <t>jbastantequijano@gmail.com; ccampob@sescam.jccm.es; fjgomezr@sescam.jccm.es; ajfernandezr@sescam.jccm.com; esthercampobeamud@gmail.com; adan_990@hotmail.com; sergiocp.ab@gmail.com</t>
  </si>
  <si>
    <t>[Campo-Beamud, Carlos; Ruiz, Antonio Adan; Quijano, Jesus Bastante; Beamud, Esther Campo; Ruiz, Alfredo Julian Fernandez] Hosp Gen Univ Ciudad Real, Ophthalmol Dept, Ciudad Real, Spain; [Gomez-Romero, Francisco Javier] Hosp Gen Univ Ciudad Real, Translat Res Unit, Ciudad Real, Spain; [Gomez-Romero, Francisco Javier] Univ Castilla La Mancha, Fac Med, Ciudad Real, Spain; [Copete, Sergio] Complejo Hosp Univ Albacete, Ophthalmol Deparment, Albacete, Spain</t>
  </si>
  <si>
    <t>Universidad de Castilla-La Mancha</t>
  </si>
  <si>
    <t>Publicly available multimodal large language models for ocular surface infections: benchmarking against corneal specialists in triage, diagnosis and treatment</t>
  </si>
  <si>
    <t>BRITISH JOURNAL OF OPHTHALMOLOGY</t>
  </si>
  <si>
    <t>Infection; Cornea; Imaging; Microbiology; Artificial Intelligence</t>
  </si>
  <si>
    <t>gomez-romero, francisco javier/JDM-2403-2023</t>
  </si>
  <si>
    <t>BMJ PUBLISHING GROUP</t>
  </si>
  <si>
    <t>BRITISH MED ASSOC HOUSE, TAVISTOCK SQUARE, LONDON WC1H 9JR, ENGLAND</t>
  </si>
  <si>
    <t>0007-1161</t>
  </si>
  <si>
    <t>1468-2079</t>
  </si>
  <si>
    <t>BRIT J OPHTHALMOL</t>
  </si>
  <si>
    <t>Br. J. Ophthalmol.</t>
  </si>
  <si>
    <t>10.1136/bjo-2025-328867</t>
  </si>
  <si>
    <t>http://dx.doi.org/10.1136/bjo-2025-328867</t>
  </si>
  <si>
    <t>GG8EJ</t>
  </si>
  <si>
    <t>41946559</t>
  </si>
  <si>
    <t>WOS:001736055100001</t>
  </si>
  <si>
    <t>Psilopatis, I; Monod, C; Filippi, V; Tschudin, R; Lapaire, O; Emons, J; Mosimann, B; Zwimpfer, TA</t>
  </si>
  <si>
    <t>BackgroundCardiotocography (CTG) remains a cornerstone in fetal monitoring, but its interpretation is subject to considerable inter- and intra-observer variability. Artificial intelligence (AI) tools, particularly large language models (LLMs), offer potential to improve diagnostic consistency and reduce clinician workload.ObjectivesThis study aims to evaluate and compare the accuracy of various LLMs in CTG interpretation based on Federation of Gynecology and Obstetrics (FIGO 2015) criteria.Study designAn analysis of sixty CTG traces previously classified by clinicians at the University Hospital Basel according to FIGO guidelines was conducted. In a two-run protocol, 30 normal CTG traces were initially presented as screenshots to Chat-GPT-4.0, Google Gemini, Bing Copilot, and DeepSeek. Subsequently, the LLMs that demonstrated adequate interpretation of normal CTGs were tasked to classify another 30 suspicious or pathological CTG traces. Each LLM was asked to classify each CTG trace as normal or abnormal.ResultsDeepSeek was unable to interpret CTGs and was excluded. Google Gemini showed poor performance (6.7%) on normal CTGs. Chat-GPT-4.0 partially succeeded in correctly classifying the provided CTG traces as normal (46.7%) or abnormal (50%). Bing Copilot accurately interpreted normal CTGs (96.6%) but failed on abnormal ones (0%).ConclusionsLLMs show major limitations in the interpretation of CTG traces according to the FIGO criteria.</t>
  </si>
  <si>
    <t>Psilopatis, Iason; Monod, Cecile; Filippi, Valeria; Tschudin, Rebecca; Lapaire, Olaf; Emons, Julius; Mosimann, Beatrice; Zwimpfer, Tibor A.</t>
  </si>
  <si>
    <t>Psilopatis, I (corresponding author), Univ Basel, Univ Hosp Basel, Dept Gynecol &amp; Obstet, Basel, Switzerland.</t>
  </si>
  <si>
    <t>iason.psilopatis@usb.ch</t>
  </si>
  <si>
    <t>University of Basel</t>
  </si>
  <si>
    <t>University of Basel (University of Basel)</t>
  </si>
  <si>
    <t>Open access funding provided by University of Basel.</t>
  </si>
  <si>
    <t>[Psilopatis, Iason; Monod, Cecile; Filippi, Valeria; Tschudin, Rebecca; Lapaire, Olaf; Mosimann, Beatrice; Zwimpfer, Tibor A.] Univ Basel, Univ Hosp Basel, Dept Gynecol &amp; Obstet, Basel, Switzerland; [Emons, Julius] Friedrich Alexander Univ Erlangen Nurnberg FAU, Comprehens Canc Ctr Erlangen EMN CCC ER EMN, Dept Gynecol &amp; Obstet, Univ Klinikum Erlangen, Erlangen, Germany; [Zwimpfer, Tibor A.] Univ Hosp, Dept Biomed, Basel, Switzerland; [Zwimpfer, Tibor A.] Univ Basel, Basel, Switzerland</t>
  </si>
  <si>
    <t>University of Basel; University of Erlangen Nuremberg; University of Basel</t>
  </si>
  <si>
    <t>A comparative evaluation of publicly available large language models in the assessment of CTG traces according to the FIGO criteria</t>
  </si>
  <si>
    <t>ARCHIVES OF GYNECOLOGY AND OBSTETRICS</t>
  </si>
  <si>
    <t>Artificial intelligence; Large language model; CTG; Obstetrics; Fetal monitoring</t>
  </si>
  <si>
    <t>FETAL; GUIDELINES</t>
  </si>
  <si>
    <t>Emons, Julius/KGM-0735-2024; Psilopatis, Iason/LEL-9649-2024; Zwimpfer, Tibor/AAR-5500-2021</t>
  </si>
  <si>
    <t>Filippi, Valeria/0000-0002-4281-0517</t>
  </si>
  <si>
    <t>SPRINGER HEIDELBERG</t>
  </si>
  <si>
    <t>HEIDELBERG</t>
  </si>
  <si>
    <t>TIERGARTENSTRASSE 17, D-69121 HEIDELBERG, GERMANY</t>
  </si>
  <si>
    <t>0932-0067</t>
  </si>
  <si>
    <t>1432-0711</t>
  </si>
  <si>
    <t>ARCH GYNECOL OBSTET</t>
  </si>
  <si>
    <t>Arch. Gynecol. Obstet.</t>
  </si>
  <si>
    <t>312</t>
  </si>
  <si>
    <t>1571</t>
  </si>
  <si>
    <t>1580</t>
  </si>
  <si>
    <t>10.1007/s00404-025-08145-w</t>
  </si>
  <si>
    <t>http://dx.doi.org/10.1007/s00404-025-08145-w</t>
  </si>
  <si>
    <t>Obstetrics &amp; Gynecology</t>
  </si>
  <si>
    <t>9NH8U</t>
  </si>
  <si>
    <t>40839146</t>
  </si>
  <si>
    <t>WOS:001555866500001</t>
  </si>
  <si>
    <t>Erkal, D; Felek, T; Butean, OP; Er, K</t>
  </si>
  <si>
    <t>Introduction This study hypothesized that large language models (LLMs) would underperform compared to expert clinicians in diagnosing and managing complex endodontic anomalies, such as dens invaginatus, when provided with periapical radiographs. Although LLMs have shown promise in dental education and basic diagnostics, their effectiveness in nuanced clinical reasoning has remained unclear. Methods Nineteen anonymized periapical radiographs depicting challenging endodontic conditions were paired with clinical vignettes. Six advanced LLMs and one expert endodontist independently answered six structured clinical questions per case. Each response was scored against a reference key. Accuracy rates were compared using Kruskal-Wallis and Mann-Whitney U tests. Chi-square tests were used to evaluate model performance across question types. Results The expert achieved 100% accuracy, while all LLMs performed significantly lower (P &lt; 0.05). Copilot demonstrated the lowest scores across all questions. The most substantial performance drop was observed in anomaly classification tasks, particularly in identifying and categorizing dens invaginatus. No significant performance differences were found among the top-performing LLMs. Conclusions While LLMs showed competence in basic diagnostic tasks, they failed to replicate expert-level decision-making in complex endodontic scenarios. Their current capabilities remain insufficient for unsupervised clinical use. This study is among the first to assess LLMs using real radiographic data in endodontics and highlights the need for further multimodal model development.</t>
  </si>
  <si>
    <t>Erkal, Damla; Felek, Turgut; Butean, Oana-Paula; Er, Kursat</t>
  </si>
  <si>
    <t>Erkal, D (corresponding author), Burdur Mehmet Akif Ersoy Univ, Fac Dent, Dept Endodont, Burdur, Turkiye.</t>
  </si>
  <si>
    <t>damla.4716@gmail.com</t>
  </si>
  <si>
    <t>[Erkal, Damla] Burdur Mehmet Akif Ersoy Univ, Fac Dent, Dept Endodont, Burdur, Turkiye; [Felek, Turgut] Akdeniz Univ, Inst Nat &amp; Appl Sci, Antalya, Turkiye; [Felek, Turgut] Akdeniz Univ, Fac Dent, Antalya, Turkiye; [Butean, Oana-Paula] George Emil Palade Univ Med, Pharm Sci &amp; Technol Targu Mures, Targu Mures, Romania; [Er, Kursat] Akdeniz Univ, Fac Dent, Dept Endodont, Antalya, Turkiye</t>
  </si>
  <si>
    <t>Mehmet Akif Ersoy University; Akdeniz University; Akdeniz University; George Emil Palade University of Medicine, Pharmacy, Science, &amp; Technology of Targu Mures; Akdeniz University</t>
  </si>
  <si>
    <t>Dens invaginatus as a diagnostic challenge: evaluating large language models against expert endodontic reasoning</t>
  </si>
  <si>
    <t>Dens invaginatus; Artificial intelligence; Large language models</t>
  </si>
  <si>
    <t>Er, Kürşat/C-1074-2016; Erkal, Damla/MXJ-5965-2025</t>
  </si>
  <si>
    <t>FELEK, TURGUT/0000-0003-4466-6456; Butean, Oana-Paula/0009-0000-8022-7309; Er, Kürşat/0000-0002-0667-4909; Erkal, Damla/0000-0001-8319-6974</t>
  </si>
  <si>
    <t>OCT 8 2025</t>
  </si>
  <si>
    <t>1552</t>
  </si>
  <si>
    <t>10.1186/s12903-025-06987-z</t>
  </si>
  <si>
    <t>http://dx.doi.org/10.1186/s12903-025-06987-z</t>
  </si>
  <si>
    <t>8KR8Y</t>
  </si>
  <si>
    <t>41063191</t>
  </si>
  <si>
    <t>WOS:001590971600001</t>
  </si>
  <si>
    <t>Wei, MY; Li, YL; Liu, SY; Li, GY</t>
  </si>
  <si>
    <t>Background and objectives A comparative evaluation of large language models (LLMs) is crucial for their application in specialized fields, such as ophthalmology. This study systematically assesses five prominent LLMs (ChatGPT 4, Claude 3 Opus, Gemini 1.5 Flash, ERNIE 3.5, and iFLY Healthcare) to quantify their performance across key clinical domains and provide evidence-based guidance for their integration.Methods We evaluated the LLMs across three simulated ophthalmic scenarios. For clinical assistance, the models responded to 50 questions, which were assessed for accuracy, completeness, and readability. For diagnosis and treatment, models answered 375 qualification exam questions to assess clinical reasoning. For doctor-patient communication, models responded to 20 SPIKES-based scenarios, which were analyzed for emotional and social engagement.Results In clinical assistance, Gemini 1.5 Flash demonstrated superior accuracy and completeness, while Claude 3 Opus produced the most readable text. For diagnosis and treatment, all models surpassed the passing threshold for the qualification exam, with Claude 3 Opus achieving the highest overall accuracy (81.07%). In doctor-patient communication, Gemini 1.5 Flash showed the strongest performance in positive emotional expression and social engagement.Conclusion This study innovatively evaluates LLMs in ophthalmic practice. Gemini 1.5 Flash excels in generating accurate clinical content and engaging with patients, whereas Claude 3 Opus demonstrates exceptional clinical reasoning and readability of text. Findings validate LLMs' clinical potential while providing evidence-based selection criteria for ophthalmic AI applications. The results establish practical foundations for optimizing ophthalmic AI model development and systematically constructing intelligent ophthalmic hospital systems.</t>
  </si>
  <si>
    <t>Wei, Mu-Yang; Li, Yu-Lin; Liu, Shu-Yan; Li, Guang-Yu</t>
  </si>
  <si>
    <t>Li, GY (corresponding author), Jilin Univ, Dept Ophthalmol, Norman Bethune Hosp 2, Changchun, Peoples R China.</t>
  </si>
  <si>
    <t>l_gy@jlu.edu.cn</t>
  </si>
  <si>
    <t>National Natural Science Foundation of China [82171053]</t>
  </si>
  <si>
    <t>The authors declare that financial support was received for the research and/or publication of this article. The study was supported by grants from the National Natural Science Foundation of China (Nos. 82171053 and 81570864).</t>
  </si>
  <si>
    <t>[Wei, Mu-Yang; Li, Yu-Lin; Liu, Shu-Yan; Li, Guang-Yu] Jilin Univ, Dept Ophthalmol, Norman Bethune Hosp 2, Changchun, Peoples R China</t>
  </si>
  <si>
    <t>Jilin University</t>
  </si>
  <si>
    <t>Evaluating the competence of large language models in ophthalmology clinical practice: a multi-scenario quantitative study</t>
  </si>
  <si>
    <t>FRONTIERS IN CELL AND DEVELOPMENTAL BIOLOGY</t>
  </si>
  <si>
    <t>ophthalmology application; large language models; clinical accuracy; doctor-patient communication; readability analysis; sentiment analysis</t>
  </si>
  <si>
    <t>CHATGPT; PERFORMANCE</t>
  </si>
  <si>
    <t>2296-634X</t>
  </si>
  <si>
    <t>FRONT CELL DEV BIOL</t>
  </si>
  <si>
    <t>Front. Cell. Dev. Biol.</t>
  </si>
  <si>
    <t>DEC 2 2025</t>
  </si>
  <si>
    <t>1704762</t>
  </si>
  <si>
    <t>10.3389/fcell.2025.1704762</t>
  </si>
  <si>
    <t>http://dx.doi.org/10.3389/fcell.2025.1704762</t>
  </si>
  <si>
    <t>Cell Biology; Developmental Biology</t>
  </si>
  <si>
    <t>W0146</t>
  </si>
  <si>
    <t>41409763</t>
  </si>
  <si>
    <t>WOS:001639177000001</t>
  </si>
  <si>
    <t>Psilopatis, I; Schoenberger, H; Butenschoen, A; Musik, TK; Levidou, G; Mosimann, B; Manegold-Brauer, G</t>
  </si>
  <si>
    <t>Objective: Large language models (LLMs) are increasingly utilized in modern medicine. In obstetrics, their ability to interpret complex imaging, such as ultrasound images for placenta accreta spectrum (PAS), remains largely unexplored. This study aimed to investigate the capacity of multimodal LLMs to interpret sonographic images of placentae and differentiate between normal findings and various types of PAS. Methods: In a comparative, two-run, cross-sectional design, three LLMs (Chat-GPT, Google Gemini, and Claude) were tested using 18 cases of PAS and 18 normal placental ultrasound images (B mode and Doppler). Four clinical experts evaluated the models' performance, diagnostic accuracy, and justification of findings using standardized evaluation criteria. Statistical analyses, including Cochran's Q and McNemar's tests, were used to compare model performance. Results: Gemini and Chat-GPT significantly outperformed Claude in diagnostic accuracy (P &lt; 0.001). Gemini demonstrated the highest sensitivity (100%), followed by Chat-GPT (88.9%), whereas Claude's sensitivity was notably low (5.6%). However, all models exhibited poor specificity, with Gemini reaching only 33.3% and both Chat-GPT and Claude at nearly 0%, frequently misidentifying normal placentae as abnormal. Conclusion: Gemini and Chat-GPT show high sensitivity for detecting PAS but are limited by low specificity and a tendency to report non-standard findings. Currently, LLMs cannot function as independent diagnostic tools in obstetric imaging for PAS but may serve as high-sensitivity screening assistants for triage to specialized centers.</t>
  </si>
  <si>
    <t>Psilopatis, Iason; Schoenberger, Heidrun; Butenschoen, Annkatrin; Musik, Thabea K.; Levidou, Georgia; Mosimann, Beatrice; Manegold-Brauer, Gwendolin</t>
  </si>
  <si>
    <t>Psilopatis, I (corresponding author), Univ Hosp Basel, Dept Gynecol &amp; Obstet, Div Gynecol Ultrasound &amp; Prenatal Diagnost, CH-4031 Basel, Switzerland.</t>
  </si>
  <si>
    <t>[Psilopatis, Iason; Schoenberger, Heidrun; Butenschoen, Annkatrin; Musik, Thabea K.; Mosimann, Beatrice; Manegold-Brauer, Gwendolin] Univ Hosp Basel, Dept Gynecol &amp; Obstet, Div Gynecol Ultrasound &amp; Prenatal Diagnost, CH-4031 Basel, Switzerland; [Levidou, Georgia] Paracelsus Med Univ, Dept Pathol, Nuremberg Clin, Nurnberg, Germany</t>
  </si>
  <si>
    <t>The role of large language models as screening assistants in the diagnosis of placenta accreta spectrum pathologies</t>
  </si>
  <si>
    <t>INTERNATIONAL JOURNAL OF GYNECOLOGY &amp; OBSTETRICS</t>
  </si>
  <si>
    <t>large language models; placenta; placenta accreta spectrum; sonography</t>
  </si>
  <si>
    <t>Psilopatis, Iason/PWG-7897-2026; Manegold-Brauer, Gwendolin/AAX-7822-2020</t>
  </si>
  <si>
    <t>Manegold-Brauer, Gwendolin/0000-0003-4292-6779</t>
  </si>
  <si>
    <t>0020-7292</t>
  </si>
  <si>
    <t>1879-3479</t>
  </si>
  <si>
    <t>INT J GYNECOL OBSTET</t>
  </si>
  <si>
    <t>Int. J. Gynecol. Obstet.</t>
  </si>
  <si>
    <t>10.1002/ijgo.71240</t>
  </si>
  <si>
    <t>http://dx.doi.org/10.1002/ijgo.71240</t>
  </si>
  <si>
    <t>LI6ZI</t>
  </si>
  <si>
    <t>42473908</t>
  </si>
  <si>
    <t>WOS:001825522600001</t>
  </si>
  <si>
    <t>Kunze, KN; Varady, NH; Mazzucco, M; Lu, AZ; Chahla, J; Martin, RK; Ranawat, AS; Pearle, AD; Williams, RJ III</t>
  </si>
  <si>
    <t>Purpose: To provide a proof-of-concept analysis of the appropriateness and performance of ChatGPT-4 to triage, synthesize differential diagnoses, and generate treatment plans concerning common presentations of knee pain. Methods: Twenty knee complaints warranting triage and expanded scenarios were input into ChatGPT-4, with memory cleared prior to each new input to mitigate bias. For the 10 triage complaints, ChatGPT-4 was asked to generate a differential diagnosis that was graded for accuracy and suitability in comparison to a differential created by 2 orthopaedic sports medicine physicians. For the 10 clinical scenarios, ChatGPT-4 was prompted to provide treatment guidance for the patient, which was again graded. To test the higher-order capabilities of ChatGPT-4, further inquiry into these specific management recommendations was performed and graded. Results: All ChatGPT-4 diagnoses were deemed appropriate within the spectrum of potential pathologies on a differential. The top diagnosis on the differential was identical between surgeons and ChatGPT-4 for 70% of scenarios, and the top diagnosis provided by the surgeon appeared as either the first or second diagnosis in 90% of scenarios. Overall, 16 of 30 diagnoses (53.3%) in the differential were identical. When provided with 10 expanded vignettes with a single diagnosis, the accuracy of ChatGPT-4 increased to 100%, with the suitability of management graded as appropriate in 90% of cases. Specific information pertaining to conservative management, surgical approaches, and related treatments was appropriate and accurate in 100% of cases. Conclusions: ChatGPT-4 provided clinically reasonable diagnoses to triage patient complaints of knee pain due to various underlying conditions that were generally consistent with differentials provided by sports medicine physicians. Diagnostic performance was enhanced when providing additional information, allowing ChatGPT-4 to reach high predictive accuracy for recommendations concerning management and treatment options. However, ChatGPT-4 may show clinically important error rates for diagnosis depending on prompting strategy and information provided; therefore, further refinements are necessary prior to implementation into clinical workflows. Clinical Relevance: Although ChatGPT-4 is increasingly being used by patients for health information, the potential for ChatGPT-4 to serve as a clinical support tool is unclear. In this study, we found that ChatGPT-4 was frequently able to diagnose and triage knee complaints appropriately as rated by sports medicine surgeons, suggesting that it may eventually be a useful clinical support tool.</t>
  </si>
  <si>
    <t>Kunze, Kyle N.; Varady, Nathan H.; Mazzucco, Michael; Lu, Amy Z.; Chahla, Jorge; Martin, R. Kyle; Ranawat, Anil S.; Pearle, Andrew D.; Williams Iii, Riley J.</t>
  </si>
  <si>
    <t>Kunze, KN (corresponding author), Hosp Special Surg, Dept Orthopaed Surg, 535 E 70Th St, New York, NY 10021 USA.</t>
  </si>
  <si>
    <t>kylekunze7@gmail.com</t>
  </si>
  <si>
    <t>[Kunze, Kyle N.; Varady, Nathan H.; Ranawat, Anil S.; Pearle, Andrew D.; Williams Iii, Riley J.] Hosp Special Surg, Dept Orthopaed Surg, 535 E 70Th St, New York, NY 10021 USA; [Kunze, Kyle N.; Varady, Nathan H.; Ranawat, Anil S.; Pearle, Andrew D.; Williams Iii, Riley J.] Hosp Special Surg, Sports Med &amp; Shoulder Serv, New York, NY USA; [Mazzucco, Michael; Lu, Amy Z.] Weill Cornell Coll Med, New York, NY USA; [Chahla, Jorge] Rush Univ, Med Ctr, Dept Orthopaed Surg, Chicago, IL USA; [Martin, R. Kyle] Univ Minnesota, Dept Orthoped Surg, Minneapolis, MN USA</t>
  </si>
  <si>
    <t>Cornell University; Rush University; University of Minnesota System; University of Minnesota Twin Cities</t>
  </si>
  <si>
    <t>The Large Language Model ChatGPT-4 Exhibits Excellent Triage Capabilities and Diagnostic Performance for Patients Presenting With Various Causes of Knee Pain</t>
  </si>
  <si>
    <t>ARTHROSCOPY-THE JOURNAL OF ARTHROSCOPIC AND RELATED SURGERY</t>
  </si>
  <si>
    <t>Martin, R. Kyle/JJE-4531-2023; Mazzucco, Michael/HSH-9596-2023; Varady, Nathan/AAH-9963-2020</t>
  </si>
  <si>
    <t>Lu, Amy/0000-0002-0090-3141; Martin, R. Kyle/0000-0001-9918-0264; Kunze, Kyle/0000-0002-0363-3482</t>
  </si>
  <si>
    <t>0749-8063</t>
  </si>
  <si>
    <t>1526-3231</t>
  </si>
  <si>
    <t>ARTHROSCOPY</t>
  </si>
  <si>
    <t>Arthroscopy</t>
  </si>
  <si>
    <t>10.1016/j.arthro.2024.06.021</t>
  </si>
  <si>
    <t>http://dx.doi.org/10.1016/j.arthro.2024.06.021</t>
  </si>
  <si>
    <t>Orthopedics; Sport Sciences; Surgery</t>
  </si>
  <si>
    <t>2XV8G</t>
  </si>
  <si>
    <t>38925234</t>
  </si>
  <si>
    <t>WOS:001493899100001</t>
  </si>
  <si>
    <t>Peterson, JC; Rachapudi, SS; Hubschman, S; Heinze, K; Oetting, T; Rodriguez, SM; Setabutr, P; Tran, AQ</t>
  </si>
  <si>
    <t>Purpose:This study aimed to evaluate the accuracy of different large language models (LLMs) in generating differential diagnoses for oculoplastic cases.Methods:Differential diagnoses were generated for 20 oculoplastic cases sourced from University of Iowa EyeRounds.org using 6 LLMs: Chat Generative Pre-Trained Transformer (ChatGPT) 3.5, ChatGPT 4.0, OcuSmart/EyeGPT, Google Gemini 1.5, Claude 3.5, and Microsoft CoPilot. Outputs were compared against the EyeRounds expert-curated differentials examining (1) top diagnosis match rate (2) inclusion of the correct diagnosis within the generated list, as well as (3) recall and (4) precision, calculated to assess the overlap and conciseness of LLM outputs.Results:OcuSmart/EyeGPT achieved the highest top diagnosis match rate (85 +/- 36%), while Claude 3.5 demonstrated the highest rate of inclusion of correct diagnosis in differential, as well as recall rate (100 +/- 0% and 55 +/- 27%, respectively). Google Gemini produced the most precise differentials at 43 +/- 24%. Claude 3.5 generated the largest but least concise lists. LLM performance varied by case; for example, idiopathic orbital inflammation cases yielded highest recall and top diagnosis match across all models, while floppy eyelid syndrome cases demonstrated lowest performance.Conclusions:LLMs show promising potential in diagnosing oculoplastic cases, with OcuSmart/EyeGPT and Claude 3.5 performing best for determining the case diagnosis and recall, and ChatGPT 3.5, OcuSmart/EyeGPT, and Gemini generating concise and relevant differentials. However, further research and development are necessary to validate LLMs' capabilities and integrate them into the clinical workflow.</t>
  </si>
  <si>
    <t>Peterson, Jeffrey C.; Rachapudi, Sruti S.; Hubschman, Sasha; Heinze, Kevin; Oetting, Thomas; Rodriguez, Sean M.; Setabutr, Pete; Tran, Ann Q.</t>
  </si>
  <si>
    <t>Tran, AQ (corresponding author), Univ Illinois, Dept Ophthalmol &amp; Visual Sci, 1009 South Wood St, 5th floor, Chicago, IL 60607 USA.</t>
  </si>
  <si>
    <t>psetabut@uic.edu; keh4012@med.cornell.edu; seanrodriguez0@gmail.com; jpeter56@uic.edu; sracha5@uic.edu; shubsc2@uic.edu; thomas-oetting@uiowa.edu; annqtran@uic.edu</t>
  </si>
  <si>
    <t>[Rachapudi, Sruti S.; Hubschman, Sasha; Heinze, Kevin; Setabutr, Pete; Tran, Ann Q.] Univ Illinois, Dept Ophthalmol &amp; Visual Sci, 1009 South Wood St, 5th floor, Chicago, IL 60607 USA; [Oetting, Thomas] Cornell Univ, Israel Englander Dept Ophthalmol, Ithaca, NY USA; [Rodriguez, Sean M.; Setabutr, Pete] Univ Iowa, Dept Ophthalmol &amp; Visual Sci, Iowa City, IA USA</t>
  </si>
  <si>
    <t>University of Illinois System; University of Illinois Chicago; University of Illinois Chicago Hospital; Cornell University; University of Iowa</t>
  </si>
  <si>
    <t>Assessment of Differential Diagnoses for Oculoplastics Cases Produced by Large Language Models</t>
  </si>
  <si>
    <t>OPHTHALMIC PLASTIC AND RECONSTRUCTIVE SURGERY</t>
  </si>
  <si>
    <t>Purnell, Chad/PCS-1247-2025; Hubschman, Sasha/AAV-3606-2020</t>
  </si>
  <si>
    <t>Oetting, Thomas/0000-0003-1764-610X</t>
  </si>
  <si>
    <t>0740-9303</t>
  </si>
  <si>
    <t>1537-2677</t>
  </si>
  <si>
    <t>OPHTHAL PLAST RECONS</t>
  </si>
  <si>
    <t>Ophthalmic Plast. Reconstr. Surg.</t>
  </si>
  <si>
    <t>JAN-FEB 2026</t>
  </si>
  <si>
    <t>51</t>
  </si>
  <si>
    <t>10.1097/IOP.0000000000002984</t>
  </si>
  <si>
    <t>http://dx.doi.org/10.1097/IOP.0000000000002984</t>
  </si>
  <si>
    <t>Ophthalmology; Surgery</t>
  </si>
  <si>
    <t>CA0RH</t>
  </si>
  <si>
    <t>40788674</t>
  </si>
  <si>
    <t>WOS:001660845800034</t>
  </si>
  <si>
    <t>Chen, GH; Lin, C; Zhang, LJ; Luo, Z; Shin, YS; Li, XX</t>
  </si>
  <si>
    <t>BackgroundIntegrating large language models (LLMs) with virtual patient platforms offers a novel approach to teaching clinical reasoning. This study evaluated the performance and educational value of combining Body Interact with two AI models, ChatGPT-4 and DeepSeek-R1, across acute care scenarios.MethodsThree standardized cases (coma, stroke, trauma) were simulated by two medical researchers. Structured case summaries were input into both models using identical prompts. Outputs were assessed for diagnostic and treatment consistency, alignment with clinical reasoning stages, and educational quality using expert scoring, AI self-assessment, text readability indices, and Grammarly analysis.ResultsChatGPT-4 performed best in stroke scenarios but was less consistent in coma and trauma cases. DeepSeek-R1 showed more stable diagnostic and therapeutic output across all cases. While both models received high expert and self-assessment scores, ChatGPT-4 produced more readable outputs, and DeepSeek-R1 demonstrated greater grammatical precision.ConclusionsOur findings suggest that ChatGPT-4 and DeepSeek-R1 each offer unique strengths for AI-assisted instruction. ChatGPT-4's accessible language may better support early learners, whereas DeepSeek-R1 may be more aligned with formal clinical reasoning. Selecting models based on specific teaching goals can enhance the effectiveness of AI-driven medical education.</t>
  </si>
  <si>
    <t>Chen, Guihua; Lin, Chuan; Zhang, Lijie; Luo, Zhao; Shin, Yu Seob; Li, Xianxin</t>
  </si>
  <si>
    <t>Luo, Z; Li, XX (corresponding author), Shenzhen Qianhai Taikang Hosp, Dept Urol, Shenzhen, Guangdong, Peoples R China.; Shin, YS (corresponding author), Jeonbuk Natl Univ, Med Sch, Dept Urol, Jeonju, Jeollabuk Do, South Korea.; Shin, YS (corresponding author), Jeonbuk Natl Univ, Jeonbuk Natl Univ Hosp, Biomed Res Inst, Res Inst Clin Med, Jeonju, Jeonbuk Do, South Korea.</t>
  </si>
  <si>
    <t>luozhao614@163.com; zhanglijie03032565@hotmail.com; ball1210@hanmail.net; xianxinli@163.com; 15236195871@163.com; mumuli415@163.com</t>
  </si>
  <si>
    <t>Bio &amp; Medical Technology Development Program of the National Research Foundation (NRF) - Korean government (MIST) [RS-2023-00236157]</t>
  </si>
  <si>
    <t>Bio &amp; Medical Technology Development Program of the National Research Foundation (NRF) - Korean government (MIST) (National Research Foundation of Korea)</t>
  </si>
  <si>
    <t>This research was funded by the Bio &amp; Medical Technology Development Program of the National Research Foundation (NRF), which is funded by the Korean government (MIST) (No. RS-2023-00236157).</t>
  </si>
  <si>
    <t>[Luo, Zhao; Li, Xianxin] Shenzhen Qianhai Taikang Hosp, Dept Urol, Shenzhen, Guangdong, Peoples R China; [Chen, Guihua] Jeonbuk Natl Univ, Inst Med Sci, Dept Biomed Sci, Med Sch, Jeonju 54907, South Korea; [Chen, Guihua; Zhang, Lijie] Luohe Food Engn Vocat Univ, Sch Food &amp; Biol Engn, Luohe, Henan, Peoples R China; [Lin, Chuan] Captial Med Univ, Beijing Anzhen Nanchong Hosp, Dept Obstet &amp; Gynecol, Nanchong, Sichuan, Peoples R China; [Lin, Chuan] Nanchong Cent Hosp, Nanchong, Sichuan, Peoples R China; [Shin, Yu Seob] Jeonbuk Natl Univ, Med Sch, Dept Urol, Jeonju, Jeollabuk Do, South Korea; [Shin, Yu Seob] Jeonbuk Natl Univ, Jeonbuk Natl Univ Hosp, Biomed Res Inst, Res Inst Clin Med, Jeonju, Jeonbuk Do, South Korea</t>
  </si>
  <si>
    <t>Jeonbuk National University; North Sichuan Medical University; Jeonbuk National University; Jeonbuk National University; Jeonbuk National University Hospital</t>
  </si>
  <si>
    <t>Virtual case reasoning and AI-assisted diagnostic instruction: an empirical study based on body interact and large language models</t>
  </si>
  <si>
    <t>BMC MEDICAL EDUCATION</t>
  </si>
  <si>
    <t>Large language models (LLMs); Virtual patient platforms; Clinical reasoning; AI-assisted medical instruction</t>
  </si>
  <si>
    <t>READABILITY; CHATGPT-4</t>
  </si>
  <si>
    <t>陈, 桂花/KPB-5774-2024</t>
  </si>
  <si>
    <t>Shin, Yu Seob/0000-0002-1126-3821; LIJIE, ZHANG/0009-0008-2112-0067; LUO, ZHAO/0009-0005-7807-6296</t>
  </si>
  <si>
    <t>1472-6920</t>
  </si>
  <si>
    <t>BMC MED EDUC</t>
  </si>
  <si>
    <t>BMC Med. Educ.</t>
  </si>
  <si>
    <t>OCT 24 2025</t>
  </si>
  <si>
    <t>1493</t>
  </si>
  <si>
    <t>10.1186/s12909-025-07872-7</t>
  </si>
  <si>
    <t>http://dx.doi.org/10.1186/s12909-025-07872-7</t>
  </si>
  <si>
    <t>Education &amp; Educational Research; Education, Scientific Disciplines</t>
  </si>
  <si>
    <t>8ZH7H</t>
  </si>
  <si>
    <t>41137029</t>
  </si>
  <si>
    <t>WOS:001600907300004</t>
  </si>
  <si>
    <t>Mehta, NN; Walker, E; Flester, E; Folk, G; Agnihotri, A; Nagel, ID; Tran, M; Goldbaum, MH; Borooah, S; Scott, NL</t>
  </si>
  <si>
    <t>Purpose: To evaluate the diagnostic and treatment recommendation performance of multimodal large language models (MLLMs) in identifying and classifying retinal lesions as choroidal nevus or melanoma, as well as compare their performance with expert human graders. Methods: This retrospective cross-sectional study included 48 eyes from 47 patients diagnosed with either choroidal nevus or melanoma. Patient demographics, including age, sex, ethnicity, best-corrected visual acuity (BCVA), and symptoms, were documented. Color fundus, autofluorescence, optical coherence tomography, and B-scan images were collected. The ocular images and patient characteristics were presented to ChatGPT 4.0, Gemini Advanced 1.5 Pro, and Perplexity Pro. Responses were recorded and compared with the clinical diagnoses and treatment recommendations made by two expert human graders. Diagnostic and treatment agreement, accuracy, sensitivity, and specificity were analyzed. Results: Gemini consistently outperformed ChatGPT and Perplexity across diagnostic and treatment prompts. The highest model performance was observed for prompts requesting treatment recommendations with clinical information, where Gemini achieved the highest accuracy (0.725), followed by Perplexity (0.647) and ChatGPT (0.314). Performance was lowest for prompts requiring strict clinical criteria, with all models showing poor sensitivity. Both human graders outperformed all MLLMs in accuracy and sensitivity on most prompts (P &lt; 0.005). Accuracy did not improve when provided demographic or clinical data, except for Gemini. Conclusions: Human graders outperform current MLLMs, which show only moderate ability to diagnose choroidal nevi or melanoma from imaging. Translational Relevance: This study highlights limitations and potential of MLLMs in aiding diagnosis and treatment of choroidal lesions.</t>
  </si>
  <si>
    <t>Mehta, Nehal Nailesh; Walker, Evan; Flester, Elena; Folk, Gillian; Agnihotri, Akshay; Nagel, Ines D.; Tran, Melanie; Goldbaum, Michael H.; Borooah, Shyamanga; Scott, Nathan L.</t>
  </si>
  <si>
    <t>Borooah, S (corresponding author), Univ Calif San Diego, Shiley Eye Inst, Retinal Div, 9415 Campus Point Dr, La Jolla, CA 92093 USA.; Scott, NL (corresponding author), Univ Calif San Diego, Shiley Eye Inst, Ocular Oncol, 9415 Campus Point Dr, La Jolla, CA 92093 USA.</t>
  </si>
  <si>
    <t>sborooah@health.ucsd.edu; nlscott@health.ucsd.edu</t>
  </si>
  <si>
    <t>[Mehta, Nehal Nailesh; Flester, Elena; Folk, Gillian; Agnihotri, Akshay; Nagel, Ines D.; Tran, Melanie; Goldbaum, Michael H.; Borooah, Shyamanga; Scott, Nathan L.] Univ Calif San Diego, Shiley Eye Inst, Jacobs Retina Ctr, La Jolla, CA USA; [Mehta, Nehal Nailesh; Walker, Evan; Agnihotri, Akshay; Nagel, Ines D.; Goldbaum, Michael H.; Borooah, Shyamanga; Scott, Nathan L.] Univ Calif San Diego, Viterbi Family Dept Ophthalmol, La Jolla, CA USA; [Mehta, Nehal Nailesh; Walker, Evan; Agnihotri, Akshay; Nagel, Ines D.; Tran, Melanie; Borooah, Shyamanga; Scott, Nathan L.] Univ Calif San Diego, Shiley Eye Inst, La Jolla, CA USA; [Flester, Elena; Folk, Gillian; Tran, Melanie] Univ Calif San Diego, Sch Med, La Jolla, CA USA</t>
  </si>
  <si>
    <t>University of California System; University of California San Diego; University of California System; University of California San Diego; University of California System; University of California San Diego; University of California System; University of California San Diego</t>
  </si>
  <si>
    <t>Assessing the Clinical Utility of Multimodal Large Language Models in the Diagnosis and Management of Pigmented Choroidal Lesions</t>
  </si>
  <si>
    <t>TRANSLATIONAL VISION SCIENCE &amp; TECHNOLOGY</t>
  </si>
  <si>
    <t>nevus; melanoma; MLLM</t>
  </si>
  <si>
    <t>Goldbaum, Michael/AAG-4258-2020; Borooah, Shyamanga/AAM-6581-2021</t>
  </si>
  <si>
    <t>ASSOC RESEARCH VISION OPHTHALMOLOGY INC</t>
  </si>
  <si>
    <t>ROCKVILLE</t>
  </si>
  <si>
    <t>12300 TWINBROOK PARKWAY, ROCKVILLE, MD 20852-1606 USA</t>
  </si>
  <si>
    <t>2164-2591</t>
  </si>
  <si>
    <t>TRANSL VIS SCI TECHN</t>
  </si>
  <si>
    <t>Transl. Vis. Sci. Technol.</t>
  </si>
  <si>
    <t>10.1167/tvst.14.10.13</t>
  </si>
  <si>
    <t>http://dx.doi.org/10.1167/tvst.14.10.13</t>
  </si>
  <si>
    <t>M7101</t>
  </si>
  <si>
    <t>41085353</t>
  </si>
  <si>
    <t>WOS:001630844000004</t>
  </si>
  <si>
    <t>Li, Z; Wang, MF; Liu, A; Zeng, Y; Yan, BC; Cao, ZZ; Zhu, JY; Yang, YL; Li, YH</t>
  </si>
  <si>
    <t>Background Computed tomography (CT) reports for patients with bone metastases include key clinical details, but they are usually written as free text. Different doctors write reports in different ways, which makes it hard to extract information in a consistent way. Large language models (LLMs) may help pull out important details automatically. But using external models can raise data privacy and management concerns in hospitals. This study looked at whether proprietary models and locally deployed open-source LLMs can help extract key diagnostic information and create structured reports in settings where data privacy is important. Methods We analyzed 300 CT reports of metastatic bone tumors and evaluated seven large language models, including proprietary and open-source systems. Tasks included identification of pathological fractures and extraction of fracture and metastatic sites. Expert annotations served as the reference standard. Model performance was assessed using accuracy, recall, precision, F1 score, area under the curve (AUC), and Cohen's Kappa. Results Across all three extraction tasks, accuracies ranged from 82% to 98%. Both proprietary and open-source models achieved high performance. Locally deployable models, including Qwen2-72B and WiNGPT2-9B, demonstrated performance levels within similar ranges to GPT-4o. Conclusion The results show that open-source models can handle structured extraction of bone metastasis CT reports. Medically fine-tuned small-scale open-source models maintain stable performance while being more suitable for on-site deployment within healthcare institutions. This can help reduce data privacy risks. In the future, these models may help doctors make clinical decisions within health systems.</t>
  </si>
  <si>
    <t>Li, Zhuo; Wang, Mengfei; Liu, Ao; Zeng, Yao; Yan, Bicong; Cao, Zhongzheng; Zhu, Jinyu; Yang, Yulu; Li, Yuehua</t>
  </si>
  <si>
    <t>Li, YH (corresponding author), Shanghai Jiao Tong Univ, Inst Diagnost &amp; Intervent Radiol, Sch Med, Shanghai Peoples Hosp 6, Shanghai, Peoples R China.</t>
  </si>
  <si>
    <t>liyuehua0529@163.com</t>
  </si>
  <si>
    <t>National Natural Science Foundation of China [8225024, 81871329]</t>
  </si>
  <si>
    <t>This work was supported by the National Natural Science Foundation of China (Grant Nos. 8225024 and 81871329). The funding agencies had no role in the study design, data collection, analysis, interpretation, or manuscript writing.</t>
  </si>
  <si>
    <t>[Li, Zhuo; Wang, Mengfei; Liu, Ao; Zeng, Yao; Yan, Bicong; Cao, Zhongzheng; Zhu, Jinyu; Yang, Yulu; Li, Yuehua] Shanghai Jiao Tong Univ, Inst Diagnost &amp; Intervent Radiol, Sch Med, Shanghai Peoples Hosp 6, Shanghai, Peoples R China; [Wang, Mengfei; Zeng, Yao] Donghua Univ, Sch Comp Sci &amp; Technol, 2999 North Renmin Rd, Shanghai 201620, Peoples R China</t>
  </si>
  <si>
    <t>Shanghai Jiao Tong University; Donghua University</t>
  </si>
  <si>
    <t>Enhancing bone metastasis CT report analysis: a comparison of local and proprietary large language models for privacy and resource efficiency</t>
  </si>
  <si>
    <t>BMC HEALTH SERVICES RESEARCH</t>
  </si>
  <si>
    <t>Large language models (LLMs); Metastatic bone tumors; CT reports; Privacy protection; Resource efficiency; Clinical decision support</t>
  </si>
  <si>
    <t>Zeng, Yao/NSU-5965-2025; Li, Yuehua/KSL-3659-2024</t>
  </si>
  <si>
    <t>44</t>
  </si>
  <si>
    <t>1472-6963</t>
  </si>
  <si>
    <t>BMC HEALTH SERV RES</t>
  </si>
  <si>
    <t>BMC Health Serv. Res.</t>
  </si>
  <si>
    <t>MAR 19 2026</t>
  </si>
  <si>
    <t>553</t>
  </si>
  <si>
    <t>10.1186/s12913-026-14350-3</t>
  </si>
  <si>
    <t>http://dx.doi.org/10.1186/s12913-026-14350-3</t>
  </si>
  <si>
    <t>Health Care Sciences &amp; Services</t>
  </si>
  <si>
    <t>GU2FL</t>
  </si>
  <si>
    <t>41857555</t>
  </si>
  <si>
    <t>WOS:001745160700001</t>
  </si>
  <si>
    <t>Ekingen, E; Ucdal, M</t>
  </si>
  <si>
    <t>Background/Objectives: Large language models (LLMs) have shown promising results in medical decision support; however, their effectiveness in managing acute cholecystitis and other gallbladder diseases remains insufficiently examined. This study evaluated the performance of a neuro-symbolic LLM system that integrates multiple AI agents with neural-symbolic reasoning for acute cholecystitis management and compared its diagnostic accuracy with that of human expert physicians across three clinical specialties. Methods: This multi-center cross-sectional study included 30 case-based questions covering acute cholecystitis and gallbladder diseases, stratified across eight predefined disease categories: acute calculous cholecystitis (n = 6), acute acalculous cholecystitis (n = 2), complicated cholecystitis including gangrenous, emphysematous, and perforated variants (n = 5), chronic cholecystitis and biliary colic (n = 4), gallbladder polyps and adenomyomatosis (n = 3), Mirizzi syndrome (n = 2), gallbladder carcinoma (n = 4), and post-cholecystectomy complications (n = 4). Questions were categorized into diagnosis (n = 10), treatment (n = 10), and complications/prognosis (n = 10). Gold standard answers were established through consensus by an expert panel consisting of two senior general surgery expert clinicians and one senior emergency medicine expert clinician, each with more than 20 years of clinical experience, utilizing the Tokyo Guidelines 2018 (TG18) as the reference standard for diagnostic criteria, severity grading, and management recommendations. The expert panel achieved unanimous consensus on all 30 gold standard answers. All responses were cross-referenced against the primary TG18 publications to ensure guideline-based rather than solely opinion-based reference standards. This consensus-based, guideline-anchored approach is consistent with established methodologies for gold standard establishment in AI diagnostic accuracy studies. Performance of a neuro-symbolic LLM system orchestrated via LangGraph v1.0 was compared against 10 general surgery specialists, 10 emergency medicine physicians, and 10 gastroenterology specialists from four tertiary centers in Turkey. The neuro-symbolic system incorporated the Tokyo Guidelines 2018 (TG18) as its symbolic knowledge base for diagnostic criteria, severity grading, and management algorithms. Results: The neuro-symbolic system attained the highest overall accuracy rate of 96.7% (29/30), markedly surpassing the performance of general surgery specialists (average 82.3% +/- 6.8%), emergency medicine physicians (average 71.0% +/- 8.2%), and gastroenterology specialists (average 78.7% +/- 7.4%). Furthermore, the neuro-symbolic system exhibited superior performance across all clinical categories. Among human participants, general surgeons showed the highest accuracy in treatment decisions (88.0%), while gastroenterologists excelled in diagnostic questions (82.0%). Emergency medicine physicians showed comparable performance to other specialties in acute presentation scenarios. ROC analysis revealed excellent discrimination for the neuro-symbolic system (AUC = 0.983) compared to general surgery (AUC = 0.856), gastroenterology (AUC = 0.821), and emergency medicine (AUC = 0.764). Conclusions: The neuro-symbolic LLM system exhibited superior performance in standardized guideline-concordant case-based assessment of acute cholecystitis management compared to all human expert groups, reflecting its consistent application of encoded guideline criteria.These findings support its potential role as a clinical decision-support tool that augments, rather than replaces, physician expertise. The system's consistent application of standardized guidelines indicates its potential utility as a clinical decision support tool, particularly in settings where specialist expertise is limited. However, these results should be interpreted within the constraints of a structured case-based evaluation and do not imply global clinical superiority over human experts.</t>
  </si>
  <si>
    <t>Ekingen, Evren; Ucdal, Mete</t>
  </si>
  <si>
    <t>Ucdal, M (corresponding author), Etimesgut Sehit Sait Erturk State Hosp, Dept Internal Med, TR-06790 Ankara, Turkiye.</t>
  </si>
  <si>
    <t>evren23@gmail.com; meteucdal@hacettepe.edu.tr</t>
  </si>
  <si>
    <t>[Ekingen, Evren] Etimesgut Sehit Sait Erturk State Hosp, Dept Emergency Med, TR-06790 Ankara, Turkiye; [Ucdal, Mete] Etimesgut Sehit Sait Erturk State Hosp, Dept Internal Med, TR-06790 Ankara, Turkiye</t>
  </si>
  <si>
    <t>Performance Comparison of a Neuro-Symbolic Large Language Model System Versus Human Experts in Acute Cholecystitis Management</t>
  </si>
  <si>
    <t>JOURNAL OF CLINICAL MEDICINE</t>
  </si>
  <si>
    <t>acute cholecystitis; artificial intelligence; large language models; neuro-symbolic AI; Tokyo Guidelines 2018; clinical decision support; Gallbladder diseases</t>
  </si>
  <si>
    <t>EKİNGEN, EVREN/0000-0003-4895-2345</t>
  </si>
  <si>
    <t>2077-0383</t>
  </si>
  <si>
    <t>J CLIN MED</t>
  </si>
  <si>
    <t>J. Clin. Med.</t>
  </si>
  <si>
    <t>FEB 25 2026</t>
  </si>
  <si>
    <t>1730</t>
  </si>
  <si>
    <t>10.3390/jcm15051730</t>
  </si>
  <si>
    <t>http://dx.doi.org/10.3390/jcm15051730</t>
  </si>
  <si>
    <t>EZ8OQ</t>
  </si>
  <si>
    <t>41827149</t>
  </si>
  <si>
    <t>WOS:001713679500001</t>
  </si>
  <si>
    <t>Wang, LY; Jiang, YZ</t>
  </si>
  <si>
    <t>Background: Despite the growing potential of large language models (LLMs) in mental health services, evidence on its capabilities in diagnostic processes remains limited. Objective: This study described the development and evaluation of CapyEngine, an LLM-powered diagnostic tool designed to assist in the diagnosis of mental disorders. Methods: We developed and evaluated CapyEngine through 3 phases. In phase 1, we created a disorder and symptom database using Diagnostic and Statistical Manual of Mental Disorders, Fifth Edition, Text Revision (DSM-5-TR). We then designed and developed CapyEngine's architecture using LLMs, embedding models, and vector searches. In phase 2, we conducted usability testing with mental health professionals (n=7). In phase 3, we compared CapyEngine's diagnostic accuracy against ChatGPT-4o and clinicians using 35 standardized case scenario exam questions from psychiatry and clinical psychology board exams. Questions were input into CapyEngine, and the top 10 recommended diagnoses were obtained. ChatGPT-4o was prompted to provide the top 10 potential diagnoses for each question. Clinicians (n=3) received similar instructions to generate at least 10 potential diagnoses for each question. Responses were then analyzed to compare diagnostic accuracy of CapyEngine, ChatGPT-4o, and clinicians. Accuracy was measured by the percentage of questions where the correct answer was among the top 10 (least stringent), top 5, or top 1 (most stringent) results of the diagnosis list. Results: Preliminary user interview reflected high acceptability and feasibility of CapyEngine. Across diagnostic accuracy thresholds, ChatGPT-4o consistently outperformed both CapyEngine and clinicians in broader rankings (top 10 and top 5 benchmarks; all P&lt;.03). Clinicians showed significantly higher accuracy than CapyEngine using the top 5 benchmark (odds ratio 0.26, 95% CI 0.09-0.78; P=.02). For the top 1 benchmark, no significant differences were observed, where clinicians showed a borderline advantage over ChatGPT-4o (odds ratio 0.34, 95% CI 0.13-0.91; P=.05). Regarding the range and slope of diagnostic accuracy decline across benchmarks (least to most stringent), CapyEngine showed the smallest decline (0.14) and flattest slope (-0.07), reflecting more consistent and constrained diagnostic ranking behavior as evaluation thresholds became more stringent. Clinicians exhibited a moderate decline (0.26), whereas ChatGPT-4o demonstrated a sharp decrease (0.69) in accuracy when only the top-ranked diagnosis was considered, consistent with broader diagnostic coverage at less stringent thresholds. Conclusions: Overall, ChatGPT-4o achieved the highest accuracy at less stringent benchmarks (top 10 and top 5), while clinician performance did not differ significantly from ChatGPT-4o in identifying the single most likely diagnosis. Although CapyEngine was less accurate overall, it exhibited more consistent and constrained diagnostic ranking across evaluation benchmarks, likely reflecting its DSM-5-TR-based, domain-specific design rather than broader diagnostic coverage. Nonetheless, CapyEngine shows promise as a tool to augment the mental health diagnostic process, and further research is needed to evaluate the risks and benefits of integrating artificial intelligence systems, such as CapyEngine, into clinical workflows.</t>
  </si>
  <si>
    <t>Wang, Liying; Jiang, Yunzhang</t>
  </si>
  <si>
    <t>Wang, LY (corresponding author), Florida State Univ, Inst Digital Hlth &amp; Innovat, Coll Nursing, 222 S Copeland St, Tallahassee, FL 32306 USA.</t>
  </si>
  <si>
    <t>lw24y@fsu.edu</t>
  </si>
  <si>
    <t>This research was funded by the 1U54CA267730-01, Wong (Contact PI) (Role: FIRST Faculty (tenure-earning) Fostering Institutional Resources for Science Transformation: The FLORIDA-FIRST Health-science Brigade 2021-2026) . The views and conclusions contained in this document are those of the authors and should not be interpreted as representing the official policies, either expressed or implied, of Florida State University.</t>
  </si>
  <si>
    <t>[Wang, Liying] Florida State Univ, Inst Digital Hlth &amp; Innovat, Coll Nursing, 222 S Copeland St, Tallahassee, FL 32306 USA; [Wang, Liying] Florida State Univ, Coll Nursing, Ctr Populat Sci Hlth Equ, Tallahassee, FL USA; [Jiang, Yunzhang] Nexcuria Labs LLC, Seattle, WA USA</t>
  </si>
  <si>
    <t>State University System of Florida; Florida State University; Florida State University; State University System of Florida; Florida State University</t>
  </si>
  <si>
    <t>Large Language Model-Powered Diagnostic Co-Pilot ("CapyEngine") for Mental Disorders: Development, Evaluation, and Future Optimization Study</t>
  </si>
  <si>
    <t>JMIR AI</t>
  </si>
  <si>
    <t>large language model; LLM; mental disorders; diagnosis; ChatGPT-4; accuracy rate</t>
  </si>
  <si>
    <t>BIPOLAR DISORDER; OPPORTUNITIES; HEALTH</t>
  </si>
  <si>
    <t>2817-1705</t>
  </si>
  <si>
    <t>e70017</t>
  </si>
  <si>
    <t>10.2196/70017</t>
  </si>
  <si>
    <t>http://dx.doi.org/10.2196/70017</t>
  </si>
  <si>
    <t>HS8CC</t>
  </si>
  <si>
    <t>41875403</t>
  </si>
  <si>
    <t>WOS:001761845300001</t>
  </si>
  <si>
    <t>Seifen, C; Huppertz, T; Bahr-Hamm, K; Gouveris, H; Pordzik, J; Eckrich, J; Matthias, C; Smith, H; Kelsey, T; Blaikie, A; Kuhn, S; Buhr, CR</t>
  </si>
  <si>
    <t>Purpose: Sleep medicine is a highly resource-intensive field where large language models (LLMs) could offer a promising solution by supporting diagnostic processes. As web-based LLMs have obvious data protection constraints, locally run LLMs are essential for clinical implementation. This study is the first to investigate the performance of locally run LLMs in the interpretation of real-world polysomnographic (PSG) results. Methods: We randomly selected N=30 patients (18 male, 12 female, mean age 50.5 +/- 11.1 years, mean body mass index 29.7 +/- 5.5 kg/m2, mean apnea hypopnea index 30.9 +/- 23.8) from the clinical database of our sleep laboratory who underwent PSG due to clinical complaints typical of obstructive sleep apnea (OSA). The board-certified sleep physician's interpretations of diagnosis, suitable first-line therapy or alternative therapy were compared with those of three locally run LLMs (Gemma2, Llama3 and Mistral Nemo) assessing the level of concordance. Results: Gemma2 showed the lowest concordance of 33% (10/30 patients) with the board-certified sleep physician regarding OSA severity, followed by Mistral Nemo at 47% (14/30 patients) and Llama3 at 50% (15/30 patients). For automatic positive airway pressure (aPAP) recommendations, Mistral Nemo showed the highest concordance at 90% (27/30 patients), followed by Gemma2 and Llama3 with 83% (25/30 patients) each. Conclusion: Although locally run LLMs bypass data security constraints and show promising potential for clinical practice, their performance needs significant improvement prior to real-world implementation. Therefore, at present, the routine implementation of locally run LLMs in sleep medicine needs more refinement and fine tuning before they can be used for interpretation of real-world PSG results.</t>
  </si>
  <si>
    <t>Seifen, Christopher; Huppertz, Tilman; Bahr-Hamm, Katharina; Gouveris, Haralampos; Pordzik, Johannes; Eckrich, Jonas; Matthias, Christoph; Smith, Harry; Kelsey, Tom; Blaikie, Andrew; Kuhn, Sebastian; Buhr, Christoph Raphael</t>
  </si>
  <si>
    <t>Buhr, CR (corresponding author), Univ Med Ctr Mainz, Sleep Med Ctr, D-55131 Mainz, Germany.; Buhr, CR (corresponding author), Univ Med Ctr Mainz, Dept Otolaryngol Head &amp; Neck Surg, D-55131 Mainz, Germany.</t>
  </si>
  <si>
    <t>christophraphael.buhr@unimedizin-mainz.de</t>
  </si>
  <si>
    <t>[Seifen, Christopher; Huppertz, Tilman; Bahr-Hamm, Katharina; Gouveris, Haralampos; Pordzik, Johannes; Eckrich, Jonas; Matthias, Christoph; Buhr, Christoph Raphael] Univ Med Ctr Mainz, Sleep Med Ctr, D-55131 Mainz, Germany; [Seifen, Christopher; Huppertz, Tilman; Bahr-Hamm, Katharina; Gouveris, Haralampos; Pordzik, Johannes; Eckrich, Jonas; Matthias, Christoph; Buhr, Christoph Raphael] Univ Med Ctr Mainz, Dept Otolaryngol Head &amp; Neck Surg, D-55131 Mainz, Germany; [Smith, Harry; Kelsey, Tom] Univ St Andrews, Sch Comp Sci, St Andrews, Scotland; [Blaikie, Andrew; Buhr, Christoph Raphael] Univ St Andrews, Sch Med, St Andrews, Scotland; [Kuhn, Sebastian] Philipps Univ Marburg, Univ Hosp Giessen &amp; Marburg, Inst Digital Med, Marburg, Germany</t>
  </si>
  <si>
    <t>Johannes Gutenberg University of Mainz; Johannes Gutenberg University of Mainz; University of St Andrews; University of St Andrews; University Hospital of Giessen &amp; Marburg; Philipps University Marburg</t>
  </si>
  <si>
    <t>Evaluating Locally Run Large Language Models for Obstructive Sleep Apnea Diagnosis and Treatment: A Real-World Polysomnography Study</t>
  </si>
  <si>
    <t>NATURE AND SCIENCE OF SLEEP</t>
  </si>
  <si>
    <t>large language model; LLM; polysomnography; PSG; obstructive sleep apnea; OSA; sleep medicine; digital health</t>
  </si>
  <si>
    <t>POPULATION</t>
  </si>
  <si>
    <t>Buhr, Christoph Raphael/NLO-0941-2025; Kuhn, Sebastian/H-5100-2018; Kelsey, Tom/H-3727-2019</t>
  </si>
  <si>
    <t>Gouveris, Haralampos/0000-0001-7299-7346; Kelsey, Tom/0000-0002-8091-1458; Blaikie, Andrew/0000-0001-7913-6872</t>
  </si>
  <si>
    <t>1179-1608</t>
  </si>
  <si>
    <t>NAT SCI SLEEP</t>
  </si>
  <si>
    <t>NAT. SCI. SLEEP</t>
  </si>
  <si>
    <t>1587</t>
  </si>
  <si>
    <t>1599</t>
  </si>
  <si>
    <t>10.2147/NSS.S536823</t>
  </si>
  <si>
    <t>http://dx.doi.org/10.2147/NSS.S536823</t>
  </si>
  <si>
    <t>4WF7I</t>
  </si>
  <si>
    <t>40661856</t>
  </si>
  <si>
    <t>WOS:001528150200001</t>
  </si>
  <si>
    <t>Zhao, L; Yang, CY; Chen, CH; Wang, TT; Xiang, NN; Peng, L; Zhang, SH</t>
  </si>
  <si>
    <t>Background: With advancements in large language model (LLM) technology, generative artificial intelligence (AI) has shown transformative potential in healthcare, particularly in optimizing clinical workflows through data integration and semantic reasoning for clinical decision support (CDS). However, existing AI models primarily rely on logical deductions from standardized guidelines, and their effectiveness in complex, high-risk clinical scenarios remains to be further validated. This study evaluates the CDS efficacy of DeepSeek R1 and ChatGPT-4 o1 in real-world oncology diagnosis and treatment settings, assessing the accuracy and adaptability of their recommendations through a multidimensional framework. Methods: A time-sequenced, chain-structured clinical question set was developed based on real oncology cases. Responses from DeepSeek R1 and ChatGPT-4 o1 were independently generated and blindly evaluated for accuracy and feasibility by four oncology experts. Statistical analysis and visualization were performed using Prism GraphPad 10.0. Results: Both DeepSeek R1 and ChatGPT-4 o1 demonstrated overall competent performance in oncology CDS, with no significant differences compared to human clinicians. Evaluations using a clinical decision quality assessment scale indicated robust performance for both models. Subgroup analysis revealed that DeepSeek R1 outperformed in medical humanistic care, while ChatGPT-4 o1 excelled in readability. No statistical differences were observed between the two models in knowledge accuracy, test rationality, or medication standardization. Conclusion: Generative AI models such as DeepSeek R1 and ChatGPT-4 o1 exhibit comprehensive capabilities in oncology CDS comparable to clinicians, suggesting potential clinical utility. However, AI reliability in complex cases requires improvement and cannot yet replace physicians' expertise. Future research should prioritize multimodal knowledge integration and ethical oversight to enhance AI's role in optimizing diagnostic efficiency and humanistic care quality.</t>
  </si>
  <si>
    <t>Zhao, Li; Yang, Chunyan; Chen, Chunhui; Wang, Tingting; Xiang, Nana; Peng, Lei; Zhang, Shaohua</t>
  </si>
  <si>
    <t>Zhang, SH (corresponding author), Shenzhen Univ, South China Hosp, Motor Robot Inst MRI, Hlth Sci Ctr, Shenzhen, Peoples R China.</t>
  </si>
  <si>
    <t>zhangshaohua@szu.edu.cn</t>
  </si>
  <si>
    <t>National Natural Science Foundation of China [82102171]; Shenzhen Medical Research Fund Program [A2302048]</t>
  </si>
  <si>
    <t>National Natural Science Foundation of China (National Natural Science Foundation of China (NSFC)); Shenzhen Medical Research Fund Program</t>
  </si>
  <si>
    <t>This study was supported by National Natural Science Foundation of China (Grant number 82102171) and Shenzhen Medical Research Fund Program (Grant number A2302048) .</t>
  </si>
  <si>
    <t>[Zhao, Li; Yang, Chunyan; Chen, Chunhui; Wang, Tingting] Capital Med Univ, Beijing Anzhen Nanchong Hosp, Nanchong Cent Hosp, Dept Oncol, Nanchong 637200, Peoples R China; [Xiang, Nana] Capital Med Univ, Beijing Anzhen Nanchong Hosp, Nanchong Cent Hosp, Dept Urol, Nanchong 637200, Peoples R China; [Peng, Lei; Zhang, Shaohua] Shenzhen Univ, South China Hosp, Inst Motor Robot, Shenzhen 518000, Peoples R China</t>
  </si>
  <si>
    <t>North Sichuan Medical University; Capital Medical University; Capital Medical University; North Sichuan Medical University; Shenzhen University</t>
  </si>
  <si>
    <t>Exploration of the assessment of clinical decision-making capabilities in Clinical Oncology based on generative large language models</t>
  </si>
  <si>
    <t>EJSO</t>
  </si>
  <si>
    <t>Oncology; Diagnosis and treatment; Clinical decision support; Large language models; Artificial intelligence</t>
  </si>
  <si>
    <t>ARTIFICIAL-INTELLIGENCE; CANCER</t>
  </si>
  <si>
    <t>0748-7983</t>
  </si>
  <si>
    <t>1532-2157</t>
  </si>
  <si>
    <t>EJSO-EUR J SURG ONC</t>
  </si>
  <si>
    <t>111175</t>
  </si>
  <si>
    <t>10.1016/j.ejso.2025.111175</t>
  </si>
  <si>
    <t>http://dx.doi.org/10.1016/j.ejso.2025.111175</t>
  </si>
  <si>
    <t>A2441</t>
  </si>
  <si>
    <t>41232145</t>
  </si>
  <si>
    <t>WOS:001619327200002</t>
  </si>
  <si>
    <t>Chen, XY; Song, ZY; Xu, L; Zhu, JH; Niu, Q; Cheng, G</t>
  </si>
  <si>
    <t>The innovation atmosphere of industrial parks, a crucial indicator of urban spatial vitality and regional economic dynamism, is difficult to assess using traditional, experience-driven methods. To overcome these limitations, this study proposes a novel, data-driven framework for urban spatial perception using Multimodal Large Language Models (MLLMs). Focusing on typical industrial parks in Wuhan, China, we harnessed MLLMs to interpret multi-source urban data, validating their diagnostic accuracy against expert evaluations. Subsequently, we simulated the diverse cognitive perspectives of four key stakeholder groups to diagnose the innovation atmosphere, diagnose the innovation atmosphere, quantifying the subjective spatial perceptions of different user groups and reflecting a nuanced understanding of human-environment interactions. The principal findings are: (1) The diagnostic assessments from the Gemini-2.5-pro model demonstrated a significant correlation (r = 0.890, p &lt; 0.001) with the expert judgment baseline, affirming the high feasibility of this data-driven approach. (2) The MLLM framework effectively quantified perceptual heterogeneity among simulated stakeholders, offering deep insights into the varied dimensions of the parks' city image and perceived quality. (3) Spatial analysis revealed a consistent overall assessment of the innovation atmosphere across different perspectives, with parks in the southeastern and northwestern regions exhibiting higher spatial vitality. This research contributes an objective and automated tool for diagnosing the innovation atmosphere, a key facet of urban spatial perception. Crucially, the proposed framework provides robust empirical support for big data-driven strategies in urban planning, enabling the refined management of innovation spaces to be more productive, collaborative, and sustainable.</t>
  </si>
  <si>
    <t>Chen, Xinyuan; Song, Zhongying; Xu, Li; Zhu, Junhua; Niu, Qiang; Cheng, Guo</t>
  </si>
  <si>
    <t>Niu, Q; Cheng, G (corresponding author), Wuhan Univ, Sch Urban Design, Wuhan 430072, Peoples R China.; Niu, Q (corresponding author), Hubei Habitat Environm Res Ctr Engn &amp; Technol, Wuhan 430072, Peoples R China.</t>
  </si>
  <si>
    <t>niuqiang@whu.edu.cn; 2025102090012@whu.edu.cn</t>
  </si>
  <si>
    <t>the Key Project of the Wuhan Municipal Knowledge Innovation Program [2023010188060007]; the National Natural Science Foundation of China [52278075]</t>
  </si>
  <si>
    <t>the Key Project of the Wuhan Municipal Knowledge Innovation Program; the National Natural Science Foundation of China (National Natural Science Foundation of China (NSFC))</t>
  </si>
  <si>
    <t>This work was supported by the National Natural Science Foundation of China (52278075) and the Key Project of the Wuhan Municipal Knowledge Innovation Program (2023010188060007).</t>
  </si>
  <si>
    <t>[Chen, Xinyuan; Niu, Qiang; Cheng, Guo] Wuhan Univ, Sch Urban Design, Wuhan 430072, Peoples R China; [Song, Zhongying; Xu, Li; Zhu, Junhua] Waterway Planning Design &amp; Res Inst, Wuhan 430010, Peoples R China; [Niu, Qiang] Hubei Habitat Environm Res Ctr Engn &amp; Technol, Wuhan 430072, Peoples R China</t>
  </si>
  <si>
    <t>Wuhan University</t>
  </si>
  <si>
    <t>Diagnosing the innovation atmosphere of industrial parks through urban spatial perception: a multimodal large language model approach</t>
  </si>
  <si>
    <t>Urban spatial perception; Innovation atmosphere; Multimodal large language model(MLLM); Industrial parks</t>
  </si>
  <si>
    <t>SCIENCE PARKS; HISTORY</t>
  </si>
  <si>
    <t>DEC 26 2025</t>
  </si>
  <si>
    <t>3407</t>
  </si>
  <si>
    <t>10.1038/s41598-025-33342-7</t>
  </si>
  <si>
    <t>http://dx.doi.org/10.1038/s41598-025-33342-7</t>
  </si>
  <si>
    <t>CQ1WR</t>
  </si>
  <si>
    <t>41449305</t>
  </si>
  <si>
    <t>WOS:001671802000005</t>
  </si>
  <si>
    <t>Bayala, YLT; Tiendrebeogo, WJSZ; Ouedraogo, DD; Kabore, F; Sougue, C; Yameogo, AR; Nacanabo, WM; Tinni, IA; Ouedraogo, A; Zongo, YE</t>
  </si>
  <si>
    <t>Background Artificial intelligence (AI) tools, particularly Large Language Models (LLMs), are revolutionizing medical practice, including rheumatology. However, their diagnostic capabilities remain underexplored in the African context. To assess the diagnostic accuracy of ChatGPT-4, Gemini, Copilot, and Claude AI in rheumatology within an African population. Methods This was a cross-sectional analytical study with retrospective data collection, conducted at the Rheumatology Department of Bogodogo University Hospital Center (Burkina Faso) from January 1 to June 30, 2024. Standardized clinical and paraclinical data from 103 patients were submitted to the four AI models. The diagnoses proposed by the AIs were compared to expert-confirmed diagnoses established by a panel of senior rheumatologists. Diagnostic accuracy, sensitivity, specificity, and predictive values were calculated for each AI model. Results Among the patients enrolled in the study period, infectious diseases constituted the most common diagnostic category, representing 47.57% (n = 49). ChatGPT-4 achieved the highest diagnostic accuracy (86.41%), followed by Claude AI (85.44%), Copilot (75.73%), and Gemini (71.84%). The inter-model agreement was moderate, with Cohen's kappa coefficients ranging from 0.43 to 0.59. ChatGPT-4 and Claude AI demonstrated high sensitivity (&gt; 90%) for most conditions but had lower performance for neoplastic diseases (sensitivity &lt; 67%). Patients under 50 years old had a significantly higher probability of receiving a correct diagnosis with Copilot (OR = 3.36; 95% CI [1.16-9.71]; p = 0.025). Conclusion LLMs, particularly ChatGPT-4 and Claude AI, show high diagnostic capabilities in rheumatology, despite some limitations in specific disease categories.</t>
  </si>
  <si>
    <t>Bayala, Yannick Laurent Tchenadoyo; Tiendrebeogo, Wendlassida Joelle Stephanie Zabsonre; Ouedraogo, Dieu-Donne; Kabore, Fulgence; Sougue, Charles; Yameogo, Aristide Relwende; Nacanabo, Wendlassida Martin; Tinni, Ismael Ayouba; Ouedraogo, Aboubakar; Zongo, Yamyelle Enselme</t>
  </si>
  <si>
    <t>Bayala, YLT (corresponding author), Bogodogo Univ Hosp Ctr, Rheumatol Dept, Sect 51,14 BP 371, Ouagadougou, Burkina Faso.</t>
  </si>
  <si>
    <t>nacmartinwend@gmail.com; joelle.tiendrebeogo@ujkz.bf; bayalayannick7991@gmail.com; souguecharles@gmail.com; iayoubatinni2@gmail.com; zongoenselme81@gmail.com; kaborefulgence@yahoo.fr; ouedd@yahoo.fr; boubahtc@hotmail.com</t>
  </si>
  <si>
    <t>[Bayala, Yannick Laurent Tchenadoyo; Tiendrebeogo, Wendlassida Joelle Stephanie Zabsonre; Ouedraogo, Dieu-Donne; Kabore, Fulgence; Tinni, Ismael Ayouba; Ouedraogo, Aboubakar; Zongo, Yamyelle Enselme] Bogodogo Univ Hosp Ctr, Rheumatol Dept, Sect 51,14 BP 371, Ouagadougou, Burkina Faso; [Sougue, Charles] Ctr Hosp Univ Sourou Sanou Bobo Dioulasso, Dept Internal Med, Bobo Dioulasso, Burkina Faso; [Yameogo, Aristide Relwende] Bogodogo Univ Hosp Ctr, Cardiol Dept, Ouagadougou, Burkina Faso; [Nacanabo, Wendlassida Martin] Bogodogo Univ Hosp Ctr, Cardiol Dept, Ouagadougou, Burkina Faso</t>
  </si>
  <si>
    <t>Performance of the Large Language Models in African rheumatology: a diagnostic test accuracy study of ChatGPT-4, Gemini, Copilot, and Claude artificial intelligence</t>
  </si>
  <si>
    <t>BMC RHEUMATOLOGY</t>
  </si>
  <si>
    <t>Artificial intelligence; Large Language Models; Rheumatology; Diagnostic accuracy; Africa</t>
  </si>
  <si>
    <t>YAMEOGO, Relwendé Aristide/JXM-2609-2024; BAYALA, Yannick Laurent Tchenadoyo/MHR-3131-2025</t>
  </si>
  <si>
    <t>NACANABO, Martin Wendlassida/0009-0002-2047-1830; ouédraogo, Aboubakar/0000-0002-7620-5016; Ouédraogo, Dieu-Donné/0000-0003-2625-2516; BAYALA, Yannick Laurent Tchenadoyo/0009-0004-9095-8948; Yamyellé Enselme, ZONGO/0000-0002-7321-6385; AYOUBA TINNI, Ismael/0000-0002-5809-7576; ZABSONRE/TIENDREBEOGO, W. Joelle/0000-0001-8098-2697</t>
  </si>
  <si>
    <t>2520-1026</t>
  </si>
  <si>
    <t>BMC RHEUMATOL</t>
  </si>
  <si>
    <t>BMC Rheumatol.</t>
  </si>
  <si>
    <t>MAY 16 2025</t>
  </si>
  <si>
    <t>10.1186/s41927-025-00512-z</t>
  </si>
  <si>
    <t>http://dx.doi.org/10.1186/s41927-025-00512-z</t>
  </si>
  <si>
    <t>Rheumatology</t>
  </si>
  <si>
    <t>2RW9L</t>
  </si>
  <si>
    <t>40380276</t>
  </si>
  <si>
    <t>WOS:001489838200001</t>
  </si>
  <si>
    <t>Seth, I; Xie, Y; Rodwell, A; Gracias, D; Bulloch, G; Hunter-Smith, DJ; Rozen, WM</t>
  </si>
  <si>
    <t>Purpose Recently, large language models, such as ChatGPT, have emerged as promising tools to facilitate scientific research and health care management. The present study aimed to explore the extent of knowledge possessed by ChatGPT concerning carpal tunnel syndrome (CTS), a compressive neuropathy that may lead to impaired hand function and that is frequently encountered in the field of hand surgery.Methods Six questions pertaining to diagnosis and management of CTS were posed to ChatGPT. The responses were subsequently analyzed and evaluated based on their accuracy, coherence, and comprehensiveness. In addition, ChatGPT was requested to provide five high-level evidence references in support of its answers. A simulated doctor-patient consultation was also conducted to assess whether ChatGPT could offer safe medical advice.Results ChatGPT supplied clinically relevant information regarding CTS, although at a rela-tively superficial level. In the context of doctor-patient interaction, ChatGPT suggested a diagnostic pathway that deviated from the widely accepted clinical consensus on CTS diagnosis. Nevertheless, it incorporated differential diagnoses and valuable management options for CTS. Although ChatGPT demonstrated the ability to retain and recall information from previous patient conversations, it infrequently produced pertinent references, many of which were either nonexistent or incorrect. Conclusions ChatGPT displayed the capability to deliver validated medical information on CTS to nonmedical individuals. However, the generation of nonexistent and inaccurate references by ChatGPT presents a challenge to academic integrity.Clinical relevance To increase their utility in medicine and academia, large language models must go through specialized reputable data set training and validation from experts. It is essential to note that at present, large language models cannot replace the expertise of health care professionals and may act as a supportive tool.(c) 2023 by the American Society for Surgery of the Hand. All rights reserved.)</t>
  </si>
  <si>
    <t>Seth, Ishith; Xie, Yi; Rodwell, Aaron; Gracias, Dylan; Bulloch, Gabriella; Hunter-Smith, David J.; Rozen, Warren M.</t>
  </si>
  <si>
    <t>Seth, I (corresponding author), Peninsula Hlth, Dept Plast Surg, 2 Hastings Rd, Melbourne, Vic 3199, Australia.</t>
  </si>
  <si>
    <t>ishithseth1@gmail.com</t>
  </si>
  <si>
    <t>[Seth, Ishith; Rozen, Warren M.] Monash Univ, Fac Med, Melbourne, Vic, Australia; [Seth, Ishith; Xie, Yi; Rozen, Warren M.] Peninsula Hlth, Dept Plast Surg, Melbourne, Vic, Australia; [Rodwell, Aaron] Wollongong Hosp, Dept Surg, Wollongong, NSW, Australia; [Gracias, Dylan] Townsville Hosp, Dept Surg, Townsville, Qld, Australia; [Seth, Ishith; Bulloch, Gabriella] Univ Melbourne, Fac Med, Melbourne, Vic, Australia; [Seth, Ishith] Peninsula Hlth, Dept Plast Surg, 2 Hastings Rd, Melbourne, Vic 3199, Australia</t>
  </si>
  <si>
    <t>Monash University; Peninsula Health; Wollongong Hospital; Queensland Health; Townsville Hospital; University of Melbourne; Peninsula Health</t>
  </si>
  <si>
    <t>Exploring the Role of a Large Language Model on Carpal Tunnel Syndrome Management: An Observation Study of ChatGPT</t>
  </si>
  <si>
    <t>JOURNAL OF HAND SURGERY-AMERICAN VOLUME</t>
  </si>
  <si>
    <t>Artificial intelligence; carpal tunnel syndrome; chatbot; ChatGPT; CTS</t>
  </si>
  <si>
    <t>PREVALENCE</t>
  </si>
  <si>
    <t>Rozen, Warren/AAE-6296-2022; Hunter-Smith, David/U-7055-2019; Seth, Ishith/IXX-0725-2023</t>
  </si>
  <si>
    <t>Rodwell, Aaron/0000-0002-2894-210X; Seth, Ishith/0000-0001-5444-8925</t>
  </si>
  <si>
    <t>0363-5023</t>
  </si>
  <si>
    <t>1531-6564</t>
  </si>
  <si>
    <t>J HAND SURG-AM</t>
  </si>
  <si>
    <t>J. Hand Surg.-Am. Vol.</t>
  </si>
  <si>
    <t>OCT 2023</t>
  </si>
  <si>
    <t>2023</t>
  </si>
  <si>
    <t>1025</t>
  </si>
  <si>
    <t>1033</t>
  </si>
  <si>
    <t>10.1016/j.jhsa.2023.07.003</t>
  </si>
  <si>
    <t>http://dx.doi.org/10.1016/j.jhsa.2023.07.003</t>
  </si>
  <si>
    <t>Orthopedics; Surgery</t>
  </si>
  <si>
    <t>U8AB2</t>
  </si>
  <si>
    <t>37530687</t>
  </si>
  <si>
    <t>WOS:001086963800001</t>
  </si>
  <si>
    <t>Ma, JT; Yu, J; Xie, AR; Huang, TH; Liu, WJ; Ma, MY; Tao, Y; Zang, FY; Zheng, QS; Zhu, WB; Chen, YX; Ning, MZ; Zhu, YJ</t>
  </si>
  <si>
    <t>Large language models (LLMs) have established a presence in providing medical services to patients and supporting clinical practice for doctors. To explore the ability of LLMs in answering clinical questions related to autoimmune diseases, this study was designed with 65 questions related to autoimmune diseases, covering five domains: concepts, report interpretation, diagnosis, prevention and treatment, and prognosis. Types of diseases include Sj &amp; ouml;gren's syndrome, systemic lupus erythematosus, rheumatoid arthritis, systemic sclerosis, and others. These questions were answered by three LLMs: ChatGPT 4o, Claude 3.5 Sonnet, and Gemini 1.5 Pro. The responses were then evaluated by 8 clinicians based on criteria including relevance, completeness, accuracy, safety, readability, and simplicity. We analyzed the scores of the three LLMs across five domains and six dimensions and compared their accuracy in answering the report interpretation section with that of two senior doctors and two junior doctors. The results showed that the performance of the three LLMs in the evaluation of autoimmune diseases significantly surpassed that of both junior and senior doctors. Notably, Claude 3.5 Sonnet excelled in providing comprehensive and accurate responses to clinical questions on autoimmune diseases, demonstrating the great potential of LLMs in assisting doctors with the diagnosis, treatment, and management of autoimmune diseases.</t>
  </si>
  <si>
    <t>Ma, Juntao; Yu, Jie; Xie, Anran; Huang, Taihong; Liu, Wenjing; Ma, Mengyin; Tao, Yue; Zang, Fuyu; Zheng, Qisi; Zhu, Wenbo; Chen, Yuxin; Ning, Mingzhe; Zhu, Yijia</t>
  </si>
  <si>
    <t>Chen, YX; Ning, MZ; Zhu, YJ (corresponding author), Nanjing Univ Chinese Med, Nanjing Drum Tower Hosp, Clin Coll, Dept Lab Med, Nanjing, Jiangsu, Peoples R China.; Ning, MZ (corresponding author), Nanjing Drum Tower Hosp Grp, Yizheng Hosp, Yangzhou 211900, Jiangsu, Peoples R China.</t>
  </si>
  <si>
    <t>yuxin.chen@nju.edu.cn; zyj900626@outlook.com; ningmz@njglyy.com</t>
  </si>
  <si>
    <t>National key research and development program [2023YFC2309100]; National Natural Science Foundation of China [92269118, 92269205, 92369117]; Scientific Research Project of Jiangsu Health Commission [M2022013]; Clinical Trials from the Affiliated Drum Tower Hospital, Medical School of Nanjing University [2021-LCYJ-PY-10]; Project of Chinese Hospital Reform and Development Institute, Nanjing University, Aid project of Nanjing Drum Tower Hospital Health, Education &amp;Research Foundation [NDYG2022003]</t>
  </si>
  <si>
    <t>National key research and development program (National Key Research &amp; Development Program of China); National Natural Science Foundation of China (National Natural Science Foundation of China (NSFC)); Scientific Research Project of Jiangsu Health Commission; Clinical Trials from the Affiliated Drum Tower Hospital, Medical School of Nanjing University; Project of Chinese Hospital Reform and Development Institute, Nanjing University, Aid project of Nanjing Drum Tower Hospital Health, Education &amp;Research Foundation</t>
  </si>
  <si>
    <t>This work was supported by the National key research and development program [2023YFC2309100]; National Natural Science Foundation of China [92269118, 92269205, 92369117]; Scientific Research Project of Jiangsu Health Commission [M2022013]; Clinical Trials from the Affiliated Drum Tower Hospital, Medical School of Nanjing University [2021-LCYJ-PY-10]; Project of Chinese Hospital Reform and Development Institute, Nanjing University, Aid project of Nanjing Drum Tower Hospital Health, Education &amp;Research Foundation [NDYG2022003].</t>
  </si>
  <si>
    <t>[Ma, Juntao; Yu, Jie; Xie, Anran; Huang, Taihong; Liu, Wenjing; Ma, Mengyin; Tao, Yue; Zang, Fuyu; Zheng, Qisi; Zhu, Wenbo; Chen, Yuxin; Ning, Mingzhe; Zhu, Yijia] Nanjing Univ Chinese Med, Nanjing Drum Tower Hosp, Clin Coll, Dept Lab Med, Nanjing, Jiangsu, Peoples R China; [Ning, Mingzhe] Nanjing Drum Tower Hosp Grp, Yizheng Hosp, Yangzhou 211900, Jiangsu, Peoples R China</t>
  </si>
  <si>
    <t>Nanjing University; Nanjing University of Chinese Medicine</t>
  </si>
  <si>
    <t>Large language model evaluation in autoimmune disease clinical questions comparing ChatGPT 4o, Claude 3.5 Sonnet and Gemini 1.5 pro</t>
  </si>
  <si>
    <t>Large Language models; Autoimmune diseases; Performance evaluation</t>
  </si>
  <si>
    <t>Chen, Yuxin/AFR-3812-2022</t>
  </si>
  <si>
    <t>17635</t>
  </si>
  <si>
    <t>10.1038/s41598-025-02601-y</t>
  </si>
  <si>
    <t>http://dx.doi.org/10.1038/s41598-025-02601-y</t>
  </si>
  <si>
    <t>2WG3U</t>
  </si>
  <si>
    <t>40399509</t>
  </si>
  <si>
    <t>WOS:001492819600040</t>
  </si>
  <si>
    <t>Khan, RR; Tannoury, T; Ryali, R; Alves, M; Tao, BS; Abolfotouh, S; Alnori, O; El-Sharkawi, M; Moufarrej, K; Li, M; Mollick, LR; El-Hajj, N; Dhunna, DP; Kim, MT; Shah, NV; Tannoury, C</t>
  </si>
  <si>
    <t>Introduction Lumbar spondylolisthesis remains a radiographic diagnosis. With the improvement of large language models (LLMs), such as ChatGPT, in interpreting multimodal images, many patients have turned to LLMs for diagnostic insight. Yet the diagnostic reliability of emerging LLMs for spinal pathologies remains understudied. This study sought to evaluate the performance of both ChatGPT-4o and ChatGPT-5 in detecting lumbar spondylolisthesis on standing lateral lumbar radiographs from a public imaging dataset evaluated by expert spine surgeon consensus.Methods From the VinDr-SpineXR dataset library, we extracted 200 standing lateral lumbar radiographs, including 100 labeled as spondylolisthesis-positive and 100 labeled as spondylolisthesis-negative. Five fellowship-trained spine surgeons independently reviewed all 200 radiographs. Expert consensus was defined as agreement by at least three surgeons. These same 200 radiographs were independently analyzed by GPT-4o and GPT-5 using a standardized binary prompt to assess presence or absence of spondylolisthesis. Diagnostic performance was assessed relative to expert surgeon consensus.Results After spine surgeon consensus was established, spondylolisthesis was confirmed in 81% of VinDr-SpineXR spondylolisthesis-labeled positive radiographs, while 2% of VinDr-SpineXR spondylolisthesis-labeled negative radiographs were reclassified as positive. With expert surgeon consensus set as ground truth, ChatGPT-5 outperformed ChatGPT-4o evidenced by higher sensitivity (67.5% vs. 49.4%) and overall accuracy (61.5% vs. 55.5%), with minor difference in specificity (57.3% vs. 59.8%). Inter-rater agreement was higher with ChatGPT-5 (kappa = 0.238) than GPT-4o (kappa = 0.091).Conclusions ChatGPT-5 outperformed ChatGPT-4o in detecting lumbar spondylolisthesis. Yet, both LLMs remained limited compared to fellowship trained spine surgeons.</t>
  </si>
  <si>
    <t>Khan, Rehan R.; Tannoury, Tony; Ryali, Rohith; Alves, Matheus; Tao, Brian S.; Abolfotouh, Sameh; Alnori, Omar; El-Sharkawi, Mohammad; Moufarrej, Kamel; Li, Margaret; Mollick, Lila R.; El-Hajj, Nader; Dhunna, Daman P.; Kim, Matthew T.; Shah, Neil V.; Tannoury, Chadi</t>
  </si>
  <si>
    <t>Tannoury, C (corresponding author), Boston Med Ctr, Dept Orthoped Surg, Boston, MA 02118 USA.; Tannoury, C (corresponding author), Boston Univ, Chobanian &amp; Avedisian Sch Med, Boston, MA 02118 USA.</t>
  </si>
  <si>
    <t>briantao@bu.edu; mli164@bu.edu; malves1@bu.edu; neilvshahmd@gmail.com; rohithr@bu.edu; sabolfotouh86@gmail.com; naderelhajj.k@gmail.com; rrkhan@bu.edu; kamelm@bu.edu; matthewthomaskim@gmail.com; chadi.tannoury@gmail.com; lmollick@bu.edu; ddhunna@bu.edu; tony.tannoury@gmail.com; dr.omaralnori@gmail.com; sharkoran@aun.edu.eg</t>
  </si>
  <si>
    <t>[Khan, Rehan R.; Tannoury, Tony; Ryali, Rohith; Alves, Matheus; Tao, Brian S.; Moufarrej, Kamel; Li, Margaret; Mollick, Lila R.; El-Hajj, Nader; Dhunna, Daman P.; Kim, Matthew T.; Shah, Neil V.; Tannoury, Chadi] Boston Med Ctr, Dept Orthoped Surg, Boston, MA 02118 USA; [Khan, Rehan R.; Tannoury, Tony; Ryali, Rohith; Alves, Matheus; Tao, Brian S.; Moufarrej, Kamel; Li, Margaret; Dhunna, Daman P.; Tannoury, Chadi] Boston Univ, Chobanian &amp; Avedisian Sch Med, Boston, MA 02118 USA; [Abolfotouh, Sameh] MEDCARE Hosp, Orthoped Dept, Dubai, U Arab Emirates; [Abolfotouh, Sameh] OrthoCure Med Ctr, Orthoped Dept, Dubai, U Arab Emirates; [Alnori, Omar] Hamad Gen Hosp, Orthoped Dept, Doha, Qatar; [El-Sharkawi, Mohammad] Assiut Univ, Fac Med, Dept Orthoped &amp; Trauma Surg, Assiut, Egypt; [Mollick, Lila R.] Boston Univ, Coll Hlth &amp; Rehabil Sci Sargent, Boston, MA USA; [El-Hajj, Nader] Univ Colorado Anschutz Med Campus, Dept Orthoped Surg, Aurora, CO USA; [Shah, Neil V.] BronxCare Hlth Syst, Dept Orthopaed Surg, Bronx, NY USA</t>
  </si>
  <si>
    <t>Boston Medical Center; Boston University; Hamad Medical Corporation; Hamad General Hospital; Egyptian Knowledge Bank (EKB); Assiut University; Boston University; BronxCare Health System</t>
  </si>
  <si>
    <t>Large language models for lumbar spondylolisthesis detection: a multi-center pilot comparative radiographic accuracy study</t>
  </si>
  <si>
    <t>EUROPEAN JOURNAL OF ORTHOPAEDIC SURGERY AND TRAUMATOLOGY</t>
  </si>
  <si>
    <t>Artificial intelligence; Generative pretrained transformer; Deep learning; Sensitivity and specificity; Clinical decision support; Direct-to-consumer health technology</t>
  </si>
  <si>
    <t>Moufarrej, Kamel/0009-0009-8156-9832</t>
  </si>
  <si>
    <t>1633-8065</t>
  </si>
  <si>
    <t>1432-1068</t>
  </si>
  <si>
    <t>EUR J ORTHOP SURG TR</t>
  </si>
  <si>
    <t>Eur. J. Orthop. Surg. Traumatol.</t>
  </si>
  <si>
    <t>AUG 13 2026</t>
  </si>
  <si>
    <t>339</t>
  </si>
  <si>
    <t>10.1007/s00590-026-04923-7</t>
  </si>
  <si>
    <t>http://dx.doi.org/10.1007/s00590-026-04923-7</t>
  </si>
  <si>
    <t>MR5BZ</t>
  </si>
  <si>
    <t>42593567</t>
  </si>
  <si>
    <t>WOS:001849144400001</t>
  </si>
  <si>
    <t>Srinivasan, S; Ai, XG; Lo, TWS; Gilson, A; Zou, MJ; Zou, K; Kim, H; Yang, MJ; Pushpanathan, K; Yew, SME; Loke, WT; Goh, JHL; Chen, YB; Kong, YM; Fu, EY; Ong, M; Nwanyanwu, K; Dave, A; Li, KZ; Sun, CH; Chia, M; Yang, GD; Wong, WM; Chen, DZ; Liu, DB; Singer, M; Antaki, F; Del Priore, LV; Jonas, JB; Adelman, R; Chen, QY; Tham, YC</t>
  </si>
  <si>
    <t>Purpose: Current benchmarks evaluating large language models (LLMs) in ophthalmology are narrow and disproportionately prioritize accuracy. We introduce BEnchmarking LLMs for Ophthalmology (BELO), a standardized evaluation benchmark developed through multiple rounds of expert checking by 13 ophthalmologists. BEnchmarking LLMs for Ophthalmology assesses ophthalmology-related knowledge and reasoning quality. Subjects: This study did not involve human participation. Design: Cross-sectional study. Methods: Using keyword matching and a fine-tuned PubMed Bidirectional Encoder Representations from Transformers model, we curated ophthalmology-specific multiple-choice questions (MCQs) from diverse medical data sets (Basic and Clinical Science Course [BCSC], Multi-Subject Multi-Choice Dataset for Medical domain [MedMCQA], Medical Question Answering [MedQA], Biomedical Semantic Indexing and Question Answering [BioASQ], and PubMed Question Answering [PubMedQA]). The data set underwent multiple rounds of expert checking. Duplicate and substandard questions were systematically removed. Ten ophthalmologists refined the explanations of each MCQ's correct answer. This was further adjudicated by 3 senior ophthalmologists. To illustrate BELO's utility, we evaluated 8 LLMs (OpenAI o1, o3-mini, GPT-5, GPT-4o, DeepSeek-R1, MedGemma-4B, Llama-3-8B, and Gemini 1.5 Pro). Main Outcome Measures: The 8 LLMs were evaluated in terms using accuracy, macro-F1, and 5 text-generation metrics (Recall-Oriented Understudy for Gisting Evaluation, BERTScore, BARTScore, Metric for Evaluation of Translation with Explicit Ordering, and AlignScore). In a further evaluation involving human experts, 2 ophthalmologists qualitatively reviewed 50 randomly selected outputs for accuracy, comprehensiveness, and completeness. Results: BEnchmarking LLMs for Ophthalmology consists of 900 high-quality, expert-reviewed questions aggregated from 5 sources: BCSC (260), BioASQ (10), MedMCQA (572), MedQA (40), and PubMedQA (18). To demonstrate BELO's utility, we conducted a series of benchmarking exercises. In the quantitative evaluation, GPT-5 achieved the highest accuracy (0.90, 95% confidence interval [CI]: 0.89-0.92) and macro-F1 score (0.91, 95% CI: 0.89-0.93). On the other hand, the models' performance on text-generation metrics varied and were generally suboptimal, with scores ranging from 20.4 to 72.0 (out of 100, excluding the BARTScore metric), indicating room for improvement in clinical reasoning. In expert evaluations, GPT-4o was rated highest for accuracy and readability, while Gemini 1.5 Pro scored highest for completeness. A public leaderboard has been established to promote transparent evaluation and reporting. Importantly, the BELO data set will remain a hold-out, evaluation-only benchmark to ensure fair and reproducible comparisons of future models. Conclusions: BEnchmarking LLMs for Ophthalmology provides a robust clinically relevant benchmark for evaluating both the accuracy and reasoning capabilities of current and emerging LLMs in ophthalmology. Future BELO benchmarking efforts will expand to include vision-based question answering and clinical scenario management tasks. Financial Disclosure(s): The authors have no proprietary or commercial interest in any materials discussed in this article. Ophthalmology Science 2026;6:101050 (c) 2025 by the American Academy of Ophthalmology. This is an open access article under the CC BY-NC-ND license (http://creativecommons.org/licenses/by-nc-nd/4.0/).</t>
  </si>
  <si>
    <t>Srinivasan, Sahana; Ai, Xuguang; Lo, Thaddaeus Wai Soon; Gilson, Aidan; Zou, Minjie; Zou, Ke; Kim, Hyunjae; Yang, Mingjia; Pushpanathan, Krithi; Yew, Samantha Min Er; Loke, Wan Ting; Goh, Jocelyn Hui Lin; Chen, Yibing; Kong, Yiming; Fu, Emily Yuelei; Ong, Michelle; Nwanyanwu, Kristen; Dave, Amisha; Li, Kelvin Zhenghao; Sun, Chen-Hsin; Chia, Mark; Yang, Gabriel Dawei; Wong, Wendy Meihua; Chen, David Ziyou; Liu, Dianbo; Singer, Maxwell; Antaki, Fares; Del Priore, Lucian V.; Jonas, Jost B.; Adelman, Ron; Chen, Qingyu; Tham, Yih-Chung</t>
  </si>
  <si>
    <t>Chen, QY (corresponding author), Yale Univ, Yale Sch Med, 101 Coll St,Fl 10, New Haven, CT 06510 USA.; Tham, YC (corresponding author), Natl Univ Singapore, Yong Loo Lin Sch Med, Level 13,MD1 Tahir Fdn Bldg,12 Sci Dr 2, Singapore 117549, Singapore.</t>
  </si>
  <si>
    <t>thamyc@nus.edu.sg; qingyu.chen@yale.edu</t>
  </si>
  <si>
    <t>National Medical Research Council HPHSR CLINICIAN SCIENTIST AWARD [NMRC/MOH/HCSAINV21nov-0001, NMRC/MOH/HCSAINV25jan-0003]; National University of Singapore's Presidential Young Professorship Award [4R00LM014024]; National Institutes of Health (National Library of Medicine) [4R00LM014024]</t>
  </si>
  <si>
    <t>National Medical Research Council HPHSR CLINICIAN SCIENTIST AWARD; National University of Singapore's Presidential Young Professorship Award; National Institutes of Health (National Library of Medicine) (United States Department of Health &amp; Human Services, National Institutes of Health (NIH) - USA, NIH National Library of Medicine (NLM))</t>
  </si>
  <si>
    <t>Y-C.T. is supported by the National Medical Research Council HPHSR CLINICIAN SCIENTIST AWARD (NMRC/MOH/HCSAINV21nov-0001 &amp; NMRC/MOH/HCSAINV25jan-0003) , and the National University of Singapore's Presidential Young Professorship Award. Q.C. is supported by the National Institutes of Health (National Library of Medicine, 4R00LM014024 and 4R00LM014024) .</t>
  </si>
  <si>
    <t>[Srinivasan, Sahana; Zou, Minjie; Pushpanathan, Krithi; Yew, Samantha Min Er; Loke, Wan Ting; Goh, Jocelyn Hui Lin; Chen, Yibing; Wong, Wendy Meihua; Chen, David Ziyou; Liu, Dianbo; Tham, Yih-Chung] Natl Univ Singapore, Yong Loo Lin Sch Med, Dept Ophthalmol, Singapore, Singapore; [Srinivasan, Sahana; Zou, Minjie; Zou, Ke; Pushpanathan, Krithi; Yew, Samantha Min Er; Loke, Wan Ting; Goh, Jocelyn Hui Lin; Chen, Yibing; Wong, Wendy Meihua; Chen, David Ziyou; Liu, Dianbo; Tham, Yih-Chung] Natl Univ Singapore, Ctr Innovat &amp; Precis Eye Hlth, Yong Loo Lin Sch Med, Singapore, Singapore; [Ai, Xuguang; Kim, Hyunjae; Kong, Yiming; Fu, Emily Yuelei; Chen, Qingyu] Yale Univ, Yale Sch Med, Dept Biomed Informat &amp; Data Sci, New Haven, CT USA; [Lo, Thaddaeus Wai Soon; Goh, Jocelyn Hui Lin; Yang, Gabriel Dawei; Jonas, Jost B.; Tham, Yih-Chung] Singapore Natl Eye Ctr, Singapore Eye Res Inst, Singapore, Singapore; [Gilson, Aidan] Harvard Med Sch, Dept Ophthalmol, Massachusetts Eye &amp; Ear, Boston, MA USA; [Yang, Mingjia] Nanyang Technol Univ, Sch Chem Chem Engn &amp; Biotechnol, Singapore, Singapore; [Ong, Michelle] Singapore Univ Technol &amp; Design, Engn Prod Dev Pillar, Singapore, Singapore; [Nwanyanwu, Kristen; Dave, Amisha; Singer, Maxwell; Del Priore, Lucian V.; Adelman, Ron] Yale Univ, Yale Sch Med, Dept Ophthalmol &amp; Visual Sci, New Haven, CT USA; [Li, Kelvin Zhenghao] Tan Tock Seng Hosp, Dept Ophthalmol, Singapore, Singapore; [Sun, Chen-Hsin; Wong, Wendy Meihua; Chen, David Ziyou] Natl Univ Singapore Hosp, Dept Ophthalmol, Singapore, Singapore; [Chia, Mark] Moorfields Eye Hosp NHS Fdn Trust, NIHR Biomed Res Ctr, London, England; [Antaki, Fares] Cleveland Clin, Cole Eye Inst, Cleveland, OH USA; [Antaki, Fares] CHUM Sch Artificial Intelligence Healthcare, Montreal, PQ, Canada; [Adelman, Ron] Mayo Clin, Dept Ophthalmol, Jacksonville, FL USA; [Tham, Yih-Chung] Duke NUS Med Sch, Ophthalmol &amp; Visual Sci Acad Clin Program Eye ACP, Singapore, Singapore; [Chia, Mark] Univ Coll London, Inst Ophthalmol, Greater London, England</t>
  </si>
  <si>
    <t>National University of Singapore; National University of Singapore; Yale University; Singapore National Eye Center; National University of Singapore; Harvard University; Harvard Medical School; Harvard University Medical Affiliates; Massachusetts Eye &amp; Ear Infirmary; Nanyang Technological University; Singapore University of Technology &amp; Design; Yale University; Tan Tock Seng Hospital; National University of Singapore; University of London; University College London; Moorfields Eye Hospital NHS Foundation Trust; Cleveland Clinic Foundation; Mayo Clinic; National University of Singapore; University of London; University College London</t>
  </si>
  <si>
    <t>BEnchmarking Large Language Models for Ophthalmology (BELO): An Expert-Curated Data Set and Evaluation Framework for Knowledge and Reasoning</t>
  </si>
  <si>
    <t>Benchmark data set; Expert curated; Large language models; Ophthalmological reasoning; Question-answer</t>
  </si>
  <si>
    <t>FOUNDATION MODEL</t>
  </si>
  <si>
    <t>Pushpanathan, Krithi/AAD-3746-2022; Zou, Ke/POS-7721-2026; Antaki, Fares/GSI-6622-2022; Tham, Yih Chung/IUP-0091-2023; Yew, Samantha/NRY-1663-2025; Chia, Mark/JPE-6549-2023; Ai, Xuguang/OOL-4604-2025</t>
  </si>
  <si>
    <t>Pushpanathan, Krithi/0000-0001-6263-8489; Fu, Yuelei/0009-0004-4585-6213; Zou, Ke/0000-0002-2025-9859; Yang, Mingjia/0009-0002-2954-7168; Antaki, Fares/0000-0001-6679-7276</t>
  </si>
  <si>
    <t>101050</t>
  </si>
  <si>
    <t>10.1016/j.xops.2025.101050</t>
  </si>
  <si>
    <t>http://dx.doi.org/10.1016/j.xops.2025.101050</t>
  </si>
  <si>
    <t>DN2OX</t>
  </si>
  <si>
    <t>41696659</t>
  </si>
  <si>
    <t>WOS:001687456100001</t>
  </si>
  <si>
    <t>Wan, ZY; Guo, YH; Bao, SX; Wang, Q; Malin, BA</t>
  </si>
  <si>
    <t>Background: Multimodal large language models (LLMs) have shown potential in various health-related fields. However, many healthcare studies have raised concerns about the reliability and biases of LLMs in healthcare applications. Methods: To explore the practical application of multimodal LLMs in skin disease identification, and to evaluate sex and age biases, we tested the performance of 2 popular multimodal LLMs, ChatGPT-4 and LLaVA-1.6, across diverse sex and age groups using a subset of a large dermatoscopic dataset containing around 10,000 images and 3 skin diseases (melanoma, melanocytic nevi, and benign keratosis-like lesions). Results: In comparison to 3 deep learning models (VGG16, ResNet50, and Model Derm) based on convolutional neural network (CNN), one vision transformer model (Swin-B), we found that ChatGPT-4 and LLaVA-1.6 demonstrated overall accuracies that were 3% and 23% higher (and F1-scores that were 4% and 34% higher), respectively, than the best performing CNN-based baseline while maintaining accuracies that were 38% and 26% lower (and F1-scores that were 38% and 19% lower), respectively, than Swin-B. Meanwhile, ChatGPT-4 is generally unbiased in identifying these skin diseases across sex and age groups, while LLaVA-1.6 is generally unbiased across age groups, in contrast to Swin-B, which is biased in identifying melanocytic nevi. Conclusions: This study suggests the usefulness and fairness of LLMs in dermatological applications, aiding physicians and practitioners with diagnostic recommendations and patient screening. To further verify and evaluate the reliability and fairness of LLMs in healthcare, experiments using larger and more diverse datasets need to be performed in the future.</t>
  </si>
  <si>
    <t>Wan, Zhiyu; Guo, Yuhang; Bao, Shunxing; Wang, Qian; Malin, Bradley A.</t>
  </si>
  <si>
    <t>Wan, ZY (corresponding author), Vanderbilt Univ, Med Ctr, Dept Biomed Informat, Nashville, TN 37235 USA.; Wan, ZY (corresponding author), Shanghai Tech Univ, Sch Biomed Engn, Shanghai, Peoples R China.</t>
  </si>
  <si>
    <t>wanzhy@shanghaitech.edu.cn</t>
  </si>
  <si>
    <t>National Institutes of Health [RM1HG009034]</t>
  </si>
  <si>
    <t>National Institutes of Health (United States Department of Health &amp; Human Services, National Institutes of Health (NIH) - USA)</t>
  </si>
  <si>
    <t>This research received partial funding from the National Institutes of Health through the following grant: RM1HG009034 (to B.A.M.).</t>
  </si>
  <si>
    <t>[Wan, Zhiyu; Malin, Bradley A.] Vanderbilt Univ, Med Ctr, Dept Biomed Informat, Nashville, TN 37235 USA; [Wan, Zhiyu; Guo, Yuhang; Wang, Qian] Shanghai Tech Univ, Sch Biomed Engn, Shanghai, Peoples R China; [Bao, Shunxing] Vanderbilt Univ, Dept Elect &amp; Comp Engn, Nashville, TN USA; [Malin, Bradley A.] Vanderbilt Univ, Dept Comp Sci, Nashville, TN USA; [Malin, Bradley A.] Vanderbilt Univ, Dept Biostat, Med Ctr, Nashville, TN USA</t>
  </si>
  <si>
    <t>Vanderbilt University; ShanghaiTech University; Vanderbilt University; Vanderbilt University; Vanderbilt University</t>
  </si>
  <si>
    <t>Evaluating Sex and Age Biases in Multimodal Large Language Models for Skin Disease Identification from Dermatoscopic Images</t>
  </si>
  <si>
    <t>HEALTH DATA SCIENCE</t>
  </si>
  <si>
    <t>Wan, Zhiyu/ACA-8019-2022; Guo, Yuhang/GVT-3867-2022; Malin, Bradley/KJR-0424-2024</t>
  </si>
  <si>
    <t>Wan, Zhiyu/0000-0003-3752-5778; Wang, Qian/0000-0002-3490-3836; Malin, Bradley/0000-0003-3040-5175; Bao, Shunxing/0000-0001-6376-4292</t>
  </si>
  <si>
    <t>AMER ASSOC ADVANCEMENT SCIENCE</t>
  </si>
  <si>
    <t>WASHINGTON</t>
  </si>
  <si>
    <t>1200 NEW YORK AVE, NW, WASHINGTON, DC 20005 USA</t>
  </si>
  <si>
    <t>2765-8783</t>
  </si>
  <si>
    <t>HEALTH DATA SCI</t>
  </si>
  <si>
    <t>Health Data Sci.</t>
  </si>
  <si>
    <t>APR 1 2025</t>
  </si>
  <si>
    <t>0256</t>
  </si>
  <si>
    <t>10.34133/hds.0256</t>
  </si>
  <si>
    <t>http://dx.doi.org/10.34133/hds.0256</t>
  </si>
  <si>
    <t>Computer Science, Interdisciplinary Applications; Health Care Sciences &amp; Services</t>
  </si>
  <si>
    <t>Computer Science; Health Care Sciences &amp; Services</t>
  </si>
  <si>
    <t>5YS2U</t>
  </si>
  <si>
    <t>40170800</t>
  </si>
  <si>
    <t>WOS:001547513100001</t>
  </si>
  <si>
    <t>Pratama, MZ; Suryana, BPP; Wahono, CS; Putri, RK</t>
  </si>
  <si>
    <t>Introduction Systemic Lupus Erythematosus (SLE) presents a significant diagnostic challenge for clinicians due to its diverse clinical manifestations and overlap with other autoimmune conditions. Large Language Models (LLMs) are currently regarded as having the potential to assist clinicians in expediting decision-making. This study aimed to evaluate the performance of four LLMs in differentiating SLE from clinically mimicking conditions.Methods A retrospective diagnostic accuracy study was conducted involving 100 patients at a rheumatology center: 50 patients with confirmed SLE and 50 non-SLE patients with conditions including rheumatoid arthritis, systemic sclerosis, axial spondyloarthritis, psoriatic arthritis, myositis, ANCA-associated vasculitis, mixed connective tissue disease, undifferentiated connective tissue disease, and fibromyalgia. Four LLMs were evaluated: Deepseek, ChatGPT 4.0, Claude Sonnet 4, and Gemini. The 2019 European Alliance of Associations for Rheumatology/American College of Rheumatology (EULAR/ACR) classification criteria were applied. Diagnostic accuracy, positive predictive value (PPV), negative predictive value (NPV), and Area Under the Receiver Operating Characteristic Curve (AUC) were calculated. IBM SPSS Statistics version 25 was used for all analyses.Results Gemini achieved the highest performance score, with an accuracy of 96% (95% CI: 91.2-100.0%), sensitivity of 94% (95% CI: 89.3-98.7%), specificity of 98% (95% CI: 93.1-100.0%), and an AUC of 0.960. ChatGPT 4.0 and Claude Sonnet 4 exhibited comparable accuracy. Deepseek recorded the lowest performance score.Conclusion Gemini demonstrated significant potential to assist clinicians in differentiating SLE from mimicking conditions. Nevertheless, prospective validation in real-world clinical settings is required before these tools can be reliably integrated into clinical practice.</t>
  </si>
  <si>
    <t>Pratama, Mirza Zaka; Suryana, Bagus Putu Putra; Wahono, Cesarius Singgih; Putri, Rina Kurnia</t>
  </si>
  <si>
    <t>Pratama, MZ (corresponding author), Brawijaya Univ, Dr Saiful Gen Hosp, Internal Med Dept, Rheumatol Div, Malang, Indonesia.</t>
  </si>
  <si>
    <t>mirzazaka.pratama@gmail.com</t>
  </si>
  <si>
    <t>[Pratama, Mirza Zaka; Suryana, Bagus Putu Putra; Wahono, Cesarius Singgih; Putri, Rina Kurnia] Brawijaya Univ, Dr Saiful Gen Hosp, Internal Med Dept, Rheumatol Div, Malang, Indonesia</t>
  </si>
  <si>
    <t>Brawijaya University</t>
  </si>
  <si>
    <t>Performance of Large Language Models in Differentiating Systemic Lupus Erythematosus From Mimicking Conditions Using the 2019 EULAR/ACR Criteria: A Comparative Analysis</t>
  </si>
  <si>
    <t>INTERNATIONAL JOURNAL OF RHEUMATIC DISEASES</t>
  </si>
  <si>
    <t>artificial intelligence; diagnostic accuracy; large language model; rheumatology; systemic lupus erythematosus</t>
  </si>
  <si>
    <t>Pratama, Mirza Zaka/GPK-2882-2022; Wahono, Cesarius/AAC-1856-2021</t>
  </si>
  <si>
    <t>1756-1841</t>
  </si>
  <si>
    <t>1756-185X</t>
  </si>
  <si>
    <t>INT J RHEUM DIS</t>
  </si>
  <si>
    <t>Int. J. Rheum. Dis.</t>
  </si>
  <si>
    <t>MAY 25 2026</t>
  </si>
  <si>
    <t>e70713</t>
  </si>
  <si>
    <t>10.1111/1756-185x.70713</t>
  </si>
  <si>
    <t>http://dx.doi.org/10.1111/1756-185x.70713</t>
  </si>
  <si>
    <t>IJ2QT</t>
  </si>
  <si>
    <t>42178941</t>
  </si>
  <si>
    <t>WOS:001772999600001</t>
  </si>
  <si>
    <t>Gaebe, K; van der Woerd, B</t>
  </si>
  <si>
    <t>Background Large language models (LLMs) have demonstrated capabilities in natural language processing and critical reasoning. Studies investigating their potential use as healthcare diagnostic tools have largely relied on proprietary models like ChatGPT and have not explored the application of advanced prompt engineering techniques. This study aims to evaluate the diagnostic accuracy of three open-source LLMs and the role of prompt engineering using clinical scenarios.Methods We analyzed the performance of three open-source LLMs-llama-3.1-70b-versatile, llama-3.1-8b-instant, and mixtral-8x7b-32768-using advanced prompt engineering when answering Medscape Clinical Challenge questions. Responses were recorded and evaluated for correctness, accuracy, precision, specificity, and sensitivity. A sensitivity analysis was conducted presenting the three LLMs with basic prompting challenge questions and excluding cases with visual assets. Results were compared with previously published performance data on GPT-3.5.Results Llama-3.1-70b-versatile, llama-3.1-8b-instant, and mixtral-8x7b-32768 achieved correct responses in 79%, 65%, and 62% of cases, respectively, outperforming GPT-3.5 (74%). Diagnostic accuracy, precision, sensitivity, and specificity responses all outperformed those previously reported for GPT-3.5. Results generated using advanced prompting strategies were superior to those based on basic prompting. Sensitivity analysis revealed similar trends when cases with visual assets were excluded.Discussion Using advanced prompting techniques, LLMs can generate clinically accurate responses. The study highlights the limitations of proprietary models like ChatGPT, particularly in terms of accessibility and reproducibility due to version deprecation. Future research should employ prompt engineering techniques and prioritize the use of open-source models to ensure research replicability.</t>
  </si>
  <si>
    <t>Gaebe, Karolina; van der Woerd, Benjamin</t>
  </si>
  <si>
    <t>van der Woerd, B (corresponding author), Michael G DeGroote Sch Med, Dept Surg, Div Otolaryngol Head &amp; Neck Surg, Hamilton, ON, Canada.</t>
  </si>
  <si>
    <t>vanderw@mcmaster.ca</t>
  </si>
  <si>
    <t>[Gaebe, Karolina; van der Woerd, Benjamin] Michael G DeGroote Sch Med, Dept Surg, Div Otolaryngol Head &amp; Neck Surg, Hamilton, ON, Canada</t>
  </si>
  <si>
    <t>McMaster University</t>
  </si>
  <si>
    <t>Evaluation of large language models as a diagnostic tool for medical learners and clinicians using advanced prompting techniques</t>
  </si>
  <si>
    <t>Gaebe, Karolina/0000-0002-7856-9745; van der Woerd, Benjamin/0000-0002-4189-2733</t>
  </si>
  <si>
    <t>AUG 1 2025</t>
  </si>
  <si>
    <t>e0325803</t>
  </si>
  <si>
    <t>10.1371/journal.pone.0325803</t>
  </si>
  <si>
    <t>http://dx.doi.org/10.1371/journal.pone.0325803</t>
  </si>
  <si>
    <t>5RM0N</t>
  </si>
  <si>
    <t>40749008</t>
  </si>
  <si>
    <t>WOS:001542584800004</t>
  </si>
  <si>
    <t>Zhang, SY; Wu, ZP; Guo, MY; Liu, C; Cui, MY; Yang, SJ; Chen, F</t>
  </si>
  <si>
    <t>Background: Prostate cancer (PCa) is a significant global health challenge, and the prostate imaging reporting and data system (PIRADS) is crucial for risk stratification using MRI. However, inter-reader variability, especially in the transition zone and among practitioners with differing experience levels, compromises diagnostic consistency. Large language models (LLMs) show potential in medical image analysis, particularly in standardizing reports to improve diagnostic consistency and efficiency. Objective: To evaluate the performance of LLMs in assisting PI-RADS scoring based on biparametric MRI text reports and compare them with radiologists of varying experience levels. Additionally, to identify independent predictors of PCa and csPCa using multivariable logistic regression analysis. Methods: This retrospective single-center study included 210 patients who underwent transperineal cognitive fusion-targeted biopsy for clinically suspected prostate cancer between December 2024 and July 2025. Three radiologists and two LLMs (DeepSeek and ChatGPT-4.1) independently reviewed anonymized reports and assigned PI-RADS v2.1 scores. Diagnostic performance was assessed using biopsy pathological results as the gold standard. Sensitivity, specificity, positive predictive value (PPV), negative predictive value (NPV), and area under the receiver operating characteristic curve (AUC) were calculated at both lesion-level (PI-RADS &gt;= 3 as positive) and participant-level (PI-RADS &gt;= 3 and &gt;= 4 as positive thresholds). Decision curve analysis was performed to evaluate clinical utility. Subgroup analyses were conducted based on lesion location (peripheral zone vs. transition zone). Multivariable logistic regression analysis identified independent predictors of PCa and csPCa. Results: The senior radiologist demonstrated the highest diagnostic performance, with AUC values of 0.847 for PCa and 0.859 for csPCa. The attending physician achieved perfect sensitivity but had the lowest specificity and PPV. The resident physician had comparable sensitivity but lower specificity and PPV, resulting in the lowest AUC values. Both LLMs exhibited high sensitivity but extremely low specificity, leading to lower PPV than human readers. DeepSeek outperformed ChatGPT-4.1 in AUC but still fell short of the senior radiologist's performance. In region-specific analyses, the senior radiologist significantly outperformed LLMs in the transition zone, while LLMs showed high sensitivity but low specificity in the peripheral zone. At the participant level, raising the threshold to PI-RADS &gt;= 4 substantially improved specificity for all readers. Decision curve analysis confirmed the superior clinical utility of the PI-RADS &gt;= 4 threshold, with the senior radiologist's ratings achieving the highest net benefit. Multivariable logistic regression analysis identified PSA density as the strongest independent predictor for both PCa (OR = 109.49, 95% CI: 14.89-1000.00, P &lt; 0.001) and csPCa (OR = 152.16, 95% CI: 21.06-1000.00, P &lt; 0.001). Among all PI-RADS ratings, only the senior radiologist's scores retained independent predictive value for both PCa (OR = 17.94, P &lt; 0.001) and csPCa (OR = 22.69, P = 0.001). Conclusion: While LLMs demonstrated high sensitivity in detecting PCa and csPCa, they had significant limitations in specificity and PPV, particularly in the transition and peripheral zones. The optimal utilization strategy involves deploying LLMs as adjuncts for indeterminate cases or when using higher diagnostic thresholds (PI-RADS &gt;= 4).Experienced radiologists achieved better diagnostic performance, highlighting the need for cautious clinical application of LLMs. Future research should focus on optimizing LLMs to improve specificity and reliability, and combining them with human radiologists' expertise to enhance diagnostic accuracy and efficiency.</t>
  </si>
  <si>
    <t>Zhang, Siying; Wu, Zhenping; Guo, Mingyang; Liu, Chang; Cui, Mingyong; Yang, Shaojun; Chen, Feng</t>
  </si>
  <si>
    <t>Chen, F (corresponding author), Zhejiang Univ, Sch Med, Affiliated Hosp 1, Dept Radiol, Hangzhou 310006, Zhejiang, Peoples R China.</t>
  </si>
  <si>
    <t>chenfenghz@zju.edu.cn</t>
  </si>
  <si>
    <t>and urologists who contributed to the PI-RADS scoring and ultrasound-guided prostate biopsies.</t>
  </si>
  <si>
    <t>[Zhang, Siying; Guo, Mingyang; Liu, Chang; Chen, Feng] Zhejiang Univ, Sch Med, Affiliated Hosp 1, Dept Radiol, Hangzhou 310006, Zhejiang, Peoples R China; [Wu, Zhenping] Zhejiang Univ, Affiliated Hosp 1, Dept Intens Care Unit, Sch Med, Hangzhou 310006, Zhejiang, Peoples R China; [Cui, Mingyong] Zhejiang Univ, Affiliated Hosp 1, Sch Med, Dept Ultrasound, Hangzhou 310006, Zhejiang, Peoples R China</t>
  </si>
  <si>
    <t>Zhejiang University; Zhejiang University; Zhejiang University</t>
  </si>
  <si>
    <t>Limitations of Large Language Models in Assisting PI-RADS Scoring on Prostate Biparametric MRI Text Reports</t>
  </si>
  <si>
    <t>ACADEMIC RADIOLOGY</t>
  </si>
  <si>
    <t>Prostate cancer; PI-RADS; Large Language Models; Biparametric MRI; Diagnostic performance</t>
  </si>
  <si>
    <t>1076-6332</t>
  </si>
  <si>
    <t>1878-4046</t>
  </si>
  <si>
    <t>ACAD RADIOL</t>
  </si>
  <si>
    <t>Acad. Radiol.</t>
  </si>
  <si>
    <t>1565</t>
  </si>
  <si>
    <t>1576</t>
  </si>
  <si>
    <t>10.1016/j.acra.2025.12.020</t>
  </si>
  <si>
    <t>http://dx.doi.org/10.1016/j.acra.2025.12.020</t>
  </si>
  <si>
    <t>GU8WL</t>
  </si>
  <si>
    <t>41521112</t>
  </si>
  <si>
    <t>WOS:001745611900001</t>
  </si>
  <si>
    <t>Shirk, MU; Dang, C; Cho, J; Chen, HL; Hofstetter, L; Bijur, J; Lucas, C; James, A; Guzman, RT; Hiller, A; Alter, N; Stone, A; Powell, M; Pontell, ME</t>
  </si>
  <si>
    <t>Background Hypernasality, a hallmark of velopharyngeal insufficiency (VPI), is a speech disorder with significant psychosocial and functional implications. Conventional diagnostic methods rely heavily on specialized expertise and equipment, posing challenges in resource-limited settings. This study explores the application of OpenAI's Whisper model for automated hypernasality detection, offering a scalable and efficient alternative to traditional approaches.Methods The Whisper model was adapted for binary classification by replacing its sequence-to-sequence decoder with a custom classification head. A dataset of 184 audio recordings, including 96 hypernasal (cases) and 88 non-hypernasal samples (controls), was used for training and evaluation. The Whisper model's performance was compared to traditional machine learning approaches, including support vector machines (SVM) and random forest (RF) classifiers.Results The Whisper-based model effectively detected hypernasality in speech, achieving a test accuracy of 97% and an F1-score of 0.97. It significantly outperformed SVM and RF classifiers, which achieved accuracies of 88.1% and 85.7%, respectively. Whisper demonstrated robust performance across diverse recording conditions and required minimal training data, showcasing its scalability and efficiency for hypernasality detection.Conclusion This study demonstrates the effectiveness of the Whisper-based model for hypernasality detection. By providing a reliable pretest probability, the Whisper model can serve as a triaging mechanism to prioritize patients for further evaluation, reducing diagnostic delays and optimizing resource allocation.</t>
  </si>
  <si>
    <t>Shirk, Myranda Uselton; Dang, Catherine; Cho, Jaewoo; Chen, Hanlin; Hofstetter, Lily; Bijur, Jack; Lucas, Claiborne; James, Andrew; Guzman, Ricardo-Torres; Hiller, Andrea; Alter, Noah; Stone, Amy; Powell, Maria; Pontell, Matthew E.</t>
  </si>
  <si>
    <t>Pontell, ME (corresponding author), Vanderbilt Univ, Med Ctr, Dept Plast Surg, Nashville, TN 37232 USA.; Pontell, ME (corresponding author), Monroe Carell Jr Childrens Hosp, Div Pediat Plast Surg, Nashville, TN 37232 USA.</t>
  </si>
  <si>
    <t>matthew.e.pontell@VUMC.org</t>
  </si>
  <si>
    <t>The author(s) declare that no financial support was received for the research and/or publication of this article.</t>
  </si>
  <si>
    <t>[Shirk, Myranda Uselton; Dang, Catherine; Cho, Jaewoo; Chen, Hanlin; Hofstetter, Lily; Bijur, Jack] Vanderbilt Univ, Data Sci Inst, Nashville, TN USA; [Lucas, Claiborne] Prisma Hlth Greenville, Dept Gen Surg, Greenville, SC USA; [James, Andrew; Guzman, Ricardo-Torres; Hiller, Andrea; Alter, Noah; Pontell, Matthew E.] Vanderbilt Univ, Med Ctr, Dept Plast Surg, Nashville, TN 37232 USA; [Stone, Amy; Powell, Maria] Vanderbilt Univ, Med Ctr, Dept Otolaryngol, Nashville, TN USA; [Pontell, Matthew E.] Monroe Carell Jr Childrens Hosp, Div Pediat Plast Surg, Nashville, TN 37232 USA</t>
  </si>
  <si>
    <t>Vanderbilt University; Vanderbilt University; Vanderbilt University</t>
  </si>
  <si>
    <t>Leveraging large language models for automated detection of velopharyngeal dysfunction in patients with cleft palate</t>
  </si>
  <si>
    <t>velopharyngeal dysfunction (VPD); hypernasality detection; artificial intelligence (AI); cleft palate; machine learning (ML); speech diagnostics</t>
  </si>
  <si>
    <t>QUALITY-OF-LIFE; HEALTH-CARE; INSUFFICIENCY; ASSOCIATION; GENETICS; CHILDREN</t>
  </si>
  <si>
    <t>Powell, Maria/MBH-1265-2025</t>
  </si>
  <si>
    <t>Stone, Amy/0000-0002-9029-5687; Powell, Maria/0000-0002-6643-8991; Chen, Hanlin/0009-0008-1714-2677</t>
  </si>
  <si>
    <t>MAR 28 2025</t>
  </si>
  <si>
    <t>1552746</t>
  </si>
  <si>
    <t>10.3389/fdgth.2025.1552746</t>
  </si>
  <si>
    <t>http://dx.doi.org/10.3389/fdgth.2025.1552746</t>
  </si>
  <si>
    <t>1EW2H</t>
  </si>
  <si>
    <t>40225126</t>
  </si>
  <si>
    <t>WOS:001463366000001</t>
  </si>
  <si>
    <t>Yang, XW; Xiao, Y; Liu, D; Zhang, Y; Deng, HY; Huang, J; Shi, HY; Liu, D; Liang, ML; Jin, X; Sun, YP; Yao, J; Zhou, XJ; Guo, WK; He, Y; Tang, WJ; Xu, C</t>
  </si>
  <si>
    <t>BackgroundLarge language models (LLMs) are increasingly utilized in healthcare settings. Postoperative pathology reports, which are essential for diagnosing and determining treatment strategies for surgical patients, frequently include complex data that can be challenging for patients to comprehend. This complexity can adversely affect the quality of communication between doctors and patients about their diagnosis and treatment options, potentially impacting patient outcomes such as understanding of their condition, treatment adherence, and overall satisfaction. Materials and methodsThis study analyzed text pathology reports from four hospitals between October and December 2023, focusing on malignant tumors. Using GPT-4, we developed templates for interpretive pathology reports (IPRs) to simplify medical terminology for non-professionals. We randomly selected 70 reports to generate these templates and evaluated the remaining 628 reports for consistency and readability. Patient understanding was measured using a custom-designed pathology report understanding level assessment scale, scored by volunteers with no medical background. The study also recorded doctor-patient communication time and patient comprehension levels before and after using IPRs. ResultsAmong 698 pathology reports analyzed, the interpretation through LLMs significantly improved readability and patient understanding. The average communication time between doctors and patients decreased by over 70%, from 35 to 10 min (P &lt; 0.001), with the use of IPRs. The study also found that patients scored higher on understanding levels when provided with AI-generated reports, from 5.23 points to 7.98 points (P &lt; 0.001), with the use of IPRs. indicating an effective translation of complex medical information. Consistency between original pathology reports (OPRs) and IPRs was also evaluated, with results showing high levels of consistency across all assessed dimensions, achieving an average score of 4.95 out of 5. ConclusionThis research demonstrates the efficacy of LLMs like GPT-4 in enhancing doctor-patient communication by translating pathology reports into more accessible language. While this study did not directly measure patient outcomes or satisfaction, it provides evidence that improved understanding and reduced communication time may positively influence patient engagement. These findings highlight the potential of AI to bridge gaps between medical professionals and the public in healthcare environments.</t>
  </si>
  <si>
    <t>Yang, Xiongwen; Xiao, Yi; Liu, Di; Zhang, Yun; Deng, Huiyin; Huang, Jian; Shi, Huiyou; Liu, Dan; Liang, Maoli; Jin, Xing; Sun, Yongpan; Yao, Jing; Zhou, Xiaojiang; Guo, Wankai; He, Yang; Tang, Weijuan; Xu, Chuan</t>
  </si>
  <si>
    <t>Xu, C (corresponding author), Guizhou Prov Peoples Hosp, Dept Thorac Surg, 83 Zhongshan East Rd, Guiyang 550000, Guizhou, Peoples R China.; Xu, C (corresponding author), Guizhou Prov Peoples Hosp, NHC Key Lab Pulm Immunol Dis, Guiyang 550000, Guizhou, Peoples R China.</t>
  </si>
  <si>
    <t>xuchuan89757@163.com</t>
  </si>
  <si>
    <t>Talent Fund of Guizhou Provincial People's Hospital; Talent Fund of Guizhou Provincial People's Hospital</t>
  </si>
  <si>
    <t>Supported by Talent Fund of Guizhou Provincial People's Hospital.</t>
  </si>
  <si>
    <t>[Yang, Xiongwen; Liu, Di; Jin, Xing; Sun, Yongpan; Yao, Jing; Zhou, Xiaojiang; Guo, Wankai; He, Yang; Tang, Weijuan; Xu, Chuan] Guizhou Prov Peoples Hosp, Dept Thorac Surg, 83 Zhongshan East Rd, Guiyang 550000, Guizhou, Peoples R China; [Yang, Xiongwen; Liu, Di; Liang, Maoli; Jin, Xing; Sun, Yongpan; Yao, Jing; Zhou, Xiaojiang; Guo, Wankai; He, Yang; Tang, Weijuan; Xu, Chuan] Guizhou Prov Peoples Hosp, NHC Key Lab Pulm Immunol Dis, Guiyang 550000, Guizhou, Peoples R China; [Xiao, Yi] Sun Yat Sen Univ, Affiliated Hosp 3, Dept Cardiothorac Surg, Guangzhou, Guangdong, Peoples R China; [Zhang, Yun] Guizhou Prov Peoples Hosp, Dept Pathol, Guiyang, Guizhou, Peoples R China; [Deng, Huiyin] Cent South Univ, Xiangya Hosp 3, Dept Anesthesiol, Changsha, Hunan, Peoples R China; [Huang, Jian] Jiangxi Canc Hosp, Dept Thorac Surg, Nanchang, Jiangxi, Peoples R China; [Shi, Huiyou] Guizhou Prov Peoples Hosp, Dept Radiol, Guiyang, Guizhou, Peoples R China; [Liu, Dan] Guizhou Prov Peoples Hosp, Dept Med Records &amp; Stat, Guiyang, Guizhou, Peoples R China; [Liang, Maoli] Guizhou Prov Peoples Hosp, Dept Resp Med, Guiyang, Guizhou, Peoples R China</t>
  </si>
  <si>
    <t>Sun Yat Sen University; Central South University</t>
  </si>
  <si>
    <t>Enhancing doctor-patient communication using large language models for pathology report interpretation</t>
  </si>
  <si>
    <t>Large language models; Doctor-patient communication; Surgical oncology scene; Postoperative pathology reports</t>
  </si>
  <si>
    <t>HEALTH OUTCOMES; PHYSICIAN COMMUNICATION; ADHERENCE; LITERACY; CARE</t>
  </si>
  <si>
    <t>JAN 23 2025</t>
  </si>
  <si>
    <t>10.1186/s12911-024-02838-z</t>
  </si>
  <si>
    <t>http://dx.doi.org/10.1186/s12911-024-02838-z</t>
  </si>
  <si>
    <t>T4Y9D</t>
  </si>
  <si>
    <t>39849504</t>
  </si>
  <si>
    <t>WOS:001405089400003</t>
  </si>
  <si>
    <t>Hassanein, FEA; Saad, SM; Hussein, RR; Abou-Bakr, A</t>
  </si>
  <si>
    <t>To evaluate the performance of a multimodal large language model (LLM) for longitudinal trajectory classification and risk stratification of oral lichen planus (OLP), compared with expert panel consensus. This retrospective diagnostic accuracy study included 300 patients with histopathologically confirmed OLP and at least 24 months of follow-up. Multimodal longitudinal case profiles (serial clinical records, intraoral photographs, and histopathology reports) were independently assessed by (ChatGPT, OpenAI) and an expert panel (the reference standard), both blinded to the results. The primary outcome was sensitivity for the detecting expert-defined high-risk cases (one-versus-rest). Secondary outcomes included overall trajectory classification and three-level risk stratification. Expert consensus classified 156 cases (52.0%) as stable benign, 92 (30.7%) as inflammatory progression, and 52 (17.3%) as suspicious malignant evolution. Risk stratification was 73 low (24.3%), 161 moderate (53.7%), and 66 high (22.0%). For high-risk detection, sensitivity was 78.8% (95% CI 67.2-87.5), and specificity was 99.6% (95% CI 97.6-100.0). Overall trajectory classification accuracy was 94.7%. Three-level risk stratification accuracy was 76.3%, with most errors representing downward shifts (98.6%). The multimodal LLM showed high concordance with expert consensus for longitudinal OLP surveillance, with high accuracy of trajectory classification and high specificity for high-risk identification. These findings suggest that multimodal LLMs may support trajectory-based assessment through integration of longitudinal clinical information, although prospective external validation remains necessary.</t>
  </si>
  <si>
    <t>Hassanein, Fatma E. A.; Saad, Salma M.; Hussein, Radwa R.; Abou-Bakr, Asmaa</t>
  </si>
  <si>
    <t>Abou-Bakr, A (corresponding author), Galala Univ, Fac Dent, Oral Med &amp; Periodontol, Suez, Egypt.</t>
  </si>
  <si>
    <t>asmaa.abdalraouf@gu.edu.eg</t>
  </si>
  <si>
    <t>Galala University</t>
  </si>
  <si>
    <t>Open access funding provided by The Science, Technology &amp; Innovation Funding Authority (STDF) in cooperation with The Egyptian Knowledge Bank (EKB).</t>
  </si>
  <si>
    <t>[Hassanein, Fatma E. A.] King Salman Int Univ, Fac Dent, Oral Med Periodontol &amp; Oral Diag, El Tor, Egypt; [Saad, Salma M.] Cairo Univ, Fac Dent, Oral Med &amp; Periodontol Dept, Giza, Egypt; [Hussein, Radwa R.] Ain Shams Univ, Oral Med &amp; Periodontol, Cairo, Egypt; [Abou-Bakr, Asmaa] Galala Univ, Fac Dent, Oral Med &amp; Periodontol, Suez, Egypt</t>
  </si>
  <si>
    <t>Trajectory-aware risk stratification of oral lichen planus using a multimodal large language model: a longitudinal diagnostic accuracy study</t>
  </si>
  <si>
    <t>Oral lichen planus; Artificial intelligence; Large language model; Risk stratification; Longitudinal monitoring</t>
  </si>
  <si>
    <t>25294</t>
  </si>
  <si>
    <t>10.1038/s41598-026-65667-2</t>
  </si>
  <si>
    <t>http://dx.doi.org/10.1038/s41598-026-65667-2</t>
  </si>
  <si>
    <t>MS7SO</t>
  </si>
  <si>
    <t>42595833</t>
  </si>
  <si>
    <t>WOS:001850002300009</t>
  </si>
  <si>
    <t>Gürses, ÖA; Özüdogru, A; Tuncay, F; Kararti, C</t>
  </si>
  <si>
    <t>BackgroundLarge language models (LLMs) can contribute to treatment options and outcomes by assisting physiotherapists for conditions like osteoarthritis.AimsThe objective of this early-stage cross-sectional study is to assess the alignment of large language models with physiotherapists in designing physiotherapy and rehabilitation programs for knee osteoarthritis.MethodsForty patients diagnosed with knee osteoarthritis were assessed using standardized clinical criteria. For each patient, individualized rehabilitation programs were created by three physiotherapists and by ChatGPT-4o and Gemini Advanced using structured prompts. The presence or absence of 50 clinically relevant rehabilitation parameters was recorded for each program. Chi-square tests were used to evaluate agreement rates between the LLMs and the physiotherapist-generated Consensus programs.ResultsChatGPT-4o achieved a 74% agreement rate with the physiotherapists' Consensus programs, while Gemini Advanced achieved 70%. Although both models showed high compatibility with general rehabilitation components, they demonstrated notable limitations in exercise specificity, including frequency, sets, and progression criteria. ChatGPT-4o performed as well as or better than Gemini in most phases, particularly in Phase 3, while Gemini showed lower consistency in balance and stabilization parameters.ConclusionsChatGPT-4o and Gemini Advanced demonstrate promising potential in generating personalized rehabilitation programs for knee osteoarthritis. While their outputs generally align with expert recommendations, notable gaps remain in clinical reasoning and the provision of detailed exercise parameters. These findings underscore the importance of ongoing model refinement and the necessity of expert supervision for safe and effective clinical integration.</t>
  </si>
  <si>
    <t>Gurses, Omer Alperen; Ozudogru, Anil; Tuncay, Figen; Kararti, Caner</t>
  </si>
  <si>
    <t>Gürses, ÖA (corresponding author), Kirsehir Ahi Evran Univ, Sch Phys Therapy &amp; Rehabil, Dept Physiotherapy &amp; Rehabil, TR-40100 Kirsehir, Turkiye.</t>
  </si>
  <si>
    <t>aozudogru@hotmail.com; omeralperengurses@gmail.com; figentuncay3206@hotmail.com; fzt.caner.92@gmail.com</t>
  </si>
  <si>
    <t>Kirsehir Ahi Evran University</t>
  </si>
  <si>
    <t>Kirsehir Ahi Evran University (Kirsehir Ahi Evran University)</t>
  </si>
  <si>
    <t>We would like to thank all participants for their volunteered participation.</t>
  </si>
  <si>
    <t>[Gurses, Omer Alperen; Ozudogru, Anil; Kararti, Caner] Kirsehir Ahi Evran Univ, Sch Phys Therapy &amp; Rehabil, Dept Physiotherapy &amp; Rehabil, TR-40100 Kirsehir, Turkiye; [Tuncay, Figen] Kirsehir Ahi Evran Univ, Fac Med, Dept Phys Med &amp; Rehabil, TR-40100 Kirsehir, Turkiye</t>
  </si>
  <si>
    <t>Kirsehir Ahi Evran University; Kirsehir Ahi Evran University</t>
  </si>
  <si>
    <t>The Role of Artificial Intelligence Large Language Models in Personalized Rehabilitation Programs for Knee Osteoarthritis: An Observational Study</t>
  </si>
  <si>
    <t>JOURNAL OF MEDICAL SYSTEMS</t>
  </si>
  <si>
    <t>Artificial intelligence; Large language models; Physiotherapy; Rehabilitation program; Knee osteoarthritis</t>
  </si>
  <si>
    <t>PHYSICAL FUNCTION; GUIDELINES; MANAGEMENT</t>
  </si>
  <si>
    <t>KARARTI, CANER/AAH-4943-2019; GÜRSES, Ömer/HZL-8533-2023; Özüdoğru, Anıl/JWA-0256-2024; TUNCAY, FİGEN/N-1839-2017</t>
  </si>
  <si>
    <t>KARARTI, CANER/0000-0002-4655-0986; GÜRSES, ÖMER ALPEREN/0000-0001-6564-7428</t>
  </si>
  <si>
    <t>0148-5598</t>
  </si>
  <si>
    <t>1573-689X</t>
  </si>
  <si>
    <t>J MED SYST</t>
  </si>
  <si>
    <t>J. Med. Syst.</t>
  </si>
  <si>
    <t>JUN 3 2025</t>
  </si>
  <si>
    <t>73</t>
  </si>
  <si>
    <t>10.1007/s10916-025-02207-x</t>
  </si>
  <si>
    <t>http://dx.doi.org/10.1007/s10916-025-02207-x</t>
  </si>
  <si>
    <t>3JH7D</t>
  </si>
  <si>
    <t>40459660</t>
  </si>
  <si>
    <t>WOS:001501706500001</t>
  </si>
  <si>
    <t>Bessa, RF; de Oliveira, AC; Bessa, RF; Sousa, DL; Alves, R; Barbosa, A; Carneiro, A; Soares, C; Teles, AS</t>
  </si>
  <si>
    <t>Featured Application A potential application of this work is the use of generative LLMs to support medical education by providing automated explanations and practice materials in Brazilian Portuguese. The models could also assist in the development of decision support tools that offer preliminary guidance on diagnoses and treatments.Abstract This study aimed to compare the performance of various Large Language Models (LLMs) in answering multiple-choice questions from the last six editions (2017 to 2024) of Revalida exam. The evaluation focused on models capable of processing content in Brazilian Portuguese (PT-BR), including open-source models, namely LLaMA 3.1 (8B parameters), Qwen 2.5 (7B parameters), and their reasoning-oriented distilled variants based on the DeepSeek-R1 architecture, as well as open-access commercial models such as GPT-3.5, GPT-4o, and Gemini. After evaluating the models' accuracy against the official answer keys, GPT-4o emerged as the top-performing model, achieving an average accuracy of 63.85%. Next, GPT-4o was prompted to justify its answers to the 2024 exam, and its explanations were independently reviewed by three licensed physicians. The evaluators reported full agreement with the clinical reasoning presented, indicating the model's ability to produce coherent and medically relevant justifications. Lastly, justifications generated by GPT-4o for correctly answered questions from previous exams (2017-2023) were compiled into a knowledge base, which was then used to enhance GPT-4o through retrieval-augmented generation and to fine-tune LLaMA 3.1, leading to measurable performance improvements on the 2024 exam. Despite promising performance, these models still demonstrate variability in responses, hallucinations, and limited reliability in high-stakes contexts. As such, their outputs should always be reviewed by qualified professionals, and human expertise remains essential in clinical decision-making and medical education scenarios, considering the PT-BR language. However, the observed gains from integrating prior exam content indicate that domain-specific adaptation strategies may help mitigate some of these limitations and enhance model alignment.</t>
  </si>
  <si>
    <t>Bessa, Renato Freitas; de Oliveira, Adonias Caetano; Bessa, Rafael Freitas; Sousa, Daniel Lima; Alves, Rafaela; Barbosa, Amanda; Carneiro, Alinne; Soares, Carla; Teles, Ariel Soares</t>
  </si>
  <si>
    <t>Teles, AS (corresponding author), Parnaiba Delta Fed Univ, Postgrad Program Biotechnol, BR-64202020 Parnaiba, Brazil.; Teles, AS (corresponding author), Fed Inst Maranhao, Fac Elect Engn, Campus Araioses, BR-65030005 Araioses, Brazil.</t>
  </si>
  <si>
    <t>ariel.teles@ifma.edu.br; adonias.oliveira@ifce.edu.br; danielsousa@ufdpar.edu.br; renatobessaiq@gmail.com</t>
  </si>
  <si>
    <t>Coordination for the Improvement of Higher Education Personnel-CAPES; National Council for Scientific and Technological Development-CNPq [308059/2022-0, 441817/2023-8]</t>
  </si>
  <si>
    <t>Coordination for the Improvement of Higher Education Personnel-CAPES (Coordenacao de Aperfeicoamento de Pessoal de Nivel Superior (CAPES)); National Council for Scientific and Technological Development-CNPq (Conselho Nacional de Desenvolvimento Cientifico e Tecnologico (CNPQ))</t>
  </si>
  <si>
    <t>This work was supported by the Coordination for the Improvement of Higher Education Personnel-CAPES [Finance Code 001]; and National Council for Scientific and Technological Development-CNPq [grants 308059/2022-0 and 441817/2023-8].</t>
  </si>
  <si>
    <t>[Bessa, Renato Freitas; de Oliveira, Adonias Caetano; Bessa, Rafael Freitas; Sousa, Daniel Lima; Teles, Ariel Soares] Parnaiba Delta Fed Univ, Postgrad Program Biotechnol, BR-64202020 Parnaiba, Brazil; [Bessa, Renato Freitas; Barbosa, Amanda] Univ Paulista UNIP, Parnaiba Unit, BR-01311000 Parnaiba, Brazil; [de Oliveira, Adonias Caetano] Fed Inst Ceara, Fac Comp Engn, Campus Tiangua, BR-62930000 Tiangua, Brazil; [Alves, Rafaela; Carneiro, Alinne; Soares, Carla] Parnaiba Valley Higher Educ Inst IESVAP AFYA, Fac Human Exact &amp; Hlth Sci, BR-64212790 Parnaiba, Brazil; [Teles, Ariel Soares] Fed Inst Maranhao, Fac Elect Engn, Campus Araioses, BR-65030005 Araioses, Brazil</t>
  </si>
  <si>
    <t>Universidade Paulista; Instituto Federal do Ceara (IFCE); Instituto Federal do Maranhao</t>
  </si>
  <si>
    <t>Performance Comparison of Large Language Models on Brazil's Medical Revalidation Exam for Foreign-Trained Graduates</t>
  </si>
  <si>
    <t>health informatics; artificial intelligence; large language model, LLMs; performance analysis; medical licensing; medical education; natural language processing, NLP</t>
  </si>
  <si>
    <t>Soares Teles, Ariel/AAA-7305-2022; de Oliveira, Adonias Caetano/HSG-3802-2023; Vieira Soares, Carla/GPS-9132-2022</t>
  </si>
  <si>
    <t>Soares Teles, Ariel/0000-0002-0840-3870; Barbosa Miranda, Amanda/0009-0002-4608-0731; de Oliveira, Adonias Caetano/0000-0002-5643-2916; , Renato Freitas Bessa/0009-0005-8989-768X; Lima Sousa, Daniel/0000-0001-5031-1147; de Brito Alves, Rafaela/0000-0002-5416-1163</t>
  </si>
  <si>
    <t>JUN 25 2025</t>
  </si>
  <si>
    <t>7134</t>
  </si>
  <si>
    <t>10.3390/app15137134</t>
  </si>
  <si>
    <t>http://dx.doi.org/10.3390/app15137134</t>
  </si>
  <si>
    <t>4TJ1Q</t>
  </si>
  <si>
    <t>WOS:001526204800001</t>
  </si>
  <si>
    <t>Englhardt, Z; Ma, CQ; Morris, ME; Chang, CC; Xu, X; Qin, LH; McDduff, D; Liu, X; Patel, S; Iyer, V</t>
  </si>
  <si>
    <t>Passively collected behavioral health data from ubiquitous sensors could provide mental health professionals valuable insights into patient's daily lives, but such efforts are impeded by disparate metrics, lack of interoperability, and unclear correlations between the measured signals and an individual's mental health. To address these challenges, we pioneer the exploration of large language models (LLMs) to synthesize clinically relevant insights from multi-sensor data. We develop chain-of-thought prompting methods to generate LLM reasoning on how data pertaining to activity, sleep and social interaction relate to conditions such as depression and anxiety. We then prompt the LLM to perform binary classification, achieving accuracies of 61.1%, exceeding the state of the art. We find models like GPT-4 correctly reference numerical data 75% of the time.While we began our investigation by developing methods to use LLMs to output binary classifications for conditions like depression, we find instead that their greatest potential value to clinicians lies not in diagnostic classification, but rather in rigorous analysis of diverse self-tracking data to generate natural language summaries that synthesize multiple data streams and identify potential concerns. Clinicians envisioned using these insights in a variety of ways, principally for fostering collaborative investigation with patients to strengthen the therapeutic alliance and guide treatment. We describe this collaborative engagement, additional envisioned uses, and associated concerns that must be addressed before adoption in real-world contexts.</t>
  </si>
  <si>
    <t>Englhardt, Zachary; Ma, Chengqian; Morris, Margaret E.; Chang, Chun-Cheng; Xu, Xuhai Orson; Qin, Lianhui; McDduff, Daniel; Liu, Xin; Patel, Shwetak; Iyer, Vikram</t>
  </si>
  <si>
    <t>Englhardt, Z (corresponding author), Univ Washington, Seattle, WA 98195 USA.</t>
  </si>
  <si>
    <t>vsiyer@uw.edu; zacharye@cs.washington.edu</t>
  </si>
  <si>
    <t>Amazon Research Award; Google Research Scholar Award; Washington Research Foundation; Pastry-Powered T(o)uring Machine Endowed Fellowship</t>
  </si>
  <si>
    <t>This research was partially supported by an Amazon Research Award, a Google Research Scholar Award, The Washington Research Foundation, and the Pastry-Powered T(o)uring Machine Endowed Fellowship.</t>
  </si>
  <si>
    <t>[Englhardt, Zachary; Ma, Chengqian; Morris, Margaret E.; Chang, Chun-Cheng; McDduff, Daniel; Liu, Xin; Patel, Shwetak; Iyer, Vikram] Univ Washington, Seattle, WA 98195 USA; [Xu, Xuhai Orson] MIT, 77 Massachusetts Ave, Cambridge, MA 02139 USA; [Qin, Lianhui] Univ Calif San Diego, La Jolla, CA 92093 USA</t>
  </si>
  <si>
    <t>University of Washington; University of Washington Seattle; Massachusetts Institute of Technology (MIT); University of California System; University of California San Diego</t>
  </si>
  <si>
    <t>From Classification to Clinical Insights: Towards Analyzing and Reasoning About Mobile and Behavioral Health Data With Large Language Models</t>
  </si>
  <si>
    <t>PROCEEDINGS OF THE ACM ON INTERACTIVE MOBILE WEARABLE AND UBIQUITOUS TECHNOLOGIES-IMWUT</t>
  </si>
  <si>
    <t>Passive sensing; large-language-models; clinical insights; mental health</t>
  </si>
  <si>
    <t>DEPRESSION</t>
  </si>
  <si>
    <t>Englhardt, Zachary/0000-0002-6646-6466; , Chun-Cheng Chang/0009-0000-5472-4897; Liu, Xin/0000-0002-9279-5386; Morris, Margaret/0000-0002-8925-9718; Iyer, Vikram/0000-0002-3025-7953</t>
  </si>
  <si>
    <t>ASSOC COMPUTING MACHINERY</t>
  </si>
  <si>
    <t>1601 Broadway, 10th Floor, NEW YORK, NY USA</t>
  </si>
  <si>
    <t>2474-9567</t>
  </si>
  <si>
    <t>PROC ACM INTERACT MO</t>
  </si>
  <si>
    <t>Proc. ACM Interact. Mob. Wearable Ubiquitous Technol.</t>
  </si>
  <si>
    <t>10.1145/3659604</t>
  </si>
  <si>
    <t>http://dx.doi.org/10.1145/3659604</t>
  </si>
  <si>
    <t>Computer Science, Information Systems; Engineering, Electrical &amp; Electronic; Telecommunications</t>
  </si>
  <si>
    <t>Computer Science; Engineering; Telecommunications</t>
  </si>
  <si>
    <t>RR2F4</t>
  </si>
  <si>
    <t>WOS:001229316000015</t>
  </si>
  <si>
    <t>Yemeshev, Y; Nurmashev, B; Mukhamediyarov, M</t>
  </si>
  <si>
    <t>Rheumatoid arthritis (RA) is a chronic autoimmune disease characterized by progressive joint damage. Early diagnosis of this disease is crucial to prevent disability. The traditional interpretation of X-ray images in RA still depends heavily on radiologists, whose availability is limited in many regions across the world. Modern advances in large language models (LLMs) offer potential support for radiological assessments. The aim of this study is to compare the diagnostic capabilities of artificial intelligence (AI) platforms - GPT-5 Thinking, Gemini, and DeepSeek - in identifying radiological signs characteristic of RA on hand X-rays, using the consensus of radiological experts as the reference standard. A comparative diagnostic study was conducted using 20 anonymized radiographs of both hands of patients with clinical signs of RA. Eight specific radiological signs were evaluated: articular space narrowing, deformity, central erosions, marginal erosions, osteopenia, osteophytes, subluxations, and ankylosis. Six certified radiologists independently evaluated the images, and a reference standard was developed. The results of AI model diagnostics were compared with those of experts across 143 observations that could be evaluated. The diagnostic effectiveness was assessed using sensitivity, specificity, accuracy, and the Kappa coefficient of agreement. Gemini demonstrated 66% sensitivity, 63% specificity, and 65% accuracy (k = 0.292, p &lt; 0.001). GPT-5 Thinking was characterized by lower sensitivity (56%) and higher specificity (78%) and 66% accuracy (k = 0.350, p &lt; 0.001). DeepSeek showed balanced performance with sensitivity, specificity, and accuracy of 65% each (k = 0.295, p &lt; 0.001). All of the platforms demonstrated fair, statistically significant compliance with expert assessments. The examined LLMs demonstrate limited but statistically significant capabilities for detecting radiological signs of RA, with varying sensitivities and specificities. These models cannot replace expert radiological assessment, but they can serve as auxiliary tools for pre-screening and obtaining opinions for educational purposes, especially in conditions of limited access to specialist radiologists.</t>
  </si>
  <si>
    <t>Yemeshev, Yerlan; Nurmashev, Bekaidar; Mukhamediyarov, Maidan</t>
  </si>
  <si>
    <t>Mukhamediyarov, M (corresponding author), South Kazakhstan Med Acad, Dept Chem Disciplines Biol &amp; Biochem, Shymkent, Kazakhstan.</t>
  </si>
  <si>
    <t>yerlan.yemeshev@gmail.com; bekaidarnurmashev@gmail.com; maidankabdullin@gmail.com</t>
  </si>
  <si>
    <t>[Yemeshev, Yerlan] South Kazakhstan Med Acad, Radiol Dept, Shymkent, Kazakhstan; [Nurmashev, Bekaidar; Mukhamediyarov, Maidan] South Kazakhstan Med Acad, Dept Chem Disciplines Biol &amp; Biochem, Shymkent, Kazakhstan</t>
  </si>
  <si>
    <t>Comparative evaluation of large language model-based AI platforms for radiographic assessment in rheumatoid arthritis</t>
  </si>
  <si>
    <t>RHEUMATOLOGY INTERNATIONAL</t>
  </si>
  <si>
    <t>ChatGPT; Large language models; Artificial intelligence; Rheumatoid arthritis</t>
  </si>
  <si>
    <t>DISEASE</t>
  </si>
  <si>
    <t>Mukhamediyarov, Maidan/HPD-0946-2023</t>
  </si>
  <si>
    <t>0172-8172</t>
  </si>
  <si>
    <t>1437-160X</t>
  </si>
  <si>
    <t>RHEUMATOL INT</t>
  </si>
  <si>
    <t>Rheumatol. Int.</t>
  </si>
  <si>
    <t>APR 6 2026</t>
  </si>
  <si>
    <t>10.1007/s00296-026-06103-6</t>
  </si>
  <si>
    <t>http://dx.doi.org/10.1007/s00296-026-06103-6</t>
  </si>
  <si>
    <t>GC4MG</t>
  </si>
  <si>
    <t>41936721</t>
  </si>
  <si>
    <t>WOS:001733081600004</t>
  </si>
  <si>
    <t>Deng, Q; Chen, ZW; Liu, YF; Zhu, Z; Xu, JM; Jiang, ZH; Chua, KJ</t>
  </si>
  <si>
    <t>Heating, ventilation, and air-conditioning (HVAC) systems consume a large share of building energy and di rectly affect occupant comfort. Current energy-efficiency diagnostics depend mainly on expert-defined rule sets or large-scale data-driven models, which face limited scalability, heavy reliance on labeled data, and opaque decision-making. To this end, this paper proposes a novel graph-constrained association rule mining-based en ergy efficiency diagnosis method for HVAC systems with knowledge-enhanced large language model (LLM). First, an association graph encoding system topology, thermodynamic couplings, and control dependencies is con structed. It imposes neighborhood constraints in the association rule mining process, sharply reducing the search space and computational cost. Subsequently, through the retrieval-augmented generation mechanism, domain knowledge such as design parameters, domain expertise, and maintenance records is input into the LLM to auto matically evaluate the effectiveness of each candidate rule and classify them, providing interpretable diagnostics. The experimental verification of the HVAC system operation data of a large occupied office building shows that the proposed method reduces the number of candidate rules by more than 95.10 %, and the energy efficiency diagnosis accuracy reaches 89.08 %.</t>
  </si>
  <si>
    <t>Deng, Qiao; Chen, Zhiwen; Liu, Yufei; Zhu, Zheng; Xu, Jiamin; Jiang, Zhaohui; Chua, K. J.</t>
  </si>
  <si>
    <t>Chen, ZW (corresponding author), Cent South Univ, Sch Automat, Changsha 410083, Peoples R China.</t>
  </si>
  <si>
    <t>zhiwen.chen@csu.edu.cn</t>
  </si>
  <si>
    <t>National Natural Science Foundation of China [62173349]; Natural Science Foundation of Hunan Province [2025JJ10007]; Central South University Innovation-Driven Research Program [2023CXQD074]; Science and Technology Innovation Program of Hunan Province [2022RC1090]</t>
  </si>
  <si>
    <t>National Natural Science Foundation of China (National Natural Science Foundation of China (NSFC)); Natural Science Foundation of Hunan Province (Natural Science Foundation of Hunan Province); Central South University Innovation-Driven Research Program; Science and Technology Innovation Program of Hunan Province</t>
  </si>
  <si>
    <t>This work was supported in part by National Natural Science Foundation of China (62173349) , in part by the Natural Science Foundation of Hunan Province under (2025JJ10007) , in part by Central South University Innovation-Driven Research Program (2023CXQD074) , and in part by the Science and Technology Innovation Program of Hunan Province (2022RC1090) .</t>
  </si>
  <si>
    <t>[Deng, Qiao; Chen, Zhiwen; Liu, Yufei; Zhu, Zheng; Xu, Jiamin; Jiang, Zhaohui] Cent South Univ, Sch Automat, Changsha 410083, Peoples R China; [Deng, Qiao; Chua, K. J.] Natl Univ Singapore, Dept Mech Engn, 9 Engn Dr 1, Singapore 117575, Singapore</t>
  </si>
  <si>
    <t>Central South University; National University of Singapore</t>
  </si>
  <si>
    <t>Graph-constrained association rule mining-based energy efficiency diagnosis method for HVAC systems with knowledge-enhanced large language model</t>
  </si>
  <si>
    <t>BUILDING AND ENVIRONMENT</t>
  </si>
  <si>
    <t>HVAC systems; Energy efficiency diagnosis; Association rule mining; Knowledge-enhanced; Large language model</t>
  </si>
  <si>
    <t>FAULT-DETECTION; STRATEGY</t>
  </si>
  <si>
    <t>Jiang, Zhaohui/HSH-2224-2023; Chua, Kian/D-1502-2009</t>
  </si>
  <si>
    <t>0360-1323</t>
  </si>
  <si>
    <t>1873-684X</t>
  </si>
  <si>
    <t>BUILD ENVIRON</t>
  </si>
  <si>
    <t>Build. Environ.</t>
  </si>
  <si>
    <t>FEB 1 2026</t>
  </si>
  <si>
    <t>289</t>
  </si>
  <si>
    <t>114056</t>
  </si>
  <si>
    <t>10.1016/j.buildenv.2025.114056</t>
  </si>
  <si>
    <t>http://dx.doi.org/10.1016/j.buildenv.2025.114056</t>
  </si>
  <si>
    <t>Construction &amp; Building Technology; Engineering, Environmental; Engineering, Civil</t>
  </si>
  <si>
    <t>R0796</t>
  </si>
  <si>
    <t>WOS:001635231800001</t>
  </si>
  <si>
    <t>Li, YQ; Meng, CY; Peng, L; Zeng, Y; Li, X; Li, X; Zhou, T; Liu, ZY; Liang, R; Deng, QF</t>
  </si>
  <si>
    <t>Background:Benign prostatic hyperplasia (BPH) is a common condition among middle-aged and elderly men, often accompanied by lower urinary tract symptoms that significantly impact patients' quality of life. It has emerged as a major public health challenge worldwide. In recent years, artificial intelligence (AI), particularly large language models (LLMs), has shown great potential in supporting clinical decision-making. This study aimed to systematically evaluate the level of clinical knowledge mastery demonstrated by mainstream generative LLMs in the context of BPH and to further explore their decision-support capabilities in real-world clinical scenarios.Methods:We assessed the clinical knowledge and decision-making capabilities of ChatGPT o1 and DeepSeek R1 in the field of BPH. A set of 30 clinically relevant questions was developed and submitted to both AI models. For comparison, clinical physicians from Chinese medical institutions answered the same questions under closed-book conditions. Additionally, six real-world BPH cases were used to simulate clinical diagnostic and treatment scenarios to further evaluate the performance of the two AI models in clinical decision-making.Results:In the clinical knowledge assessment, both ChatGPT o1 and DeepSeek R1 outperformed the physician group, with no significant difference between the two models. Subgroup analyses revealed performance differences based on clinical knowledge categories and physician experience levels. DeepSeek R1 and ChatGPT o1 generally outperformed resident physicians and performed comparably to attending physicians. In terms of clinical decision support, DeepSeek R1 outperformed ChatGPT o1 in both accuracy of medical knowledge and logical coherence.Conclusion:Studies have shown that in the domain of clinical knowledge related to BPH, ChatGPT o1 and DeepSeek R1 perform at levels approaching those of attending physicians. Both models demonstrate substantial potential in supporting clinical decision-making, with DeepSeek R1 performing particularly well. Despite existing limitations, the application of AI in healthcare holds considerable promise and is highly anticipated.</t>
  </si>
  <si>
    <t>Li, Yuqi; Meng, Chunyang; Peng, Lei; Zeng, Yang; Li, Xu; Li, Xiong; Zhou, Tao; Liu, Zhiyu; Liang, Rui; Deng, Qingfu</t>
  </si>
  <si>
    <t>Deng, QF (corresponding author), Southwest Med Univ, Dept Urol, Affiliated Hosp, Luzhou 646000, Sichuan, Peoples R China.; Liang, R (corresponding author), Shenzhen Univ, South China Hosp, Med Sch, Dept Urol, Shenzhen 518116, Peoples R China.</t>
  </si>
  <si>
    <t>zengyang20030714@swmu.edu.cn; 20230299120421@stu.swmu.edu.cn; 18326900957@163.com; mengchunyang3@163.com; dengqingfu@swmu.edu.cn; penglei933@163.com; mnztdoc@163.com</t>
  </si>
  <si>
    <t>Luzhou Science and Technology Bureau [15197, 2024LZXNYDJ048]; Strategic Cooperation Program of Southwest Medical University [2024SNXNYD04]; Doctoral Research Initiation Fund of Affiliated Hospital of Southwest Medical University [19078, 16024]</t>
  </si>
  <si>
    <t>Luzhou Science and Technology Bureau; Strategic Cooperation Program of Southwest Medical University; Doctoral Research Initiation Fund of Affiliated Hospital of Southwest Medical University</t>
  </si>
  <si>
    <t>Our work was supported by grants from the Luzhou Science and Technology Bureau (No.15197 and NO.2024LZXNYDJ048), the Strategic Cooperation Program of Southwest Medical University (No. 2024SNXNYD04), and the Doctoral Research Initiation Fund of Affiliated Hospital of Southwest Medical University (No. 19078 and No. 16024).</t>
  </si>
  <si>
    <t>[Li, Yuqi; Meng, Chunyang; Zeng, Yang; Li, Xu; Li, Xiong; Liu, Zhiyu; Deng, Qingfu] Southwest Med Univ, Dept Urol, Affiliated Hosp, Luzhou 646000, Sichuan, Peoples R China; [Peng, Lei; Liang, Rui] Shenzhen Univ, South China Hosp, Med Sch, Dept Urol, Shenzhen 518116, Peoples R China; [Zhou, Tao] North Sichuan Med Coll, Santai Hosp, Dept Urol, Mianyang, Sichuan, Peoples R China</t>
  </si>
  <si>
    <t>Southwest Medical University; Shenzhen University; North Sichuan Medical University</t>
  </si>
  <si>
    <t>Real-world feasibility of generative large language models for clinical decision support in benign prostatic hyperplasia</t>
  </si>
  <si>
    <t>INTERNATIONAL JOURNAL OF SURGERY</t>
  </si>
  <si>
    <t>artificial intelligence; benign prostatic hyperplasia; clinical decision support; large language model</t>
  </si>
  <si>
    <t>Meng, Chunyang/PQA-6052-2026; Liu, Zhiyu/NVU-2421-2025; Li, yuqi/OXB-3153-2025</t>
  </si>
  <si>
    <t>Li, yuqi/0009-0000-5662-2640</t>
  </si>
  <si>
    <t>1743-9191</t>
  </si>
  <si>
    <t>1743-9159</t>
  </si>
  <si>
    <t>INT J SURG</t>
  </si>
  <si>
    <t>Int. J. Surg.</t>
  </si>
  <si>
    <t>112</t>
  </si>
  <si>
    <t>2546</t>
  </si>
  <si>
    <t>2553</t>
  </si>
  <si>
    <t>10.1097/JS9.0000000000004022</t>
  </si>
  <si>
    <t>http://dx.doi.org/10.1097/JS9.0000000000004022</t>
  </si>
  <si>
    <t>Surgery</t>
  </si>
  <si>
    <t>EW4OJ</t>
  </si>
  <si>
    <t>41231618</t>
  </si>
  <si>
    <t>WOS:001711369700014</t>
  </si>
  <si>
    <t>Gu, Y; Zhang, J; Du, YG</t>
  </si>
  <si>
    <t>Modern distributed computing systems face increasingly complex architectural evolution and potentially costly failures, calling for efficient and robust automated diagnosis to ensure the stability of large-scale data processing. Existing data-driven approaches are constrained by scarce labeled data and black-box behaviors, while expert-based knowledge-driven solutions suffer from high construction costs and insufficient coverage of dynamic scenarios, especially when domain expertise is limited. This work proposes a fault diagnosis framework that integrates a unified causal graph (UCG) with large language models (LLMs), leveraging a dual knowledge-driven and data-driven mechanism to construct causal graph representations and dynamically generate structured diagnostic reasoning chains-of-thought based on system state awareness. Here, "causal" is used in a restricted sense, combining knowledge-driven dependencies with data-driven statistical regularities. Experimental results indicate that, using GPT-4o as an example, this study achieves accurate fault identification across the eight evaluated fault scenarios within the controlled evaluation scope of this study. Labeled instances are partitioned using stratified sampling into 80% for training and 20% for held-out evaluation; the procedure is repeated five times with independent train-test partitions, and reported matching rates are averaged across these runs. Compared with baselines that rely solely on fault information or on symptom information, the fault matching rate improves by 41.4% and 33.5%, respectively. By tightly coupling structured causal logic with generative artificial intelligence, the approach significantly enhances the interpretability and reliability of the diagnostic process and provides high-value, expert-level support for intelligent operations and maintenance (O&amp;M) in distributed computing systems.</t>
  </si>
  <si>
    <t>Gu, Yu; Zhang, Jian; Du, Yugen</t>
  </si>
  <si>
    <t>Du, YG (corresponding author), East China Normal Univ, Sch Software Engn, Shanghai 200062, Peoples R China.</t>
  </si>
  <si>
    <t>71275902048@stu.ecnu.edu.cn; zj2001@zju.edu.cn; ygdu@sei.ecnu.edu.cn</t>
  </si>
  <si>
    <t>[Gu, Yu; Du, Yugen] East China Normal Univ, Sch Software Engn, Shanghai 200062, Peoples R China; [Zhang, Jian] Zhejiang Univ, Coll Energy Engn, Hangzhou 310058, Peoples R China</t>
  </si>
  <si>
    <t>East China Normal University; Zhejiang University</t>
  </si>
  <si>
    <t>Causal Graph-Enhanced Large Language Models for Automated Fault Diagnosis and Intelligent Operation and Maintenance in Distributed Computing Systems</t>
  </si>
  <si>
    <t>distributed computing systems; fault diagnosis; large language models; unified causal graph; intelligent operations and maintenance</t>
  </si>
  <si>
    <t>MAY 29 2026</t>
  </si>
  <si>
    <t>2359</t>
  </si>
  <si>
    <t>10.3390/electronics15112359</t>
  </si>
  <si>
    <t>http://dx.doi.org/10.3390/electronics15112359</t>
  </si>
  <si>
    <t>JI1RZ</t>
  </si>
  <si>
    <t>WOS:001789904500001</t>
  </si>
  <si>
    <t>Böke, A; Hacker, H; Chakraborty, M; Baumeister-Lingens, L; Vöckel, J; Koenig, J; Vogel, DHV; Lichtenstein, TK; Vogeley, K; Kambeitz-Ilankovic, L; Kambeitz, J</t>
  </si>
  <si>
    <t>Background: Mental disorders are frequently evaluated using questionnaires, which have been developed over the past decades for the assessment of different conditions. Despite the rigorous validation of these tools, high levels of content divergence have been reported for questionnaires measuring the same construct of psychopathology. Previous studies that examined the content overlap required manual symptom labeling, which is observer-dependent and time-consuming. Objective: In this study, we used large language models (LLMs) to analyze content overlap of mental health questionnaires in an observer-independent way and compare our results with clinical expertise. Methods: We analyzed questionnaires from a range of mental health conditions, including adult depression (n=7), childhood depression (n=15), clinical high risk for psychosis (CHR-P; n=11), mania (n=7), obsessive-compulsive disorder (n=7), and sleep disorder (n=12). Two different LLM-based approaches were tested. First, we used sentence Bidirectional Encoder Representations from Transformers (sBERT) to derive numerical representations (embeddings) for each questionnaire item, which were then clustered using k-means to group semantically similar symptoms. Second, questionnaire items were prompted to a Generative Pretrained Transformer to identify underlying symptom clusters. Clustering results were compared to a manual categorization by experts using the adjusted rand index. Further, we assessed the content overlap within each diagnostic domain based on LLM-derived clusters. Results: We observed varying degrees of similarity between expert-based and LLM-based clustering across diagnostic domains. Overall, agreement between experts was higher than between experts and LLMs. Among the 2 LLM approaches, GPT showed greater alignment with expert ratings than sBERT, ranging from weak to strong similarity depending on the diagnostic domain. Using GPT-based clustering of questionnaire items to assess the content overlap within each diagnostic domain revealed a weak (CHR-P: 0.344) to moderate (adult depression: 0.574; childhood depression: 0.433; mania: 0.419; obsessive-compulsive disorder [OCD]: 0.450; sleep disorder: 0.445) content overlap of questionnaires. Compared to the studies that manually investigated content overlap among these scales, the results of this study exhibited variations, though these were not substantial. Conclusions: These findings demonstrate the feasibility of using LLMs to objectively assess content overlap in diagnostic questionnaires. Notably, the GPT-based approach showed particular promise in aligning with expert-derived symptom structures.</t>
  </si>
  <si>
    <t>Boke, Annkathrin; Hacker, Hannah; Chakraborty, Millennia; Baumeister-Lingens, Luise; Vockel, Jasper; Koenig, Julian; Vogel, David H. V.; Lichtenstein, Theresa Katharina; Vogeley, Kai; Kambeitz-Ilankovic, Lana; Kambeitz, Joseph</t>
  </si>
  <si>
    <t>Böke, A (corresponding author), Univ Cologne, Fac Med, Dept Psychiat &amp; Psychotherapy, Kerpener Str 62, D-50931 Cologne, Germany.</t>
  </si>
  <si>
    <t>annkathrin.boeke@uk-koeln.de</t>
  </si>
  <si>
    <t>Open Access Publication Fund of the University of Cologne</t>
  </si>
  <si>
    <t>Funding This publication was supported by funding from the Open Access Publication Fund of the University of Cologne.</t>
  </si>
  <si>
    <t>[Boke, Annkathrin; Hacker, Hannah; Chakraborty, Millennia; Lichtenstein, Theresa Katharina; Vogeley, Kai; Kambeitz-Ilankovic, Lana; Kambeitz, Joseph] Univ Cologne, Fac Med, Dept Psychiat &amp; Psychotherapy, Kerpener Str 62, D-50931 Cologne, Germany; [Boke, Annkathrin; Hacker, Hannah; Chakraborty, Millennia; Baumeister-Lingens, Luise; Vockel, Jasper; Koenig, Julian; Lichtenstein, Theresa Katharina; Vogeley, Kai; Kambeitz-Ilankovic, Lana; Kambeitz, Joseph] Univ Cologne, Univ Hosp Cologne, Cologne, Germany; [Baumeister-Lingens, Luise; Vockel, Jasper; Koenig, Julian] Univ Cologne, Fac Med, Dept Child &amp; Adolescent Psychiat Psychosomat &amp; Psy, Cologne, Germany; [Vogel, David H. V.] Univ Hosp Bonn, Dept Psychiat &amp; Psychotherapy, Bonn, Germany; [Vogeley, Kai] Forschungszentrum Julich, Inst Neurosci &amp; Med, Cognit Neurosci INM 3, Julich, Germany</t>
  </si>
  <si>
    <t>University of Cologne; University of Cologne; University of Cologne; University of Bonn; Helmholtz Association; Julich Research Centre</t>
  </si>
  <si>
    <t>Observer-Independent Assessment of Content Overlap in Mental Health Questionnaires: Large Language Model- Based Study</t>
  </si>
  <si>
    <t>large language models; sentence Bidirectional Encoder Representations from Transformers; sBERT; GPT; questionnaires; scales; symptom overlap; content overlap</t>
  </si>
  <si>
    <t>SELF-REPORT; DEPRESSION SCALE; RATING-SCALE; PSYCHOMETRIC PROPERTIES; ADOLESCENT DEPRESSION; CHILDRENS DEPRESSION; SLEEP QUESTIONNAIRE; PRODROMAL SYMPTOMS; YOUNG-PEOPLE; INVENTORY</t>
  </si>
  <si>
    <t>Vogeley, Kai/E-4860-2012; Lichtenstein, Thorsten/GRX-3305-2022; Koenig, Julian/J-8863-2017; Vogeley, K/E-4860-2012; Kambeitz, Joseph/AAR-7087-2021; Vogel, David H.V/AEY-5135-2022</t>
  </si>
  <si>
    <t>Kambeitz-Ilankovic, Lana/0000-0002-8218-0425; Vöckel, Jasper/0000-0002-6306-3346; Vogeley, Kai/0000-0002-5891-5831; Koenig, Julian/0000-0003-1009-9625; Baumeister-Lingens, Luise/0000-0002-5070-2137; Chakraborty, Millennia/0009-0009-4353-2641; Hacker, Hannah/0009-0000-4709-5180; Vogel, David H.V/0000-0003-0645-9034; Böke, Annkathrin/0009-0006-8016-5703; Lichtenstein, Theresa Katharina/0000-0001-5573-1212</t>
  </si>
  <si>
    <t>105</t>
  </si>
  <si>
    <t>e79868</t>
  </si>
  <si>
    <t>10.2196/79868</t>
  </si>
  <si>
    <t>http://dx.doi.org/10.2196/79868</t>
  </si>
  <si>
    <t>Z9828</t>
  </si>
  <si>
    <t>41380022</t>
  </si>
  <si>
    <t>WOS:001643156800001</t>
  </si>
  <si>
    <t>Cicek, BD; Cicek, O</t>
  </si>
  <si>
    <t>&lt;bold&gt;Objectives:&lt;/bold&gt; The aim of this study was to compare the responses of large language models (LLMs)-DeepSeek V3, GPT 5, and Gemini 2.5 Flash-to patients' frequently asked questions (FAQs) regarding root canal treatment in terms of accuracy and comprehensiveness, and to assess the potential roles of these models in patient education and health literacy. &lt;bold&gt;Methods:&lt;/bold&gt; A total of 37 open-ended FAQs, compiled from American Association of Endodontists (AAE) patient education materials and online resources, were presented to three LLMs. Responses were evaluated by expert clinicians on a 5-point Likert scale for accuracy and comprehensiveness. Inter-rater and test-retest reliability were assessed using intraclass correlation coefficients (ICCs). Differences among models were analyzed with the Kruskal-Wallis H test, followed by pairwise Mann-Whitney U tests with effect sizes (Cliff's delta, delta). A p-value &lt; 0.05 was considered statistically significant. &lt;bold&gt;Results:&lt;/bold&gt; Inter-rater agreement was excellent, with ICCs of 0.92 for accuracy and 0.91 for comprehensiveness. Test-retest reliability also demonstrated high consistency (ICCs of 0.90 for accuracy and 0.89 for comprehensiveness). DeepSeek V3 achieved the highest scores, with a mean accuracy of 4.81 +/- 0.39 and a mean comprehensiveness of 4.78 +/- 0.41, demonstrating statistically superior performance compared to GPT 5 (accuracy 4.0 +/- 0.0; comprehensiveness 4.05 +/- 0.4; p &lt; 0.05, delta = 0.81 for accuracy, delta = 0.69 for comprehensiveness) and Gemini 2.5 Flash (accuracy 3.83 +/- 0.68; comprehensiveness 3.81 +/- 0.7; p &lt; 0.05, delta = 0.71 for accuracy, delta = 0.70 for comprehensiveness). No significant difference was observed between GPT 5 and Gemini 2.5 Flash for either accuracy (p = 0.109, delta = 0.16) or comprehensiveness (p = 0.058, delta = 0.21). &lt;bold&gt;Conclusions:&lt;/bold&gt; LLMs, such as DeepSeek V3, which can provide satisfactory responses to FAQs may serve as valuable supportive tools in patient education and health literacy; however, expert clinician oversight remains essential in clinical decision-making and treatment planning. When used appropriately, LLMs can enhance patient awareness and support satisfaction throughout the root canal treatment.</t>
  </si>
  <si>
    <t>Demir Cicek, Busra; Cicek, Orhan</t>
  </si>
  <si>
    <t>Cicek, O (corresponding author), Zonguldak Bulent Ecevit Univ, Fac Dent, Dept Orthodont, TR-67600 Zonguldak, Turkiye.</t>
  </si>
  <si>
    <t>orhancicek@beun.edu.tr; busra.dmr67@gmail.com</t>
  </si>
  <si>
    <t>[Demir Cicek, Busra] Zonguldak Oral &amp; Dent Hlth Ctr, Zonguldak Prov Hlth Directorate, TR-67020 Zonguldak, Turkiye; [Cicek, Orhan] Zonguldak Bulent Ecevit Univ, Fac Dent, Dept Orthodont, TR-67600 Zonguldak, Turkiye</t>
  </si>
  <si>
    <t>Zonguldak Bulent Ecevit University</t>
  </si>
  <si>
    <t>Evaluating the Response of AI-Based Large Language Models to Common Patient Concerns About Endodontic Root Canal Treatment: A Comparative Performance Analysis</t>
  </si>
  <si>
    <t>artificial intelligence; large language models; root canal treatment; patient education as topic; health literacy; endodontics; frequently asked questions (FAQs)</t>
  </si>
  <si>
    <t>Demir Cicek, Büşra/PDV-9347-2025; ÇİÇEK, Orhan/ITT-4115-2023</t>
  </si>
  <si>
    <t>ÇİÇEK, Orhan/0000-0002-8172-6043</t>
  </si>
  <si>
    <t>OCT 22 2025</t>
  </si>
  <si>
    <t>7482</t>
  </si>
  <si>
    <t>10.3390/jcm14217482</t>
  </si>
  <si>
    <t>http://dx.doi.org/10.3390/jcm14217482</t>
  </si>
  <si>
    <t>9UG7D</t>
  </si>
  <si>
    <t>41226878</t>
  </si>
  <si>
    <t>WOS:001615174400001</t>
  </si>
  <si>
    <t>Huang, TN; Lu, L; Chen, JY; Liu, LH; He, JJ; Zhao, YP; Tang, WC; Xu, J</t>
  </si>
  <si>
    <t>Background Large language models (LLMs) show promise in specialized domains, but their capabilities in Traditional Chinese Medicine(TCM)-a field with complex theoretical foundations and clinical practices-remain inadequately assessed. This study aims to develop and apply a comprehensive, multidimensional benchmark to systematically evaluate LLM proficiency in this culturally-grounded medical discipline. Methods We constructed the TCM-3CEval benchmark to assess models across three core dimensions: mastery of fundamental knowledge, comprehension of classical texts, and clinical decision-making. The dataset comprises 450 expert-validated single-choice questions. We evaluated a diverse set of models, including general-purpose international models, Chinese general models, and medical domain-specific models. Model performance was measured by accuracy under a rigorous permutation-based consistency test to control for positional bias. Results We show that while top-tier models approach human-level performance in aggregate scores, distinct deficits remain in clinical reliability. Models trained with Chinese linguistic and cultural priors demonstrate superior capability in interpreting classical texts compared to international counterparts. However, despite achieving comparable overall accuracy to human students (p &gt; 0.05), models exhibit pronounced deficiencies in critical subdomains such as TCM Diagnostics and Syndrome Differentiation, where human reasoning remains significantly more robust. The benchmark effectively discriminates between rote memorization and the holistic inference required for clinical practice. Conclusions This study establishes a standardized, triaxial evaluation paradigm for assessing AI in Traditional Chinese Medicine. The findings underscore the importance of cultural-contextual alignment and domain-specific adaptation for developing capable medical LLMs. This benchmark provides a foundation for optimizing models in culturally-grounded medical domains and supports the responsible integration of AI into traditional medical education and practice.</t>
  </si>
  <si>
    <t>Huang, Tianai; Lu, Lu; Chen, Jiayuan; Liu, Lihao; He, Junjun; Zhao, Yuping; Tang, Wenchao; Xu, Jie</t>
  </si>
  <si>
    <t>Huang, TN; Tang, WC (corresponding author), Shanghai Univ Tradit Chinese Med, Sch Artificial Intelligence Tradit Chinese Med, Shanghai, Peoples R China.; Xu, J (corresponding author), Shanghai Artificial Intelligence Lab, Shanghai, Peoples R China.; Zhao, YP (corresponding author), China Acad Chinese Med Sci, Inst Basic Theory Chinese Med, Beijing, Peoples R China.</t>
  </si>
  <si>
    <t>xujie@pjlab.org.cn; vincent.tang@shutcm.edu.cn; zhaoyp@ibtcm.ac.cn; 22023042@shutcm.edu.cn</t>
  </si>
  <si>
    <t>Traditional Chinese Medicine Research Project of Shanghai Municipal Health Commission [grant 2024PT001]; 2025 Traditional Chinese Medicine Standardization Project of Shanghai Administration of Traditional Chinese Medicine [grant 2025BZ002].; National Natural Science Foundation of China (National Science Foundation of China) [82174506]</t>
  </si>
  <si>
    <t>Traditional Chinese Medicine Research Project of Shanghai Municipal Health Commission [grant 2024PT001]; 2025 Traditional Chinese Medicine Standardization Project of Shanghai Administration of Traditional Chinese Medicine [grant 2025BZ002].; National Natural Science Foundation of China (National Science Foundation of China) (National Natural Science Foundation of China (NSFC))</t>
  </si>
  <si>
    <t>This work was supported by the National Natural Science Foundation of China [grant 82174506], 2024 Traditional Chinese Medicine Research Project of Shanghai Municipal Health Commission [grant 2024PT001] and 2025 Traditional Chinese Medicine Standardization Project of Shanghai Administration of Traditional Chinese Medicine [grant 2025BZ002].</t>
  </si>
  <si>
    <t>[Huang, Tianai; Tang, Wenchao] Shanghai Univ Tradit Chinese Med, Sch Artificial Intelligence Tradit Chinese Med, Shanghai, Peoples R China; [Lu, Lu; Chen, Jiayuan; Liu, Lihao; He, Junjun; Xu, Jie] Shanghai Artificial Intelligence Lab, Shanghai, Peoples R China; [Zhao, Yuping] China Acad Chinese Med Sci, Inst Basic Theory Chinese Med, Beijing, Peoples R China</t>
  </si>
  <si>
    <t>Shanghai University of Traditional Chinese Medicine; Shanghai Artificial Intelligence Laboratory; China Academy of Chinese Medical Sciences; Institute of Basic Theory for Chinese Medicine, CACMS</t>
  </si>
  <si>
    <t>A triaxial benchmark for assessing responses from large language models in traditional Chinese medicine</t>
  </si>
  <si>
    <t>EDUCATION</t>
  </si>
  <si>
    <t>Commun. Med.</t>
  </si>
  <si>
    <t>MAY 12 2026</t>
  </si>
  <si>
    <t>404</t>
  </si>
  <si>
    <t>10.1038/s43856-026-01631-5</t>
  </si>
  <si>
    <t>http://dx.doi.org/10.1038/s43856-026-01631-5</t>
  </si>
  <si>
    <t>LN3QC</t>
  </si>
  <si>
    <t>42120739</t>
  </si>
  <si>
    <t>WOS:001828683600001</t>
  </si>
  <si>
    <t>Wu, D; Lu, JJ; Xu, DH</t>
  </si>
  <si>
    <t>Background This study evaluated the performance of five Large Language Models based on actual cases to provide guidance for selecting appropriate models for clinical decision-making.&lt;br /&gt; Objective This study aimed to assess the performance of large language models (LLMs) in clinical decision-making for internal medicine and to provide evidence-based guidance for model selection in clinical practice.&lt;br /&gt; Methods We conducted a retrospective cross-sectional study with 405 cases across nine subspecialties: cardiovascular, respiratory, gastroenterology, nephrology, rheumatology, endocrinology, neurology, hematology, and infectious diseases. Two senior clinicians evaluated outputs on five dimensions: diagnosis, diagnostic criteria, differential diagnosis, examinations, and treatment. Statistical analyses were performed via the Kruskal-Wallis tests and Pairwise comparisons were performed by Dunn's test with p-value adjusted by BH procedure.&lt;br /&gt; Results Overall, significant performance differences were observed among models (p = 0.001). All models performed worst in respiratory (p &lt; 0.05). Gemini significantly outperformed others in differential diagnosis-the weakest area across all models (p &lt; 0.05). Claude scored significantly lower than other LLMs in Card and Heme (p &lt; 0.05). Subgroup analysis indicated that the most pronounced performance disparities were observed in the Card (p &lt; 0.05).&lt;br /&gt; Conclusion GPT, O1, and Gemini demonstrated superior performance in clinical decision-making for internal medicine among all LLMs, whereas Claude showed the poorest performance. All LLMs demonstrated deficiencies in differential diagnosis and poor management for respiratory diseases. The complexity of subspecialty might be a performance differentiator for LLMs and O1 might have potential suitability for complex subspecialties like cardiology.</t>
  </si>
  <si>
    <t>Wu, Dan; Lu, Jingjing; Xu, Danghan</t>
  </si>
  <si>
    <t>Wu, D (corresponding author), Jinan Univ, Affiliated Guangdong Prov Gen Hosp 2, Integrated Tradit Chinese &amp; Western Med Clin Ctr, Airport Rd, Guangzhou 510405, Guangdong, Peoples R China.</t>
  </si>
  <si>
    <t>starzilei@163.com</t>
  </si>
  <si>
    <t>[Wu, Dan] Jinan Univ, Affiliated Guangdong Prov Gen Hosp 2, Integrated Tradit Chinese &amp; Western Med Clin Ctr, Airport Rd, Guangzhou 510405, Guangdong, Peoples R China; [Lu, Jingjing] Guangzhou Univ Chinese Med, Affiliated Hosp 1, Rehabil Ctr, Guangzhou, Guangdong, Peoples R China; [Xu, Danghan] Guangzhou Yuansheng Ruihang Med Informat Technol C, Guangzhou, Guangdong, Peoples R China; [Xu, Danghan] Huazhou Community Hlth Serv Ctr Haizhu Dist Guangz, Guangzhou, Guangdong, Peoples R China</t>
  </si>
  <si>
    <t>Jinan University; Guangzhou University of Chinese Medicine</t>
  </si>
  <si>
    <t>Performances of five large language models in clinical decision-making for internal medicine: A comparative study</t>
  </si>
  <si>
    <t>DIGITAL HEALTH</t>
  </si>
  <si>
    <t>Generative large language models; internal medicine; clinical decision-making; cross-sectional study; diagnostic accuracy</t>
  </si>
  <si>
    <t>Wu, Dan/0000-0002-7350-4424</t>
  </si>
  <si>
    <t>SAGE PUBLICATIONS LTD</t>
  </si>
  <si>
    <t>1 OLIVERS YARD, 55 CITY ROAD, LONDON EC1Y 1SP, ENGLAND</t>
  </si>
  <si>
    <t>2055-2076</t>
  </si>
  <si>
    <t>DIGIT HEALTH</t>
  </si>
  <si>
    <t>Digit. Health</t>
  </si>
  <si>
    <t>20552076261433073</t>
  </si>
  <si>
    <t>10.1177/20552076261433073</t>
  </si>
  <si>
    <t>http://dx.doi.org/10.1177/20552076261433073</t>
  </si>
  <si>
    <t>Health Care Sciences &amp; Services; Health Policy &amp; Services; Public, Environmental &amp; Occupational Health; Medical Informatics</t>
  </si>
  <si>
    <t>Health Care Sciences &amp; Services; Public, Environmental &amp; Occupational Health; Medical Informatics</t>
  </si>
  <si>
    <t>FO0AF</t>
  </si>
  <si>
    <t>41907359</t>
  </si>
  <si>
    <t>WOS:001723291700001</t>
  </si>
  <si>
    <t>Soe, NN; Latt, PM; Lee, D; Aung, ET; Horn, R; Ong, JJ; Fairley, CK; Chow, EPF</t>
  </si>
  <si>
    <t>Background. Diagnosing anogenital dermatological conditions often requires specialist expertise that is unavailable in many clinical settings. Large language models (LLMs) are increasingly accessible to clinicians, but their diagnostic accuracy for anogenital dermatology has not been evaluated. We evaluated the diagnostic accuracy of 3 LLMs (Gemini 2.5 Pro, Claude Opus 4.1, and ChatGPT 5 Thinking) for anogenital dermatological conditions. Methods. This study was conducted between September and November 2025, using deidentified clinical images of anogenital conditions from the STI Atlas (stiatlas.org) and other publicly available sources. Primary outcomes were correct classification of images identified as sexually transmitted infections (STIs) vs non-STIs and the inclusion of the correct diagnosis among the LLMs' top-ranked (top-1), top-3, or top-5 differential diagnoses. Results. Among 218 images, Gemini achieved the highest accuracy for STI binary classification (76.2% [95% CI, 70.5%-81.9%]) and differential diagnosis (top-1, 39.0% [95% CI, 32.7%-45.7%]; top-3, 54.6% [95% CI, 47.9%-61.1%]; top-5, 60.6% [95% CI, 53.9%-66.9%]), followed by ChatGPT and Claude. In subgroup analysis, all LLMs showed substantially reduced accuracy for diagnostically challenging images (top-5 accuracy range, 29.2%-40.0%). Gemini consistently outperformed Claude across most subgroups (P &lt; .05). None of the LLMs could identify any mpox correctly. Conclusions. LLMs showed limited accuracy for diagnosing anogenital dermatological conditions, particularly for challenging images. The best-performing model (Gemini) achieved only 39.0% for top-1 diagnosis, indicating that current LLMs cannot reliably diagnose anogenital conditions. These tools may support supervised clinical triage but need further validation before routine clinical use. Future studies should compare LLMs with clinicians and explore how they can assist clinical diagnosis.</t>
  </si>
  <si>
    <t>Soe, Nyi Nyi; Latt, Phyu Mon; Lee, David; Aung, Ei T.; Horn, Ryan; Ong, Jason J.; Fairley, Christopher K.; Chow, Eric P. F.</t>
  </si>
  <si>
    <t>Soe, NN; Chow, EPF (corresponding author), Monash Univ, Fac Med Nursing &amp; Hlth Sci, Sch Translat Med, 580 Swanston St, Melbourne, Vic 3053, Australia.</t>
  </si>
  <si>
    <t>nyinyi.soe@monash.edu; eric.chow@monash.edu</t>
  </si>
  <si>
    <t>National Health and Medical Research Council (NHMRC) Leadership Investigator Grant [GNT2033299]; NHMRC [GNT1172900]; NHMRC Emerging Leadership Investigator Grant [NT1193955]; NHMRC Leadership Investigator Grant [GNT2033299]</t>
  </si>
  <si>
    <t>National Health and Medical Research Council (NHMRC) Leadership Investigator Grant (National Health &amp; Medical Research Council (NHMRC) of Australia); NHMRC (National Health &amp; Medical Research Council (NHMRC) of Australia); NHMRC Emerging Leadership Investigator Grant (National Health &amp; Medical Research Council (NHMRC) of Australia); NHMRC Leadership Investigator Grant (National Health &amp; Medical Research Council (NHMRC) of Australia)</t>
  </si>
  <si>
    <t>The research was supported by the National Health and Medical Research Council (NHMRC) Leadership Investigator Grant GNT2033299 (E. P. F. C.), NHMRC Grant GNT1172900 (C. K. F.) and NHMRC Emerging Leadership Investigator Grant NT1193955 (J. J. O.). N. N. S., P. M. L., and E. T. A. are supported by E. P. F. C.'s NHMRC Leadership Investigator Grant (GNT2033299). The NHMRC had no role in the design and conduct of the study; collection, management, analysis, and interpretation of the data; preparation, review, or approval of the manuscript; and decision to submit the manuscript for publication.</t>
  </si>
  <si>
    <t>[Soe, Nyi Nyi; Latt, Phyu Mon; Lee, David; Aung, Ei T.; Horn, Ryan; Ong, Jason J.; Fairley, Christopher K.; Chow, Eric P. F.] Bayside Hlth, Melbourne Sexual Hlth Ctr, Melbourne, Vic, Australia; [Soe, Nyi Nyi; Latt, Phyu Mon; Aung, Ei T.; Ong, Jason J.; Fairley, Christopher K.; Chow, Eric P. F.] Monash Univ, Fac Med Nursing &amp; Hlth Sci, Sch Translat Med, 580 Swanston St, Melbourne, Vic 3053, Australia; [Chow, Eric P. F.] Univ Melbourne, Ctr Epidemiol &amp; Biostat, Melbourne Sch Populat &amp; Global Hlth, Melbourne, Vic, Australia</t>
  </si>
  <si>
    <t>Alfred Health; Melbourne Sexual Health Centre; Monash University; University of Melbourne</t>
  </si>
  <si>
    <t>Diagnostic Accuracy of Commercial Large Language Models for Anogenital Skin Lesion Images: A Comparative Study of Gemini, Claude, and ChatGPT</t>
  </si>
  <si>
    <t>JOURNAL OF INFECTIOUS DISEASES</t>
  </si>
  <si>
    <t>large language models; sexually transmitted infections; diagnostic accuracy; artificial intelligence in dermatology</t>
  </si>
  <si>
    <t>SEXUAL HEALTH; AI</t>
  </si>
  <si>
    <t>Latt, Phyu Mon/HZL-4671-2023; Chow, Eric/W-6684-2019; Aung, Ei/JGC-7013-2023; Soe, Nyi Nyi/IWU-6009-2023; Ong, Jason/AAB-3086-2019</t>
  </si>
  <si>
    <t>Horn, Ryan/0009-0009-6459-4235</t>
  </si>
  <si>
    <t>OXFORD UNIV PRESS INC</t>
  </si>
  <si>
    <t>CARY</t>
  </si>
  <si>
    <t>JOURNALS DEPT, 2001 EVANS RD, CARY, NC 27513 USA</t>
  </si>
  <si>
    <t>0022-1899</t>
  </si>
  <si>
    <t>1537-6613</t>
  </si>
  <si>
    <t>J INFECT DIS</t>
  </si>
  <si>
    <t>J. Infect. Dis.</t>
  </si>
  <si>
    <t>10.1093/infdis/jiag258</t>
  </si>
  <si>
    <t>http://dx.doi.org/10.1093/infdis/jiag258</t>
  </si>
  <si>
    <t>Immunology; Infectious Diseases; Microbiology</t>
  </si>
  <si>
    <t>IE5BB</t>
  </si>
  <si>
    <t>42105020</t>
  </si>
  <si>
    <t>WOS:001769776800001</t>
  </si>
  <si>
    <t>Cypko, MA; Salim, MA; Kumar, A; Berliner, L; Dietz, A; Stoehr, M; Amft, O</t>
  </si>
  <si>
    <t>Purpose:Bayesian networks (BNs) are valuable for clinical decision support due to their transparency and interpretability. However, BN modelling requires considerable manual effort. This study explores how integrating large language models (LLMs) with retrieval-augmented generation (RAG) can improve BN modelling by increasing efficiency, reducing cognitive workload, and ensuring accuracy.Methods:We developed a web-based BN modelling service that integrates an LLM-RAG pipeline. A fine-tuned GTE-Large embedding model was employed for knowledge retrieval, optimised through recursive chunking and query expansion. To ensure accurate BN suggestions, we defined a causal structure for medical idioms by unifying existing BN frameworks. GPT-4 and Mixtral 8x7B were used to handle complex data interpretation and to generate modelling suggestions, respectively. A user study with four clinicians assessed usability, retrieval accuracy, and cognitive workload using NASA-TLX. The study demonstrated the system's potential for efficient and clinically relevant BN modelling.Results:The RAG pipeline improved retrieval accuracy and answer relevance. Recursive chunking with the fine-tuned embedding model GTE-Large achieved the highest retrieval accuracy score (0.9). Query expansion and Hyde optimisation enhanced retrieval accuracy for semantic chunking (0.75 to 0.85). Responses maintained high faithfulness (&gt;=\documentclass[12pt]{minimal} \usepackage{amsmath} \usepackage{wasysym} \usepackage{amsfonts} \usepackage{amssymb} \usepackage{amsbsy} \usepackage{mathrsfs} \usepackage{upgreek} \setlength{\oddsidemargin}{-69pt} \begin{document}$$\ge $$\end{document}0.9). However, the LLM occasionally failed to adhere to predefined causal structures and medical idioms. All clinicians, regardless of BN experience, created comprehensive models within one hour. Experienced clinicians produced more complex models, but occasionally introduced causality errors, while less experienced users adhered more accurately to predefined structures. The tool reduced cognitive workload (2/7 NASA-TLX) and was described as intuitive, although workflow interruptions and minor technical issues highlighted areas for improvement.Conclusion:Integrating LLM-RAG into BN modelling enhances efficiency and accuracy. Future work may focus on automated preprocessing, refinements of the user interface, and extending the RAG pipeline with validation steps and external biomedical sources. Generative AI holds promise for expert-driven knowledge modelling.</t>
  </si>
  <si>
    <t>Cypko, Mario A.; Salim, Muhammad Agus; Kumar, Aditya; Berliner, Leonard; Dietz, Andreas; Stoehr, Matthaeus; Amft, Oliver</t>
  </si>
  <si>
    <t>Cypko, MA (corresponding author), Hahn Schickard Gesell Angew Forsch E V, D-79110 Freiburg, Germany.; Cypko, MA (corresponding author), Univ Freiburg, Intelligent Embedded Syst Lab, D-79110 Freiburg, Germany.</t>
  </si>
  <si>
    <t>cypko@informatik.uni-freiburg.de</t>
  </si>
  <si>
    <t>Albert-Ludwigs-Universitt Freiburg im Breisgau (1016)</t>
  </si>
  <si>
    <t>[Cypko, Mario A.; Salim, Muhammad Agus; Kumar, Aditya; Amft, Oliver] Hahn Schickard Gesell Angew Forsch E V, D-79110 Freiburg, Germany; [Cypko, Mario A.; Salim, Muhammad Agus; Kumar, Aditya; Amft, Oliver] Univ Freiburg, Intelligent Embedded Syst Lab, D-79110 Freiburg, Germany; [Berliner, Leonard] Staten Isl Univ Hosp, Northwell Hlth, Dept Radiol, Staten Isl, NY 10305 USA; [Dietz, Andreas; Stoehr, Matthaeus] Univ Hosp Leipzig, Dept Otolaryngol Head &amp; Neck Surg, D-04103 Leipzig, Germany</t>
  </si>
  <si>
    <t>University of Freiburg; Northwell Health; Leipzig University</t>
  </si>
  <si>
    <t>Large language models with retrieval-augmented generation enhance expert modelling of Bayesian network for clinical decision support</t>
  </si>
  <si>
    <t>INTERNATIONAL JOURNAL OF COMPUTER ASSISTED RADIOLOGY AND SURGERY</t>
  </si>
  <si>
    <t>Retrieval-augmented generation; Bayesian networks; Knowledge engineering; Clinical decision support systems; Large language models; Causal modelling in healthcare</t>
  </si>
  <si>
    <t>Berliner, Leonard/KFR-7642-2024</t>
  </si>
  <si>
    <t>Europaplatz 3, HEIDELBERG, GERMANY</t>
  </si>
  <si>
    <t>1861-6410</t>
  </si>
  <si>
    <t>1861-6429</t>
  </si>
  <si>
    <t>INT J COMPUT ASS RAD</t>
  </si>
  <si>
    <t>Int. J. Comput. Assist. Radiol. Surg.</t>
  </si>
  <si>
    <t>211</t>
  </si>
  <si>
    <t>222</t>
  </si>
  <si>
    <t>10.1007/s11548-025-03524-9</t>
  </si>
  <si>
    <t>http://dx.doi.org/10.1007/s11548-025-03524-9</t>
  </si>
  <si>
    <t>Engineering, Biomedical; Radiology, Nuclear Medicine &amp; Medical Imaging; Surgery</t>
  </si>
  <si>
    <t>Engineering; Radiology, Nuclear Medicine &amp; Medical Imaging; Surgery</t>
  </si>
  <si>
    <t>FN1ZE</t>
  </si>
  <si>
    <t>41182676</t>
  </si>
  <si>
    <t>WOS:001606171400001</t>
  </si>
  <si>
    <t>Rider, NL; Li, YY; Chin, AT; DiGiacomo, DV; Dutmer, C; Farmer, JR; Roberts, K; Savova, G; Ong, MS</t>
  </si>
  <si>
    <t>Background: Generative artificial intelligence (GAI) is transforming health care in a variety of ways; however, the present utility of GAI for supporting clinicians who treat rare disease such as primary immune disorders (PIs) is not well studied. We evaluated the ability of 6 state-of-the-art large language models (LLMs) for providing clinical guidance about PIs. Objective: To quantitatively and qualitatively measure the utility of current, open-source LLMs for diagnosing and providing helpful clinical decision support about PIs. Methods: Five expert clinical immunologists each provided 5 real-world, anonymized PI case vignettes via multi-turn prompting to 6 LLMs (OpenAI GPT-4o, Llama-3.1-8B-Instruct, Llama-3.1-70B-Instruct, Mistral-7B-Instruct-v0.3, Mistral-Large-Instruct-2407, Mixtral-8x7B-Instruct-v0.1). We assessed the diagnostic accuracy of the LLMs and the quality of clinical reasoning using the Revised-IDEA (R-IDEA) score. Qualitative LLM assessment was made by immunologist narratives. Results: Performance accuracy (&gt;88%) and R-IDEA scores (&gt;_8) were superior for 3 models (GPT-4o, Llama-3.1-70B-Instruct, Mistral-Large-Instruct-2407), with GPT-4o achieving the highest diagnostic accuracy (96.2%). Conversely, the remaining 3 models fell below acceptable accuracy rates near 60% or lower and had poor R-IDEA scores (&lt;_0.55), with Mistral-7B-Instruct-v0.3 attaining the worst diagnostic accuracy (42.3%). Compared with the 3 best-performing LLMs, the 3 worst-performing LLMs had a substantially lower median R-IDEA score (P &lt; .001). Interclass correlation coefficient for R-IDEA score assignments varied substantially by LLM, ranging from good to poor agreement, and did not appear to correlate with either diagnostic accuracy or median R-IDEA score. Qualitatively, immunologists identified several themes (eg, correctness, differential diagnosis appropriateness, relative conciseness of explanations) of relevance to PIs. Conclusions: LLM can support diagnosis and management of PIs; however, further tuning is needed to optimize LLMs for best practice recommendations.</t>
  </si>
  <si>
    <t>Rider, Nicholas L.; Li, Yingya; Chin, Aaron T.; V. DiGiacomo, Daniel; Dutmer, Cullen; Farmer, Jocelyn R.; Roberts, Kirk; Savova, Guergana; Ong, Mei-Sing</t>
  </si>
  <si>
    <t>Rider, NL (corresponding author), 2 Riverside Circle, Roanoke, VA 24016 USA.</t>
  </si>
  <si>
    <t>nick70@vt.edu</t>
  </si>
  <si>
    <t>National Institute of Allergy and Infectious Diseases [R21AI164100]; Centers for Disease Control and Prevention via the Jeffrey Modell Foundation [NE11CD000002]; National Institute on Minority Health and Health Disparities of the National Institutes of Health (NIH) [R01MD017816]; NIH [R01MD017816, R01GM114355]; Patient-Centered Outcomes Research Institute (PCORI) [ME-2022C2-25573]; PCORI award [ME-2022C2-25573]; Takeda Pharmaceuticals; American Academy of Allergy, Asthma Immunology</t>
  </si>
  <si>
    <t>National Institute of Allergy and Infectious Diseases (United States Department of Health &amp; Human Services, National Institutes of Health (NIH) - USA, NIH National Institute of Allergy &amp; Infectious Diseases (NIAID)); Centers for Disease Control and Prevention via the Jeffrey Modell Foundation; National Institute on Minority Health and Health Disparities of the National Institutes of Health (NIH); NIH (United States Department of Health &amp; Human Services, National Institutes of Health (NIH) - USA); Patient-Centered Outcomes Research Institute (PCORI) (Patient-Centered Outcomes Research Institute (PCORI)); PCORI award (Patient-Centered Outcomes Research Institute (PCORI)); Takeda Pharmaceuticals (Takeda Pharmaceutical Company Ltd); American Academy of Allergy, Asthma Immunology</t>
  </si>
  <si>
    <t>N.L.R. receives funding from National Institute of Allergy and Infectious Diseases (R21AI164100) , the Centers for Disease Control and Prevention (NE11CD000002) via the Jeffrey Modell Foundation, and Takeda Pharmaceuticals. J.R.F. was supported by a faculty development award from the American Academy of Allergy, Asthma &amp; Immunology and the National Institute on Minority Health and Health Disparities of the National Institutes of Health (NIH) (R01MD017816) . Y.L. and G.S. receive funding from the NIH (R01GM114355) . M.-S.O. receives funding from the NIH (R01MD017816) and Patient-Centered Outcomes Research Institute (PCORI) (ME-2022C2-25573) . Research reported in this publication was partially funded through a PCORI award (ME-2022C2-25573) .</t>
  </si>
  <si>
    <t>[Rider, Nicholas L.] Virginia Tech Caril Sch Med, Dept Hlth Syst &amp; Implementat Sci, Roanoke, VA USA; [Rider, Nicholas L.] Carilion Clin, Dept Med, Sect Allergy Immunol, Roanoke, VA USA; [Li, Yingya] Boston Childrens Hosp, Harvard Med Sch, Computat Hlth Informat Program, Boston, MA USA; [Chin, Aaron T.] Univ Calif Los Angeles, Dept Pediat, Div Immunol Allergy &amp; Rheumatol, Los Angeles, CA USA; [V. DiGiacomo, Daniel] Jersey Shore Univ, Med Ctr, K Hovnanian Childrens Hosp, Dept Pediat, Neptune, NJ USA; [V. DiGiacomo, Daniel] Hackensack Meridian Sch Med, Nutley, NJ USA; [Dutmer, Cullen] Univ Colorado, Sch Med, Dept Pediat, Denver, CO USA; [Dutmer, Cullen] Childrens Hosp Colorado, Sect Allergy &amp; Immunol, Denver, CO USA; [Farmer, Jocelyn R.] Beth Israel Lahey Hlth, Lahey Hosp &amp; Med Ctr, Clin Immunodeficiency Program, Div Allergy &amp; Immunol, Burlington, MA USA; [Farmer, Jocelyn R.] UMass Chan Med Sch, Dept Med, Worcester, MA USA; [Roberts, Kirk] Univ Texas Hlth Sci Ctr Houston, McWilliams Sch Biomed Informat, Houston, TX USA; [Ong, Mei-Sing] Harvard Med Sch, Harvard Pilgrim Hlth Care Inst, Dept Populat Med, Boston, MA USA</t>
  </si>
  <si>
    <t>Harvard University; Harvard Medical School; Harvard University Medical Affiliates; Boston Children's Hospital; University of California System; University of California Los Angeles; Jersey Shore University Medical Center; University of Colorado System; University of Colorado Anschutz; University of Colorado Denver; Children's Hospital Colorado; Lahey Hospital &amp; Medical Center; University of Massachusetts System; UMass Chan Medical School; University of Massachusetts Worcester; University of Texas System; University of Texas Health Science Center Houston; Harvard University; Harvard Pilgrim Health Care; Harvard Medical School</t>
  </si>
  <si>
    <t>Evaluating large language model performance to support the diagnosis and management of patients with primary immune disorders</t>
  </si>
  <si>
    <t>JOURNAL OF ALLERGY AND CLINICAL IMMUNOLOGY</t>
  </si>
  <si>
    <t>Primary immune disorders; inborn errors of immunity; large language models; generative AI; health care AI; medical chatbot</t>
  </si>
  <si>
    <t>Ong, Mei-Sing/0000-0002-1241-1013; Li, Yingya/0000-0002-9007-725X; Chin, Aaron/0000-0001-9490-6580</t>
  </si>
  <si>
    <t>MOSBY-ELSEVIER</t>
  </si>
  <si>
    <t>360 PARK AVENUE SOUTH, NEW YORK, NY 10010-1710 USA</t>
  </si>
  <si>
    <t>0091-6749</t>
  </si>
  <si>
    <t>1097-6825</t>
  </si>
  <si>
    <t>J ALLERGY CLIN IMMUN</t>
  </si>
  <si>
    <t>J. Allergy Clin. Immunol.</t>
  </si>
  <si>
    <t>156</t>
  </si>
  <si>
    <t>10.1016/j.jaci.2025.02.004</t>
  </si>
  <si>
    <t>http://dx.doi.org/10.1016/j.jaci.2025.02.004</t>
  </si>
  <si>
    <t>Allergy; Immunology</t>
  </si>
  <si>
    <t>5EN5U</t>
  </si>
  <si>
    <t>39956279</t>
  </si>
  <si>
    <t>WOS:001533794300007</t>
  </si>
  <si>
    <t>Jiang, H; Yang, C; Zhou, WB; Yin, CL; Zhou, S; He, R; Ran, GH; Wang, WJ; Wu, MX; Yu, J</t>
  </si>
  <si>
    <t>Background: Artificial intelligence tools, particularly large language models (LLMs), have shown considerable potential across various domains. However, their performance in the diagnosis and treatment of breast cancer remains unknown. Objective: This study aimed to evaluate the performance of LLMs in supporting radiologists within multidisciplinary breast cancer teams, with a focus on their roles in facilitating informed clinical decisions and enhancing patient care. Methods: A set of 50 questions covering radiological and breast cancer guidelines was developed to assess breast cancer. These questions were posed to 9 popular LLMs and clinical physicians, with the expectation of receiving direct "Yes" or "No" answers along with supporting analysis. The performances of the 9 models, including ChatGPT-4.0, ChatGPT-4o, ChatGPT-4o mini, Claude 3 Opus, Claude 3.5 Sonnet, Gemini 1.5 Pro, Tongyi Qianwen 2.5, ChatGLM, and Ernie Bot 3.5, were evaluated against that of radiologists with varying experience levels (resident physicians, fellow physicians, and attending physicians). Responses were assessed for accuracy, confidence, and consistency based on alignment with the 2024 National Comprehensive Cancer Network Breast Cancer Guidelines and the 2013 American College of Radiology Breast Imaging-Reporting and Data System recommendations. Results: Claude 3 Opus and ChatGPT-4 achieved the highest confidence scores of 2.78 and 2.74, respectively, while ChatGPT-4o led in accuracy with a score of 2.92. In terms of response consistency, Claude 3 Opus and Claude 3.5 Sonnet led the pack with scores of 3.0, closely followed by ChatGPT-4o, Gemini 1.5 Pro, and ChatGPT-4o mini, all recording impressive scores exceeding 2.9. ChatGPT-4o mini excelled in clinical diagnostics with a top score of 3.0 among all LLMs, and this score was also higher than all physician groups; however, no statistically significant differences were observed between it and any physician group (all P&gt;.05). ChatGPT-4 also had a higher score than the physician groups but showed comparable statistical performance to them (P&gt;.05). Across radiological diagnostics, clinical diagnosis, and overall performance, ChatGPT-4o mini and the Claude models achieved higher mean scores than all physician groups. However, these differences were statistically significant only when compared to fellow physicians (P&lt;.05). However, ChatGLM and Ernie Bot 3.5 underperformed across diagnostic areas, with lower scores than all physician groups but no statistically significant differences (all P&gt;.05). Among physician groups, attending physicians and resident physicians exhibited comparable high scores in radiological diagnostic performance, whereas fellow physicians scored somewhat lower, though the difference was not statistically significant (P&gt;.05). Conclusions: LLMs such as ChatGPT-4o and Claude 3 Opus showed potential in supporting multidisciplinary teams for breast cancer diagnostics and therapy. However, they cannot fully replicate the intricate decision-making processes honed through clinical experience, particularly in complex cases. This highlights the need for ongoing artificial intelligence refinement to ensure robust clinical applicability.</t>
  </si>
  <si>
    <t>Jiang, Hong; Yang, Chun; Zhou, Wenbin; Yin, Cheng-liang; Zhou, Shan; He, Rui; Ran, Guanghui; Wang, Wujie; Wu, Meixian; Yu, Juan</t>
  </si>
  <si>
    <t>Yu, J (corresponding author), Shenzhen Univ, Affiliated Hosp 1, Dept Radiol, Sungang Rd 3002, Shenzhen 518003, Peoples R China.; Yu, J (corresponding author), Shenzhen Univ, Shenzhen Peoples Hosp 2, Dept Radiol, Affiliated 1, Sungang Rd 3002, Shenzhen 518003, Peoples R China.</t>
  </si>
  <si>
    <t>yujuan0072@qq.com</t>
  </si>
  <si>
    <t>Department of Science and Technology of Guangdong Province [112175605105]; DCE-MRI; Ultrasound Fusion Imaging" [2023yjlcyj019]; Shenzhen Basic Research Project (Natural Science Foundation) [JCYJ20220530150416036]</t>
  </si>
  <si>
    <t>Department of Science and Technology of Guangdong Province; DCE-MRI; Ultrasound Fusion Imaging"; Shenzhen Basic Research Project (Natural Science Foundation)</t>
  </si>
  <si>
    <t>This research was funded by the Department of Science and Technology of Guangdong Province (grant no 112175605105) and the research project "Preoperative Localization and Navigation of Non-Mass Breast Cancer with DCE-MRI and Ultrasound Fusion Imaging" (grant no 2023yjlcyj019) , and the Shenzhen Basic Research Project (Natural Science Foundation; grant no JCYJ20220530150416036) . The funding period was 3 years, starting in June 2023, with a total budget of CNY $35,615 (US $5000) .</t>
  </si>
  <si>
    <t>[Jiang, Hong] Macau Univ Sci &amp; Technol, Fac Med, Macau, Peoples R China; [Jiang, Hong; Wu, Meixian] Jinan Univ, Zhuhai Clin Med Coll, Dept Stat, Zhuhai, Peoples R China; [Yang, Chun] Qiandongnan Prefecture Hosp Tradit Chinese Med, Kai Li, Peoples R China; [Zhou, Wenbin] Guangdong Prov Key Lab Tumor Intervent Diag &amp; Trea, Zhuhai, Peoples R China; [Yin, Cheng-liang] Chinese Peoples Liberat Army Gen Hosp, Dept Med Innovat Res, Beijing, Peoples R China; [Zhou, Shan] Univ Pittsburgh, UPMC Hillman Canc Ctr, Canc Virol Program, Sch Med, Pittsburgh, PA USA; [Zhou, Shan] Univ Pittsburgh, Sch Med, Dept Microbiol &amp; Mol Genet, Pittsburgh, PA USA; [He, Rui] Univ Pompeu Fabra, Dept Translat &amp; Language Sci, Grammar &amp; Cognit Lab GraC, Barcelona, Spain; [Ran, Guanghui; Wang, Wujie; Yu, Juan] Shenzhen Univ, Affiliated Hosp 1, Dept Radiol, Sungang Rd 3002, Shenzhen 518003, Peoples R China</t>
  </si>
  <si>
    <t>Macau University of Science and Technology; Jinan University; Chinese People's Liberation Army General Hospital; Pennsylvania Commonwealth System of Higher Education (PCSHE); University of Pittsburgh; Pennsylvania Commonwealth System of Higher Education (PCSHE); University of Pittsburgh; Pompeu Fabra University; Shenzhen University</t>
  </si>
  <si>
    <t>Evaluation of Large Language Models for Radiologists' Support in Multidisciplinary Breast Cancer Teams: Comparative Study</t>
  </si>
  <si>
    <t>breast cancer; large language models; LLMs; radiology assistance; clinical decision-making; ACR BI-RADS; NCCN guidelines; radiologist; National Comprehensive Cancer Network; American College of Radiology Breast Imaging-Reporting and Data System</t>
  </si>
  <si>
    <t>Zhou, Shan/KQX-1159-2024; He, Rui/AAE-6400-2022; yin, chengliang/ADP-5778-2022</t>
  </si>
  <si>
    <t>Zhou, Wenbin/0000-0002-2127-1091</t>
  </si>
  <si>
    <t>e68182</t>
  </si>
  <si>
    <t>10.2196/68182</t>
  </si>
  <si>
    <t>http://dx.doi.org/10.2196/68182</t>
  </si>
  <si>
    <t>DM7JN</t>
  </si>
  <si>
    <t>41628437</t>
  </si>
  <si>
    <t>WOS:001687102700001</t>
  </si>
  <si>
    <t>Baskan, HK; Baskan, B</t>
  </si>
  <si>
    <t>Background/purpose This study aimed to compare the performance of seven leading large language models (Gemini 2.5 Pro, Grok-4, GPT-5, Claude-4, Copilot, Perplexity, and GPT-4o) on pediatric dentistry questions from the Turkish Dentistry Specialization Examination (DUS), and to identify differences in their performance on information-based versus case-based question types. Materials and methods Seven large language models (Gemini 2.5 Pro, Grok-4, GPT-5, Claude-4, Copilot, Perplexity, and GPT-4o) were evaluated on 127 multiple-choice questions from the DUS pediatric dentistry question bank (2012-2021), classified by experts as information-based (n = 96) and case-based (n = 31). Questions were input in Turkish without modification, and responses were assessed against official answer keys. Results Significant differences were observed in overall accuracy rates (p &lt; 0.001). The highest overall accuracy was recorded for Gemini 2.5 Pro (94.5%; 120/127), while the lowest performance was seen with GPT-4o (63.0%; 80/127). For information-based questions, Gemini answered 92/96 correctly (95.8%) and GPT-4o 66/96 (68.7%); for case-based questions, Gemini answered 28/31 correctly (90.3%) and Perplexity 5/31 (16.1%). Pairwise Wilcoxon comparisons statistically supported Gemini's significant superiority over many models and the notably weak performance of GPT-4o and Perplexity on case-based questions (p &lt; 0.001). Conclusions LLMs can serve as effective "co-pilots" for information retrieval and exam preparation in dental education but are currently unreliable for diagnostic and treatment decision-making. Clinicians and students should use LLM outputs for review and learning while retaining final decisions based on professional experience, ethical responsibility, and patient-centered judgment. Future research should evaluate and enhance LLMs' multimodal and visual-data processing capabilities to improve clinical applicability.</t>
  </si>
  <si>
    <t>Baskan, Hatice Kubra; Baskan, Beyhan</t>
  </si>
  <si>
    <t>Baskan, HK (corresponding author), Kahramanmaras Sutcu Imam Univ, Fac Dent, Dept Pediat Dent, Kahramanmaras, Turkiye.</t>
  </si>
  <si>
    <t>kubrabaskan@ksu.edu.tr; beyhanbaskan@ksu.edu.tr</t>
  </si>
  <si>
    <t>[Baskan, Hatice Kubra] Kahramanmaras Sutcu Imam Univ, Fac Dent, Dept Pediat Dent, Kahramanmaras, Turkiye; [Baskan, Beyhan] Kahramanmaras Sutcu Imam Univ, Fac Dent, Dept Endodont, Kahramanmaras, Turkiye</t>
  </si>
  <si>
    <t>Kahramanmaras Sutcu Imam University; Kahramanmaras Sutcu Imam University</t>
  </si>
  <si>
    <t>Performance comparison of large language models on pediatric dentistry questions in the Turkish dentistry specialization examination</t>
  </si>
  <si>
    <t>Artificial intelligence; Large language models; Pediatric dentistry; Dentistry specialization examination; Performance evaluation</t>
  </si>
  <si>
    <t>BAŞKAN, HATİCE KÜBRA/PNG-2046-2026; baskan, beyhan/ORJ-3274-2025</t>
  </si>
  <si>
    <t>BAŞKAN, HATİCE KÜBRA/0000-0002-4009-1096; BAŞKAN, BEYHAN/0000-0002-2463-4011</t>
  </si>
  <si>
    <t>1734</t>
  </si>
  <si>
    <t>10.1186/s12909-025-08315-z</t>
  </si>
  <si>
    <t>http://dx.doi.org/10.1186/s12909-025-08315-z</t>
  </si>
  <si>
    <t>AL7QA</t>
  </si>
  <si>
    <t>41466246</t>
  </si>
  <si>
    <t>WOS:001651129200012</t>
  </si>
  <si>
    <t>Wang, A; Wu, YN; Ji, XJ; Wang, XY; Hu, JW; Zhang, FZ; Zhang, ZC; Pu, D; Tang, LL; Ma, SK; Liu, Q; Dong, J; He, KL; Li, KP; Teng, D; Li, T</t>
  </si>
  <si>
    <t>Background: Spondyloarthritis (SpA), a chronic inflammatory disorder, predominantly impacts the sacroiliac joints and spine, significantly escalating the risk of disability. SpA's complexity, as evidenced by its diverse clinical presentations and symptoms that often mimic other diseases, presents substantial challenges in its accurate diagnosis and differentiation. This complexity becomes even more pronounced in nonspecialist health care environments due to limited resources, resulting in delayed referrals, increased misdiagnosis rates, and exacerbated disability outcomes for patients with SpA. The emergence of large language models (LLMs) in medical diagnostics introduces a revolutionary potential to overcome these diagnostic hurdles. Despite recent advancements in artificial intelligence and LLMs demonstrating effectiveness in diagnosing and treating various diseases, their application in SpA remains underdeveloped. Currently, there is a notable absence of SpA-specific LLMs and an established benchmark for assessing the performance of such models in this particular field. Objective: Our objective is to develop a foundational medical model, creating a comprehensive evaluation benchmark tailored to the essential medical knowledge of SpA and its unique diagnostic and treatment protocols. The model, post-pretraining, will be subject to further enhancement through supervised fine-tuning. It is projected to significantly aid physicians in SpA diagnosis and treatment, especially in settings with limited access to specialized care. Furthermore, this initiative is poised to promote early and accurate SpA detection at the primary care level, thereby diminishing the risks associated with delayed or incorrect diagnoses. Methods: A rigorous benchmark, comprising 222 meticulously formulated multiple-choice questions on SpA, will be established and developed. These questions will be extensively revised to ensure their suitability for accurately evaluating LLMs' performance in real -world diagnostic and therapeutic scenarios. Our methodology involves selecting and refining top foundational models using public data sets. The best -performing model in our benchmark will undergo further training. Subsequently, more than 80,000 real -world inpatient and outpatient cases from hospitals will enhance LLM training, incorporating techniques such as supervised fine-tuning and low -rank adaptation. We will rigorously assess the models' generated responses for accuracy and evaluate their reasoning processes using the metrics of fluency, relevance, completeness, and medical proficiency. Results: Development of the model is progressing, with significant enhancements anticipated by early 2024. The benchmark, along with the results of evaluations, is expected to be released in the second quarter of 2024. Conclusions: Our trained model aims to capitalize on the capabilities of LLMs in analyzing complex clinical data, thereby enabling precise detection, diagnosis, and treatment of SpA. This innovation is anticipated to play a vital role in diminishing the disabilities arising from delayed or incorrect SpA diagnoses. By promoting this model across diverse health care settings, we anticipate a significant improvement in SpA management, culminating in enhanced patient outcomes and a reduced overall burden of the disease.</t>
  </si>
  <si>
    <t>Wang, Anan; Wu, Yunong; Ji, Xiaojian; Wang, Xiangyang; Hu, Jiawen; Zhang, Fazhan; Zhang, Zhanchao; Pu, Dong; Tang, Lulu; Ma, Shikui; Liu, Qiang; Dong, Jing; He, Kunlun; Li, Kunpeng; Teng, Da; Li, Tao</t>
  </si>
  <si>
    <t>Li, T (corresponding author), Chinese Peoples Liberat Army Gen Hosp, Dept Med Innovat Res, 28 Fuxing Road,Wanshou Rd, Beijing, Peoples R China.</t>
  </si>
  <si>
    <t>litao301hospital@163.com</t>
  </si>
  <si>
    <t>Municipal Education Commission [22019821001]; Cross-Disciplinary Science Foundation from Beijing Institute of Petrochemical Technology [BIPTCSF-2023016]; Beijing College Students' Scientific Research and Entrepreneurship Action Plan [2024J00011, 2024J00028]; Beijing Institute of Petrochemical Technology</t>
  </si>
  <si>
    <t>Municipal Education Commission; Cross-Disciplinary Science Foundation from Beijing Institute of Petrochemical Technology; Beijing College Students' Scientific Research and Entrepreneurship Action Plan; Beijing Institute of Petrochemical Technology</t>
  </si>
  <si>
    <t>This work was supported by National Key Research and Development Program of China (2021ZD0140409) , Independent Research Project of Medical Engineering Laboratory of Chinese People's Liberation Army (PLA) General Hospital (2022SYSZZKY28) , Youth Independent Innovation Science Fund Project of Chinese PLA General Hospital (22QNFC139) , the fund of the Beijing Municipal Education Commission (22019821001) , Cross-Disciplinary Science Foundation from Beijing Institute of Petrochemical Technology (BIPTCSF-2023016) , and the funding from Beijing College Students' Scientific Research and Entrepreneurship Action Plan (2024J00011 and 2024J00028) . We appreciate the contributions from all participants: staff from Chinese PLA General Hospital, Dataa Robotics Co, Ltd, and Beijing Institute of Petrochemical Technology. We did not use generative artificial intelligence in generating paper content.r Municipal Education Commission (22019821001) , Cross-Disciplinary Science Foundation from Beijing Institute of Petrochemical Technology (BIPTCSF-2023016) , and the funding from Beijing College Students' Scientific Research and Entrepreneurship Action Plan (2024J00011 and 2024J00028) . We appreciate the contributions from all participants: staff from Chinese PLA General Hospital, Dataa Robotics Co, Ltd, and Beijing Institute of Petrochemical Technology. We did not use generative artificial intelligence in generating paper content.</t>
  </si>
  <si>
    <t>[Wang, Anan; Dong, Jing; He, Kunlun; Li, Tao] Chinese Peoples Liberat Army Gen Hosp, Dept Med Innovat Res, 28 Fuxing Road,Wanshou Rd, Beijing, Peoples R China; [Wu, Yunong; Zhang, Fazhan; Zhang, Zhanchao; Pu, Dong; Ma, Shikui] Dataa Robot Co Ltd, Beijing, Peoples R China; [Ji, Xiaojian; Hu, Jiawen; Li, Kunpeng] Chinese Peoples Liberat Army Gen Hosp, Med Ctr 1, Dept Rheumatol &amp; Immunol, Beijing, Peoples R China; [Wang, Xiangyang; Tang, Lulu; Liu, Qiang; Teng, Da] Beijing Inst Petrochem Technol, Beijing, Peoples R China</t>
  </si>
  <si>
    <t>Chinese People's Liberation Army General Hospital; Chinese People's Liberation Army General Hospital; Beijing Institute of Petrochemical Technology</t>
  </si>
  <si>
    <t>Assessing and Optimizing Large Language Models on Spondyloarthritis Multi-Choice Question Answering: Protocol for Enhancement and Assessment</t>
  </si>
  <si>
    <t>JMIR RESEARCH PROTOCOLS</t>
  </si>
  <si>
    <t>spondyloarthritis; benchmark; large language model; artificial intelligence; AI; AI chatbot; AI-assistant diagnosis</t>
  </si>
  <si>
    <t>Wang, Anan/LIA-9220-2024; He, Kunlun/IXN-1108-2023; Liu, Qiang/HLG-1935-2023</t>
  </si>
  <si>
    <t>Ji, Xiaojian/0000-0003-4753-191X; Ma, Shikui/0000-0002-8340-9762; Hu, Jiawen/0000-0001-8286-0394; Tang, Lulu/0009-0003-7892-5791; Wang, Anan/0009-0005-2325-2918; Wu, Yunong/0000-0001-7079-3171; pu, dong/0000-0001-8457-2505; Ma, Shikui/0009-0005-1635-7893</t>
  </si>
  <si>
    <t>1929-0748</t>
  </si>
  <si>
    <t>JMIR RES PROTOC</t>
  </si>
  <si>
    <t>JMIR RES. Protoc.</t>
  </si>
  <si>
    <t>e57001</t>
  </si>
  <si>
    <t>10.2196/57001</t>
  </si>
  <si>
    <t>http://dx.doi.org/10.2196/57001</t>
  </si>
  <si>
    <t>Health Care Sciences &amp; Services; Public, Environmental &amp; Occupational Health</t>
  </si>
  <si>
    <t>TD9O3</t>
  </si>
  <si>
    <t>38788208</t>
  </si>
  <si>
    <t>WOS:001239443600003</t>
  </si>
  <si>
    <t>Ossowska, A; Kusiak, A; Camlet, A; Swietlik, D</t>
  </si>
  <si>
    <t>Background/Objectives: Periodontitis is a highly prevalent chronic disease requiring accurate diagnosis for effective treatment planning. Artificial intelligence (AI) has emerged as a potential tool to support clinical decision-making. This study aimed to compare the diagnostic performance and classification error patterns of a large language model (LLM) and a neural network (NN) in periodontitis classification according to the current staging and grading system. Methods: This retrospective study included 110 patients with periodontal disease. Clinical and demographic variables (age, sex, smoking status, number of teeth, API, BOP, PPD, and CAL) were analyzed. Reference diagnoses were established by two experts. Cases were evaluated using an LLM and a neural network. Model performance was assessed using accuracy, confusion matrices, and Cohen's kappa coefficient, along with error analysis. Results: The LLM achieved 62% accuracy for stage and 63% for grade classification (kappa = 0.48). The neural network showed higher performance, with 85% accuracy for stage and 79% for grade (kappa = 0.79 and kappa = 0.67, respectively). The LLM more often underestimated disease severity, whereas the neural network tended to overestimate progression. Differences between models were statistically significant (p &lt; 0.0001). Conclusions: In this dataset and classification task, the task-specific neural network demonstrated higher diagnostic performance than the evaluated large language model. However, the findings should be interpreted in light of the fundamentally different training paradigms and intended applications of these AI systems. Further research is required to optimize and validate AI-based approaches for clinical use.</t>
  </si>
  <si>
    <t>Ossowska, Agata; Kusiak, Aida; Camlet, Albert; Swietlik, Dariusz</t>
  </si>
  <si>
    <t>Swietlik, D (corresponding author), Med Univ Gdansk, Dept Biostat &amp; Neural Networks, PL-80210 Gdansk, Poland.</t>
  </si>
  <si>
    <t>dariusz.swietlik@gumed.edu.pl; acamlet@gumed.edu.pl; aida.kusiak@gumed.edu.pl; agata.ossowska@gumed.edu.pl</t>
  </si>
  <si>
    <t>This research received no external funding.</t>
  </si>
  <si>
    <t>[Ossowska, Agata; Kusiak, Aida; Camlet, Albert] Med Univ Gdansk, Dept Periodontol &amp; Oral Mucosa Dis, PL-80200 Gdansk, Poland; [Swietlik, Dariusz] Med Univ Gdansk, Dept Biostat &amp; Neural Networks, PL-80210 Gdansk, Poland</t>
  </si>
  <si>
    <t>Fahrenheit Universities; Medical University Gdansk; Fahrenheit Universities; Medical University Gdansk</t>
  </si>
  <si>
    <t>Diagnostic Performance and Error Patterns of a Large Language Model and Neural Network in Periodontitis Classification: A Comparative Study</t>
  </si>
  <si>
    <t>periodontitis; artificial intelligence; neural networks; large language models; disease classification; diagnostics; diagnostic errors</t>
  </si>
  <si>
    <t>PERI-IMPLANT DISEASES; 2017 WORLD WORKSHOP; CONSENSUS REPORT</t>
  </si>
  <si>
    <t>/Y-9420-2019; Świetlik, Dariusz/AHA-8011-2022</t>
  </si>
  <si>
    <t>JUN 22 2026</t>
  </si>
  <si>
    <t>4837</t>
  </si>
  <si>
    <t>10.3390/jcm15124837</t>
  </si>
  <si>
    <t>http://dx.doi.org/10.3390/jcm15124837</t>
  </si>
  <si>
    <t>KD0MW</t>
  </si>
  <si>
    <t>42356005</t>
  </si>
  <si>
    <t>WOS:001804060700001</t>
  </si>
  <si>
    <t>Robaian, A; Hassanein, FEA; Hassan, MT; Alqahtani, AS; Abou-Bakr, A</t>
  </si>
  <si>
    <t>Background: Oral lichen planus (OLP), oral lichenoid lesions (OLL), and squamous cell carcinoma on a lichenoid background (SCC-over-LP/LLP) overlap clinically, delaying malignant transformation recognition. Objective: To evaluate a multimodal large language model (ChatGPT-5) against oral medicine (OM) specialists for tripartite classification (OLP/OLL/SCC-over-LP/LLP) and malignant-risk flagging. Methods: Cross-sectional, paired diagnostic accuracy study adhering to STARD/STARD-AI. Retrospective, anonymized cases (n = 262; OLP = 100, OLL = 100, SCC-over-LP/LLP = 62) were independently evaluated by ChatGPT-5 and a comparator panel of board-certified OM specialists using identical clinical histories and intraoral photographs (no histopathology provided to either). A separate reference standard panel (three OM experts) established the diagnosis using full clinical data and histopathology prior to index testing. Primary outcome: paired accuracy (McNemar). Secondary: certainty (1-5), management agreement (Gwet's AC1), and recognition of malignant red-flag features. Results: Overall accuracy was comparable (84.7% ChatGPT-5 vs 85.5% OM specialists; McNemar P = .856, Cohen's h = 0.03). Sensitivity was high for OLP 0.99 and SCC-over-LP/LLP 0.85; OLL sensitivity 0.70 with specificity 1.00. Biopsy/referral agreement was near-perfect (AC1 = 0.91). Malignant-risk features were correctly identified in 88% of SCC-over-LP/LLP cases by ChatGPT-5 vs 92% by OM specialists (P = .41). Conclusions: A multimodal large language model can reach expert-level accuracy for OLP/ OLL/SCC-over-LP/LLP and reliably flag malignant transformation risk, supporting its role as an adjunctive decision-support tool in OM. (c) 2025 The Authors. Published by Elsevier Inc. on behalf of FDI World Dental Federation. This is an open access article under the CC BY-NC-ND license (http://creativecommons.org/licenses/by-nc-nd/4.0/)</t>
  </si>
  <si>
    <t>Robaian, Ali; Hassanein, Fatma E. A.; Hassan, Mohamed Talha; Alqahtani, Abdullah S.; Abou-Bakr, Asmaa</t>
  </si>
  <si>
    <t>Hassanein, FEA (corresponding author), King Salman Int Univ, Fac Dent, Dept Oral Med Periodontol &amp; Oral Diag, El Tur 11371, South Sinai, Egypt.</t>
  </si>
  <si>
    <t>fatma.hassanein@ksiu.edu.eg</t>
  </si>
  <si>
    <t>[Robaian, Ali] Prince Sattam Bin Abdulaziz Univ, Coll Dent, Conservat Dent Sci Dept, Al Kharj, Saudi Arabia; [Hassanein, Fatma E. A.] King Salman Int Univ, Fac Dent, Dept Oral Med Periodontol &amp; Oral Diag, El Tor, Egypt; [Hassan, Mohamed Talha] Univ Lahore, Oral Maxillofacial Pathol, Lahore, Pakistan; [Alqahtani, Abdullah S.] Prince Sattam Bin Abdulaziz Univ, Coll Dent, Prevent Dent Sci, Al Kharj, Saudi Arabia; [Abou-Bakr, Asmaa] Galala Univ, Fac Dent, Oral Med &amp; Periodontol, Suez, Egypt</t>
  </si>
  <si>
    <t>Prince Sattam Bin Abdulaziz University; King Salman International University; University of Lahore; Prince Sattam Bin Abdulaziz University; Galala University</t>
  </si>
  <si>
    <t>A Multimodal Large Language Model Framework for Clinical Subtyping and Malignant Transformation Risk Prediction in Oral Lichen Planus: A Paired Comparison With Expert Clinicians</t>
  </si>
  <si>
    <t>Artificial intelligence; Large language model; Oral lichen planus; Oral lichenoid lesion; Squamous cell carcinoma; Diagnostic accuracy</t>
  </si>
  <si>
    <t>PERFORMANCE; LESIONS</t>
  </si>
  <si>
    <t>Alqahtani, Abdullah S/GQP-2732-2022; Hassanein, Fatma/NRY-4900-2025; Alqahtani, Abdullah S/GRX-4829-2022</t>
  </si>
  <si>
    <t>, Talha/0000-0002-1618-7194; Alqahtani, Abdullah S/0000-0003-0474-7067; Hassanein, Fatma El-Sayed Ahmed/0009-0000-8010-9265; Alqahtani, Abdullah S/0000-0003-0474-7067</t>
  </si>
  <si>
    <t>76</t>
  </si>
  <si>
    <t>109357</t>
  </si>
  <si>
    <t>10.1016/j.identj.2025.109357</t>
  </si>
  <si>
    <t>http://dx.doi.org/10.1016/j.identj.2025.109357</t>
  </si>
  <si>
    <t>AW8YO</t>
  </si>
  <si>
    <t>41477929</t>
  </si>
  <si>
    <t>WOS:001658687900001</t>
  </si>
  <si>
    <t>Patil, A; Gerstl, JVE; Choi, J; Smith, T; Huang, KT</t>
  </si>
  <si>
    <t>Objective: Online crowdfunding, commonly used to cover healthcare costs for vulnerable populations, is directly linked to health disparities and gaps in social safety-net systems. The nationwide impact of crowdfunding on neurosurgery remains unclear. We aimed to characterize the funds raised, success rate, geographic distribution, and most frequent conditions for neurosurgery-related crowdfunding campaigns. Methods: We obtained neurosurgical campaigns from the largest crowdfunding platform, GoFundMe (May 2010-December 2020). A large language model (GPT-4) was used to classify neurosurgical subspecialty and extract the main diagnosis. We used multivariable regression to investigate the association between the subspecialty and total funds raised, adjusting for social media characteristics and campaign characteristics (description length and campaign duration). Results: 12,998 neurosurgical campaigns were included for final analysis. $514 million were sought for neurosurgical conditions, with $93 million raised (total funding percentage: 18.1 %). Crowdfunding campaigns requested on average $39,501.6 f $1,244,929.7, raised $7,176.3 f $12,380.5, and lasted 2.6 years f 1.9 years (mean f SD). In multivariable analysis, factors associated with increased funding include area of neurosurgical disease, campaign description length, and number of likes on social media. GPT-4 achieved an overall accuracy of 95 % on automated diagnosis extraction when compared to expert human reviewers on a 200-campaign sample with large (69x) speed increases. Conclusions: We present the first analysis of crowdfunding for neurosurgery, an understudied and important funding source in the modern era. Funding success is significantly associated with a number of campaign-specific determinants. Moreover, we validate scalable large language models inference on complex textual medical information.</t>
  </si>
  <si>
    <t>Patil, Advait; Gerstl, Jakob V. E.; Choi, Jeff; Smith, Timothy; Huang, Kevin T.</t>
  </si>
  <si>
    <t>Patil, A (corresponding author), Harvard Med Sch, Boston, MA 02115 USA.</t>
  </si>
  <si>
    <t>advaitpatil@hms.harvard.edu</t>
  </si>
  <si>
    <t>[Patil, Advait; Gerstl, Jakob V. E.; Smith, Timothy; Huang, Kevin T.] Harvard Med Sch, Boston, MA 02115 USA; [Patil, Advait; Gerstl, Jakob V. E.; Smith, Timothy; Huang, Kevin T.] Mass Gen Brigham, Dept Neurosurg, Boston, MA USA; [Choi, Jeff] Stanford Univ, Dept Surg, Div Gen Surg, Stanford, CA USA</t>
  </si>
  <si>
    <t>Harvard University; Harvard Medical School; Mass General Brigham; Stanford University; Stanford Medicine</t>
  </si>
  <si>
    <t>National trends in crowdfunding for neurosurgery: Scalable natural language processing of publicly available data using a large language model</t>
  </si>
  <si>
    <t>JOURNAL OF CLINICAL NEUROSCIENCE</t>
  </si>
  <si>
    <t>Medical crowdfunding; Machine learning; Artificial intelligence; Socioeconomic; Large language models; GPT-4</t>
  </si>
  <si>
    <t>CAMPAIGNS</t>
  </si>
  <si>
    <t>Smith, Timothy/N-2481-2014</t>
  </si>
  <si>
    <t>Choi, Jeff/0000-0003-1639-8781</t>
  </si>
  <si>
    <t>0967-5868</t>
  </si>
  <si>
    <t>1532-2653</t>
  </si>
  <si>
    <t>J CLIN NEUROSCI</t>
  </si>
  <si>
    <t>J. Clin. Neurosci.</t>
  </si>
  <si>
    <t>139</t>
  </si>
  <si>
    <t>111477</t>
  </si>
  <si>
    <t>10.1016/j.jocn.2025.111477</t>
  </si>
  <si>
    <t>http://dx.doi.org/10.1016/j.jocn.2025.111477</t>
  </si>
  <si>
    <t>5JB0V</t>
  </si>
  <si>
    <t>40651175</t>
  </si>
  <si>
    <t>WOS:001536863300001</t>
  </si>
  <si>
    <t>Chu, YC; Chen, YC; Hsu, CY; Kuo, CT; Cheng, YF; Lin, KH; Liao, WH</t>
  </si>
  <si>
    <t>Background Otitis media remains a significant global health concern, particularly in resource-limited settings where timely diagnosis is challenging. Artificial intelligence (AI) offers promising solutions to enhance diagnostic accuracy in mobile health applications.Objective This study introduces a hybrid AI framework that integrates convolutional neural networks (CNNs) for image classification with large language models (LLMs) for clinical reasoning, enabling real-time otoscopic diagnosis.Methods We developed a dual-path system combining CNN-based feature extraction with LLM-supported interpretation. The framework was optimized for mobile deployment, with lightweight models operating on-device and advanced reasoning performed via secure cloud APIs. A dataset of 10,465 otoendoscopic images (expanded from 2820 original clinical images through data augmentation) across 10 middle-ear conditions was used for training and validation. Diagnostic performance was benchmarked against clinicians of varying expertise.Results The hybrid CNN-LLM system achieved an overall diagnostic accuracy of 97.6%, demonstrating the synergistic benefit of combining CNN-driven visual analysis with LLM-based clinical reasoning. The system delivered sub-200 ms feedback and achieved specialist-level performance in identifying common ear pathologies.Conclusions This hybrid AI framework substantially improves diagnostic precision and responsiveness in otoscopic evaluation. Its mobile-friendly design supports scalable deployment in telemedicine and primary care, offering a practical solution to enhance ear disease diagnosis in underserved regions.</t>
  </si>
  <si>
    <t>Chu, Yuan-Chia; Chen, Yen-Chi; Hsu, Chien-Yeh; Kuo, Chen-Tsung; Cheng, Yen-Fu; Lin, Kuan-Hsun; Liao, Wen-Huei</t>
  </si>
  <si>
    <t>Lin, KH (corresponding author), Taipei Vet Gen Hosp, Dept Informat Management, 201,Sec 2,Shipai Rd, Taipei 112, Taiwan.; Liao, WH (corresponding author), Taipei Vet Gen Hosp, Dept Otolaryngol Head &amp; Neck Surg, 201,Sec 2,Shipai Rd, Taipei 112, Taiwan.</t>
  </si>
  <si>
    <t>whliao@vghtpe.gov.tw; a61392003@gmail.com</t>
  </si>
  <si>
    <t>Taipei Veterans General Hospital [V114C-149, V114E-006-2]; National Science and Technology Council [NSTC113-2320-B-075-010, NSTC114-2320-B075-009]</t>
  </si>
  <si>
    <t>Taipei Veterans General Hospital (Taipei Veterans General Hospital); National Science and Technology Council</t>
  </si>
  <si>
    <t>The authors disclosed receipt of the following financial support for the research, authorship, and/or publication of this article: The authors express their sincere gratitude to the National Science and Technology Council for their substantial support through grants NSTC113-2320-B-075-010 and NSTC114-2320-B075-009. Additional funding was provided by the Taipei Veterans General Hospital through grants V114C-149 and V114E-006-2. The funding organizations provided financial support exclusively and had no involvement in the study design, data collection, analysis, interpretation of results, manuscript preparation, or the decision to publish. All authors maintained complete independence in research conduct and publication decisions.</t>
  </si>
  <si>
    <t>[Chu, Yuan-Chia; Kuo, Chen-Tsung; Lin, Kuan-Hsun] Taipei Vet Gen Hosp, Dept Informat Management, 201,Sec 2,Shipai Rd, Taipei 112, Taiwan; [Chu, Yuan-Chia] Taipei Vet Gen Hosp, Big Data Canter, Taipei, Taiwan; [Chu, Yuan-Chia; Hsu, Chien-Yeh; Kuo, Chen-Tsung; Lin, Kuan-Hsun] Natl Taipei Univ Nursing &amp; Hlth Sci, Dept Informat Management, Taipei, Taiwan; [Chen, Yen-Chi] Kaohsiung Municipal Gangshan Hosp, Outsourced Show Chwan Mem Hosp, Dept Otolaryngol Head &amp; Neck Surg, Kaohsiung, Taiwan; [Chen, Yen-Chi; Cheng, Yen-Fu] Natl Yang Ming Chiao Tung Univ, Inst Brain Sci, Taipei, Taiwan; [Hsu, Chien-Yeh] Taipei Med Univ, Coll Publ Hlth, Master Program Global Hlth &amp; Hlth Secur, Taipei, Taiwan; [Cheng, Yen-Fu; Liao, Wen-Huei] Taipei Vet Gen Hosp, Dept Otolaryngol Head &amp; Neck Surg, 201,Sec 2,Shipai Rd, Taipei 112, Taiwan; [Cheng, Yen-Fu; Liao, Wen-Huei] Natl Yang Ming Chiao Tung Univ, Fac Med, Taipei, Taiwan; [Cheng, Yen-Fu] Taipei Vet Gen Hosp, Dept Med Res, Taipei, Taiwan</t>
  </si>
  <si>
    <t>Taipei Veterans General Hospital; Taipei Veterans General Hospital; National Taipei University of Nursing &amp; Health Science (NTUNHS); National Yang Ming Chiao Tung University; Taipei Medical University; Taipei Veterans General Hospital; National Yang Ming Chiao Tung University; Taipei Veterans General Hospital</t>
  </si>
  <si>
    <t>Hybrid artificial intelligence frameworks for otoscopic diagnosis: Integrating convolutional neural networks and large language models toward real-time mobile health</t>
  </si>
  <si>
    <t>Artificial intelligence; deep learning; large language models; vision large language models; edge computing; otoscopic diagnosis; mobile health; clinical decision support; telemedicine</t>
  </si>
  <si>
    <t>Lin, Kuan-Hsun/NIU-5621-2025; Yuan-Chia, Chu/JGM-8955-2023</t>
  </si>
  <si>
    <t>Lin, Kuan-Hsun/0009-0002-8058-073X</t>
  </si>
  <si>
    <t>20552076251395449</t>
  </si>
  <si>
    <t>10.1177/20552076251395449</t>
  </si>
  <si>
    <t>http://dx.doi.org/10.1177/20552076251395449</t>
  </si>
  <si>
    <t>A1337</t>
  </si>
  <si>
    <t>41278373</t>
  </si>
  <si>
    <t>WOS:001619215800001</t>
  </si>
  <si>
    <t>Guo, TY; Ma, X</t>
  </si>
  <si>
    <t>IntroductionLarge-language models (LLMs) have demonstrated increasing potential in healthcare, including applications in clinical information retrieval, medical reasoning, and decision support. Autoimmune liver diseases (AILDs), including autoimmune hepatitis, primary biliary cholangitis, primary sclerosing cholangitis, and IgG4-related liver disease, are rare and heterogeneous conditions that often present with nonspecific features and require specialized expertise for accurate diagnosis and management. In resource-limited settings, limited access to hepatology subspecialists may contribute to delayed diagnoses and suboptimal care. Although reasoning-oriented LLMs are designed to support structured clinical inference, their performance on AILD-related tasks has not been systematically evaluated.AimTo evaluate and compare the accuracy, safety, readability, comprehensiveness, and diagnostic performance of six large language models for addressing AILD-related clinical questions and real-world cases.MethodWe developed 26 clinically relevant questions spanning the key domains of AILDs, including pathogenesis, risk factors, clinical presentation, diagnosis, treatment, and prognosis. Six publicly available LLMs (o1-preview, Claude-3.5-Sonnet, GPT-4o, GPT-4o-mini, GPT-3.5-Turbo, and LLaMA-3.1-405B) generated responses that were independently evaluated by 11 board-certified hepatologists with more than 10 years of specialty experience. Accuracy, safety, readability, comprehensiveness, and clinical helpfulness were assessed by using predefined rating scales. Diagnostic performance was further evaluated in three models (o1-preview, GPT-4o, and GPT-3.5-Turbo) using 21 confirmed real-world AILD cases, with accuracy determined by comparison with gold-standard clinical diagnoses.ResultsAmong the six models, the o1-preview demonstrated the highest overall performance. It achieved the greatest proportion of accurate responses (78.3%), the highest mean safety score, and the most favorable readability profile, despite generating the longest responses. Comprehensiveness and helpfulness ratings were also highest for o1-preview. In diagnostic testing, the o1-preview achieved an overall accuracy of 81.0%, outperforming GPT-4o and GPT-3.5-Turbo, particularly in single-entity AILD diagnoses. All models demonstrated reduced diagnostic accuracy for autoimmune hepatitis-primary biliary cholangitis overlap syndrome.ConclusionReasoning-based LLMs, particularly o1-preview, demonstrate potential value in supporting clinical information delivery and diagnostic reasoning for AILDs, especially in resource-limited settings. However, LLM outputs should serve as adjunctive support rather than substitutes for specialist judgment. Further domain-specific refinement and multicenter validation are necessary to ensure safe and effective integration into hepatology and clinical pharmacy practices.</t>
  </si>
  <si>
    <t>Guo, Tengyu; Ma, Xiong</t>
  </si>
  <si>
    <t>Ma, X (corresponding author), Shanghai Jiao Tong Univ, Shanghai Inst Digest Dis, Renji Hosp, Shanghai 200001, Peoples R China.</t>
  </si>
  <si>
    <t>maxiongmd@hotmail.com</t>
  </si>
  <si>
    <t>[Guo, Tengyu; Ma, Xiong] Shanghai Jiao Tong Univ, Shanghai Inst Digest Dis, Renji Hosp, Shanghai 200001, Peoples R China</t>
  </si>
  <si>
    <t>Shanghai Jiao Tong University</t>
  </si>
  <si>
    <t>Evaluation of large language models in supporting autoimmune liver disease diagnosis and clinical decision-making: advantages of reasoning-based models</t>
  </si>
  <si>
    <t>INTERNATIONAL JOURNAL OF CLINICAL PHARMACY</t>
  </si>
  <si>
    <t>Autoimmune liver disease; Claude-3.5-Sonnet; GPT-4o; Large language models; LLaMA-3.1-405B; o1-preview; Reasoning models</t>
  </si>
  <si>
    <t>CIRRHOSIS</t>
  </si>
  <si>
    <t>2210-7703</t>
  </si>
  <si>
    <t>2210-7711</t>
  </si>
  <si>
    <t>INT J CLIN PHARM-NET</t>
  </si>
  <si>
    <t>Int. J. Clin. Phar,.</t>
  </si>
  <si>
    <t>1442</t>
  </si>
  <si>
    <t>1451</t>
  </si>
  <si>
    <t>10.1007/s11096-026-02122-2</t>
  </si>
  <si>
    <t>http://dx.doi.org/10.1007/s11096-026-02122-2</t>
  </si>
  <si>
    <t>Pharmacology &amp; Pharmacy</t>
  </si>
  <si>
    <t>MG2RD</t>
  </si>
  <si>
    <t>41879927</t>
  </si>
  <si>
    <t>WOS:001722992900001</t>
  </si>
  <si>
    <t>Simunovic, I; Rezic, K; Franic, N; Boduljak, G; Batinic, M; Jukic, I; Jelovina, I; Biocic, J; Pogorelic, Z; Markic, J</t>
  </si>
  <si>
    <t>Background Serious Bacterial Infection (SBI) in neonates and young infants often exhibit nonspecific symptoms and clinical signs in the early stages of illness, making early diagnosis challenging. Timely recognition and appropriate treatment are essential to prevent adverse outcomes. While several clinical algorithms are widely used for SBI risk stratification, these tools have limitations, particularly low positive predictive value.This study evaluates the diagnostic accuracy of general-purpose large language models (LLMs) in detecting SBI in neonates and infants under 90 days of age admitted to the emergency department. Our objective is to improve diagnostic precision, reduce unnecessary interventions, and enhance patient outcomes. LLM performance was compared against traditional machine learning models, state-of-the-art rule-based methods, and an ensemble of physicians to assess their potential as clinical decision-support tools in scenarios of diagnostic uncertainty.&lt;br /&gt; Results On a dataset of 742 patients, LLMs demonstrated diagnostic accuracy comparable to traditional machine learning models and state-of-the-art rule-based methods.The optimized CatBoost (class-weighted) model achieved the best overall performance, with a PPV of 0.70, NPV of 0.90, sensitivity of 0.54, specificity of 0.95, F1-score of 0.60, and MCC of 0.54, outperforming the baseline CatBoost model and achieving results on par with large language models (LLMs) and physicians. When optimally prompted, LLMs performed on par with ensembles of experienced clinicians. Additionally, LLMs exhibited effective medical reasoning and provided credible diagnostic predictions, particularly valuable in cases of clinician uncertainty.The models achieved balanced performance across multiple evaluation metrics, including PPV, NPV, sensitivity, specificity, F1-score, and Matthew's correlation coefficient (MCC). ChatGPT-4o achieved a sensitivity of 0.65 and specificity of 0.83, with an MCC of 0.41. Claude Sonnet 3.5 reached a sensitivity of 0.60 and specificity of 0.86, MCC 0.42 and Google Gemini 2.0 Flash had lower sensitivity (0.43) but the highest specificity (0.94), with an MCC of 0.43. In comparison, the best-performing individual pediatrician achieved a higher sensitivity (0.74) but lower specificity (0.68), with an MCC of 0.33, while the pediatricians' majority vote yielded sensitivity of 0.69, specificity of 0.81, and MCC of 0.43 - comparable to the top-performing LLMs. Conclusions These Artificial intelligence tools offer a promising direction for SBI risk prediction, achieving performance comparable to that of experienced pediatric specialists, while maintaining simplicity of use/datapreprocessing for potential real-world applications.</t>
  </si>
  <si>
    <t>Simunovic, Ivan; Rezic, Klara; Franic, Nikola; Boduljak, Gabrijel; Batinic, Marijan; Jukic, Ivana; Jelovina, Ivana; Biocic, Jela; Pogorelic, Zenon; Markic, Josko</t>
  </si>
  <si>
    <t>Pogorelic, Z; Markic, J (corresponding author), Univ Split, Sch Med, Split 21000, Croatia.; Markic, J (corresponding author), Univ Hosp Split, Dept Pediat, Split 21000, Croatia.; Pogorelic, Z (corresponding author), Univ Hosp Split, Dept Pediat Surg, Split 21000, Croatia.</t>
  </si>
  <si>
    <t>jmarkic@mefst.hr; zenon.pogorelic@mefst.hr</t>
  </si>
  <si>
    <t>[Simunovic, Ivan; Rezic, Klara; Biocic, Jela; Pogorelic, Zenon; Markic, Josko] Univ Split, Sch Med, Split 21000, Croatia; [Batinic, Marijan; Jukic, Ivana; Jelovina, Ivana; Biocic, Jela; Markic, Josko] Univ Hosp Split, Dept Pediat, Split 21000, Croatia; [Franic, Nikola] Univ Split, Fac Elect Engn Mech Engn &amp; Naval Architecture, Split 21000, Croatia; [Boduljak, Gabrijel] Univ Oxford, Dept Comp Sci, Oxford, England; [Pogorelic, Zenon] Univ Hosp Split, Dept Pediat Surg, Split 21000, Croatia</t>
  </si>
  <si>
    <t>University of Split; University of Split; University of Split; University of Oxford; University of Split</t>
  </si>
  <si>
    <t>Can general purpose large language models assist pediatricians in predicting infants with serious bacterial infection?</t>
  </si>
  <si>
    <t>Large language models; Machine learning; Serious bacterial infection; Pediatrics; Infectology; Diagnostics; Prediction</t>
  </si>
  <si>
    <t>FEBRILE INFANTS; FEVER; CHILDREN; SCORE; IDENTIFICATION; MANAGEMENT; FREQUENCY; RISK</t>
  </si>
  <si>
    <t>Markic, Josko/C-2044-2008; Batinić, Marijan/IWU-8072-2023; Pogorelic, Zenon/G-1250-2017; Simunovic, Ivan/MEO-6570-2025</t>
  </si>
  <si>
    <t>Markic, Josko/0000-0001-9469-9278; Franić, Nikola/0009-0006-3171-7719</t>
  </si>
  <si>
    <t>NOV 14 2025</t>
  </si>
  <si>
    <t>423</t>
  </si>
  <si>
    <t>10.1186/s12911-025-03258-3</t>
  </si>
  <si>
    <t>http://dx.doi.org/10.1186/s12911-025-03258-3</t>
  </si>
  <si>
    <t>9VZ3D</t>
  </si>
  <si>
    <t>41239388</t>
  </si>
  <si>
    <t>WOS:001616344200001</t>
  </si>
  <si>
    <t>Chen, YJ; Li, JY; Zhang, JS; Dong, BT; Zhang, Y; Wu, XM; Liu, PZ; Lyu, GR</t>
  </si>
  <si>
    <t>Objective To construct a hybrid artificial intelligence (AI) pipeline that combines a convolutional neural network (CNN) for image recognition with a multimodal large language model (MLLM) for textual interpretation, and to evaluate its application value in identifying liver ultrasound standard planes (LUSPs). Materials and methods This multicenter study included 16,782 images in the standard dataset (training: 13508; testing: 3274), an internal validation set (3431 images), and an external validation set (5253 images). Using expert consensus as the reference standard, diagnostic performance was compared between students, junior radiologists, intermediate radiologists, senior radiologists, the AI model, and the same readers with AI assistance. Results The CNN component of the system recognized 13 LUSPs and nonstandard planes (N-SPs) with an accuracy of 88.8% in the test set. In the validation set, the area under the receiver operating curve, sensitivity, specificity, positive predictive value, negative predictive value, accuracy, and kappa value of the AI model in identifying liver ultrasound planes were similar to those of senior radiologists (all p &gt; 0.05). Except for the positive predictive value, the AI model outperformed students, junior radiologists, and intermediate radiologists in other diagnostic performance and these metrics also showed statistically significant improvement with hybrid AI system assistance under the conditions of this experimental setting (all p &lt; 0.05). The model demonstrated robust generalizability across multiple centers, ultrasound devices, and diverse clinical scenarios. Conclusion This hybrid AI system, combining CNN-based image identification with MLLM-generated interpretable feedback, demonstrates potential as an effective auxiliary tool for image quality control and standardized training, warranting further prospective validation.</t>
  </si>
  <si>
    <t>Chen, Yongjian; Li, Jingyun; Zhang, Jiansong; Dong, BIngtian; Zhang, Ying; Wu, Xiuming; Liu, Peizhong; Lyu, Guo-rong</t>
  </si>
  <si>
    <t>Lyu, GR (corresponding author), Fujan Med Univ, Affiliated Hosp 2, Dept Ultrasound, Quanzhou, Peoples R China.; Lyu, GR (corresponding author), Quanzhou Med Coll, Quanzhou, Peoples R China.</t>
  </si>
  <si>
    <t>dongbingtian@foxmail.com; 1213360582@qq.com; wxming1981@163.com; pzliu@hqu.edu.cn; 404518267@qq.com; lgr_feus@sina.com; 962106486@qq.com; 554028565@qq.com</t>
  </si>
  <si>
    <t>Fujian Provincial Science and Technology Innovation Joint Funding Program [2025Y9419]; the Special Fund Project for Doctoral Supervisors within the Hospital of the Second Affiliated Hospital of Fujian Medical University [2024BD1103]; Natural Science Foundation of Fujian Province [2026J001688]</t>
  </si>
  <si>
    <t>Fujian Provincial Science and Technology Innovation Joint Funding Program; the Special Fund Project for Doctoral Supervisors within the Hospital of the Second Affiliated Hospital of Fujian Medical University; Natural Science Foundation of Fujian Province (Natural Science Foundation of Fujian Province)</t>
  </si>
  <si>
    <t>We are grateful for the support of the Department of Hepatological Surgery Department of the Second Affiliated Hospital of Fujian Medical University.</t>
  </si>
  <si>
    <t>[Chen, Yongjian; Lyu, Guo-rong] Fujan Med Univ, Affiliated Hosp 2, Dept Ultrasound, Quanzhou, Peoples R China; [Li, Jingyun; Lyu, Guo-rong] Quanzhou Med Coll, Quanzhou, Peoples R China; [Zhang, Jiansong] Shenzhen Univ, Sch Comp &amp; Software, Shenzhen, Peoples R China; [Dong, BIngtian] Anhui Med Univ, Dept Ultrasound, Affiliated Hosp 1, Hefei, Peoples R China; [Zhang, Ying] Air Force Med Univ, Affiliated Hosp 1, Clin Immunol Dept, Xian, Peoples R China; [Wu, Xiuming] Fujian Med Univ, Hosp Quanzhou 1, Dept Ultrasound, Quanzhou, Peoples R China; [Liu, Peizhong] Huaqiao Univ, Coll Engn, Quanzhou, Peoples R China</t>
  </si>
  <si>
    <t>Fujian Medical University; Shenzhen University; Anhui Medical University; Fujian Medical University; Huaqiao University</t>
  </si>
  <si>
    <t>A CNN-based liver ultrasound plane recognition system with multimodal large language model-generated interpretable feedback</t>
  </si>
  <si>
    <t>ABDOMINAL RADIOLOGY</t>
  </si>
  <si>
    <t>Artificial intelligence; Liver ultrasound standard plane; Assisted diagnosis; Deep convolutional neural networks; Multimodal large language model</t>
  </si>
  <si>
    <t>Lyu, Guorong/PDX-1955-2025</t>
  </si>
  <si>
    <t>2366-004X</t>
  </si>
  <si>
    <t>2366-0058</t>
  </si>
  <si>
    <t>ABDOM RADIOL</t>
  </si>
  <si>
    <t>Abdom. Radiol.</t>
  </si>
  <si>
    <t>10.1007/s00261-026-05706-8</t>
  </si>
  <si>
    <t>http://dx.doi.org/10.1007/s00261-026-05706-8</t>
  </si>
  <si>
    <t>LN2BO</t>
  </si>
  <si>
    <t>42484849</t>
  </si>
  <si>
    <t>WOS:001828578200001</t>
  </si>
  <si>
    <t>Khan, ZR; Khan, K; Nayab, M; Akram, MU; Ali, S; Shakoor, HA; Haque, A; Ahmed, M</t>
  </si>
  <si>
    <t>Latest multimodal LLMs, capable of analyzing textual data and images. have potential application in decision support systems in diagnostics. Their performance and clinical reasoning abilities in benign hematology remain underexplored. This study evaluates and compares diagnostic performance and clinical reasoning of 3 LLM in classification of anemia, based on CBC triggers and peripheral blood smears, benchmarked with expert validated cases. A total of 270 LLM generated responses were evaluated for accuracy and clinical reasoning, using real world, expert validated anemia cases. LLMs (Gemini 2.5 Pro, Chat-GPT4o and Claude Opus 4 Pro) were presented with focused prompt, digital image and CBC parameters as multimodal input. LLM accuracy scores and rubric-derived clinical reasoning was calculated. Kruskal-Wallis H test was used to detect significant differences in clinical reasoning across LLMs, followed up with Dunn's Post Hoc Pairwise comparisons where indicated. Correlation between accuracy and clinical reasoning scores was evaluated using Spearman's correlation coefficient. Gemini 2.5 Pro showed the highest accuracy values (54%) among the three LLMs in Overall Accuracy, while Chat GPT 4o scored the lowest (38%). Class-wise accuracies showed Claude Opus Pro 4 (76%) as the most accurate for Iron Deficiency Anemia and Gemini 2.5 (50%) for Hemoglobinopathy. There was a significant difference among LLMs in diagnosis of Hemoglobinopathy (p = 0.016). A significant difference in clinical reasoning scores was noted across LLMs for Iron Deficiency Anemia (H statistic = 6.216, p = 0.0446). Post hoc pairwise comparisons revealed Gemini versus Claude pair to be statistically significant (p = 0.040). A similar observation was made across LLM scores for the Hemoglobinopathy class (H statistic = 6.743, p = 0.0343). Post hoc pairwise comparisons revealed Gemini versus GPT-4o pair to be statistically significant (p = 0.0390) Additionally, Spearman correlation coefficient for accuracy versus clinical reasoning scores demonstrated consistently strong correlations across the three anemia subtypes for Gemini 2.5 Pro and Claude Opus 4. (rho scores between 0.79 and 0.83), with GPT 4o showing modest correlation. While Gemini 2.5 Pro and Claude Opus 4 Pro perform relatively better among the three LLMs, their accuracy and clinical reasoning scores show only partial readiness for integration in Hematology training/teaching and workflows. These values should, however, be viewed as indicative rather than conclusive due to limited dataset. Although the results do provide insight but should be interpreted as preliminary and hypothesis-generating.</t>
  </si>
  <si>
    <t>Khan, Zahra Rashid; Khan, Kamran; Nayab, Maham; Akram, Muhammad Usman; Ali, Sundas; Shakoor, Huma Abdul; Haque, Ayesha; Ahmed, Meeral</t>
  </si>
  <si>
    <t>Ahmed, M (corresponding author), Loyola Univ Chicago, Dept Psychol, Chicago, IL 60660 USA.</t>
  </si>
  <si>
    <t>mahmed33@luc.edu</t>
  </si>
  <si>
    <t>[Khan, Zahra Rashid; Haque, Ayesha] Natl Univ Sci &amp; Technol, NUST Sch Hlth Sci, Islamabad, Pakistan; [Khan, Kamran; Nayab, Maham; Akram, Muhammad Usman] Natl Univ Sci &amp; Technol, Coll Elect &amp; Mech Engn, Rawalpindi, Pakistan; [Ali, Sundas] Pakistan Inst Med Sci PIMS, Islamabad, Pakistan; [Shakoor, Huma Abdul] Atom Energy Canc Hosp, Islamabad, Pakistan; [Ahmed, Meeral] Loyola Univ Chicago, Dept Psychol, Chicago, IL 60660 USA</t>
  </si>
  <si>
    <t>National University of Sciences &amp; Technology - Pakistan; National University of Sciences &amp; Technology - Pakistan; Loyola University Chicago</t>
  </si>
  <si>
    <t>Evaluating Clinical Reasoning and Diagnostic Performance of Multimodal Large Language Models in Benign Hematology-A Comparative Analysis</t>
  </si>
  <si>
    <t>INTERNATIONAL JOURNAL OF IMAGING SYSTEMS AND TECHNOLOGY</t>
  </si>
  <si>
    <t>anemia; artificial intelligence; clinical reasoning; diagnosis; hematology; large language model</t>
  </si>
  <si>
    <t>Khan, Kamran/LMO-1627-2024; Nayab, Maham/LKM-3513-2024</t>
  </si>
  <si>
    <t>Rashid, Zahra/0009-0000-6084-9784</t>
  </si>
  <si>
    <t>0899-9457</t>
  </si>
  <si>
    <t>1098-1098</t>
  </si>
  <si>
    <t>INT J IMAG SYST TECH</t>
  </si>
  <si>
    <t>Int. J. Imaging Syst. Technol.</t>
  </si>
  <si>
    <t>JUL 11 2026</t>
  </si>
  <si>
    <t>e70409</t>
  </si>
  <si>
    <t>10.1002/ima.70409</t>
  </si>
  <si>
    <t>http://dx.doi.org/10.1002/ima.70409</t>
  </si>
  <si>
    <t>Engineering, Electrical &amp; Electronic; Optics; Imaging Science &amp; Photographic Technology</t>
  </si>
  <si>
    <t>Engineering; Optics; Imaging Science &amp; Photographic Technology</t>
  </si>
  <si>
    <t>KV4GV</t>
  </si>
  <si>
    <t>WOS:001816530400001</t>
  </si>
  <si>
    <t>Dennstädt, F; Schmerder, M; Riggenbach, E; Mose, L; Bryjova, K; Bachmann, N; Mackeprang, PH; Ahmadsei, M; Sinovcic, D; Windisch, P; Zwahlen, D; Rogers, S; Riesterer, O; Maffei, M; Gkika, E; Haddad, H; Peeken, J; Putora, PM; Glatzer, M; Putz, F; Hoefler, D; Christ, SM; Filchenko, I; Hastings, J; Gaio, R; Chiang, L; Aebersold, DM; Cihoric, N</t>
  </si>
  <si>
    <t>Background: Large language models (LLMs) hold promisefor supporting clinical tasks, particularly in data-driven and technical disciplines such as radiation oncology. While prior evaluation studies have focused on examination-style settings for evaluating LLMs, their performance in real-lifeclinical scenarios remains unclear. In thefuture, LLMs might be used as general AI assistants to answer questions arising in clinical practice. It is unclear how well a modern LLM, locally executed within the infrastructure of a hospital, would answer such questions compared with clinical experts. Objective: This study aimed to assess the performance of a locally deployed, state-of-the-art medical LLM in answering real-world clinical questions in radiation oncology compared with clinical experts. The aim was to evaluate the overall quality of answers, as well as the potential harmfulness of the answers if used for clinical decision-making. Methods: Physicians from 10 departments of European hospitals collected questions arising in the clinical practice of radiation oncology. Fifty of these questions were answered by 3 senior radiation oncology experts with at least 10 years of work experience, as well as the LLM Llama3-OpenBioLLM-70B (Ankit Pal and Malaikannan Sankarasubbu). In a blinded review, physicians rated the overall answer quality on a 5-point Likert scale (quality), assessed whether an answer might be potentially harmful if used for clinical decision-making (harmfulness), and determined if responses were from an expert or the LLM (recognizability). Comparisons between clinical experts and LLMs were then made for quality, harmfulness, and recognizability. Results: There were no significant differences between the quality of the answers between LLM and clinical experts (mean scores of 3.38 vs 3.63; median 4.00, IQR 3.00-4.00 vs median 3.67, IQR 3.33-4.00; P=.26; Wilcoxon signed rank test). The answers were deemed potentially harmful in 13% of cases for the clinical experts compared with 16% of cases for the LLM (P=.63; Fisher exact test). Physicians correctly identified whether an answer was given by a clinical expert or an LLM in 78% and 72% of cases, respectively. Conclusions: A state-of-the-art medical LLM can answer real-life questions from the clinical practice of radiation oncology similarly well as clinical experts regarding overall quality and potential harmfulness. Such LLMscan already be deployed within the local hospital environment at an affordable cost. While LLMs may not yet be ready for clinical implementation as general AI assistants, the technology continues to improve at a rapid pace. Evaluation studies based on real-life situations are important to better understand the weaknesses and limitations of LLMs in clinical practice. Such studies are also crucial to define when the technology is ready for clinical implementation. Furthermore, education for health care professionalson generative AI is needed to ensure responsible clinical implementation of this transforming technology.</t>
  </si>
  <si>
    <t>Dennstadt, Fabio; Schmerder, Max; Riggenbach, Elena; Mose, Lucas; Bryjova, Katarina; Bachmann, Nicolas; Mackeprang, Paul-Henry; Ahmadsei, Maiwand; Sinovcic, Dubravko; Windisch, Paul; Zwahlen, Daniel; Rogers, Susanne; Riesterer, Oliver; Maffei, Martin; Gkika, Eleni; Haddad, Hathal; Peeken, Jan; Putora, Paul Martin; Glatzer, Markus; Putz, Florian; Hoefler, Daniel; Christ, Sebastian M.; Filchenko, Irina; Hastings, Janna; Gaio, Roberto; Chiang, Lawrence; Aebersold, Daniel M.; Cihoric, Nikola</t>
  </si>
  <si>
    <t>Cihoric, N (corresponding author), Univ Bern, Bern Univ Hosp, Dept Radiat Oncol, Inselspital, Freiburgstr 18, CH-3010 Bern, Switzerland.</t>
  </si>
  <si>
    <t>nikola.cihoric@gmail.com</t>
  </si>
  <si>
    <t>[Dennstadt, Fabio; Schmerder, Max; Riggenbach, Elena; Mose, Lucas; Bryjova, Katarina; Bachmann, Nicolas; Mackeprang, Paul-Henry; Ahmadsei, Maiwand; Peeken, Jan; Putora, Paul Martin; Glatzer, Markus; Putz, Florian; Hoefler, Daniel; Filchenko, Irina; Hastings, Janna; Gaio, Roberto; Chiang, Lawrence; Aebersold, Daniel M.; Cihoric, Nikola] Univ Bern, Bern Univ Hosp, Dept Radiat Oncol, Inselspital, Freiburgstr 18, CH-3010 Bern, Switzerland; [Mose, Lucas; Putz, Florian; Hoefler, Daniel] Univ Hosp Heidelberg, Dept Radiooncol &amp; Radiotherapy, Heidelberg, Germany; [Sinovcic, Dubravko; Windisch, Paul; Zwahlen, Daniel] Cantonal Hosp Winterthur, Dept Radiat Oncol, Winterthur, Switzerland; [Rogers, Susanne; Riesterer, Oliver] Cantonal Hosp Aarau, Radiat Oncol Ctr Mittelland, Aarau, Switzerland; [Maffei, Martin; Filchenko, Irina] Paracelsus Med Univ, Hosp Bolzano, Teaching Hosp, Dept Radiat Oncol, Bolzano, Italy; [Gkika, Eleni; Hastings, Janna] Univ Bonn, Univ Hosp Bonn, Dept Radiat Oncol, Bonn, Germany; [Haddad, Hathal; Hastings, Janna] Univ Hosp Tubingen, Dept Radiat Oncol, Tubingen, Germany; [Peeken, Jan] Tech Univ Munich, Dept Radiat Oncol, Klinikum Rechts Isar, Munich, Germany; [Peeken, Jan] Helmholtz Zentrum, Inst Radiat Med, Dept Radiat Sci, Munich, Germany; [Peeken, Jan] German Canc Consortium, Partner Site Munich, Munich, Germany; [Putora, Paul Martin; Glatzer, Markus] Cantonal Hosp St Gallen, Dept Radiat Oncol, Hlth Ostschweiz HOCH, St Gallen, Switzerland; [Putz, Florian; Hoefler, Daniel] Friedrich Alexander Univ Erlangen Nurnberg, Univ Hosp Erlangen, Dept Radiat Oncol, Erlangen, Germany; [Christ, Sebastian M.] Univ Hosp Zurich, Dept Radiat Oncol, Lausanne, Switzerland; [Christ, Sebastian M.] Univ Hosp Lausanne, Dept Radiat Oncol, Lausanne, Switzerland; [Filchenko, Irina] Univ Bern, Bern Univ Hosp, Dept Neurol, Inselspital, Bern, Switzerland; [Hastings, Janna] Univ St Gallen, Sch Med, St Gallen, Switzerland; [Hastings, Janna] Univ Zurich, Inst Implementat Sci Hlth Care, Fac Med, Zurich, Switzerland; [Hastings, Janna] Swiss Inst Bioinformat, Lausanne, Switzerland</t>
  </si>
  <si>
    <t>University of Bern; University Hospital of Bern; Ruprecht Karls University Heidelberg; Kantonsspital Aarau AG (KSA); Krankenhaus Bozen; University of Bonn; Eberhard Karls University of Tubingen; Eberhard Karls University Hospital; Technical University of Munich; Helmholtz Association; Helmholtz Association; German Cancer Research Center (DKFZ); Kantonsspital St. Gallen; University of Erlangen Nuremberg; University of Zurich; University Zurich Hospital; University of Lausanne; Centre Hospitalier Universitaire Vaudois (CHUV); University of Bern; University Hospital of Bern; University of St Gallen; University of Zurich; Swiss School of Public Health (SSPH+); University of Geneva; Swiss Institute of Bioinformatics</t>
  </si>
  <si>
    <t>Comparative Evaluation of a Medical Large Language Model in Answering Real-World Radiation Oncology Questions: Multicenter Observational Study</t>
  </si>
  <si>
    <t>large language models; natural language processing; artificial intelligence; radiation oncology; Llama-3; benchmarking; evaluation</t>
  </si>
  <si>
    <t>Hastings, Janna/ADQ-0837-2022; Riggenbach, Elena/NHQ-4328-2025; Dennstädt, Fabio/AGE-9074-2022; Peeken, Jan/ADP-6469-2022; Windisch, Paul/JVD-5169-2023; Aebersold, Daniel/C-2946-2013; Filchenko, Irina/I-7838-2018; Cihoric, Nikola/K-9803-2017; Haddad, Hathal/ABG-4315-2021; Bachmann, Nicolas/QIU-9144-2026</t>
  </si>
  <si>
    <t>Mose, Lucas/0009-0006-0693-2716; Hastings, Janna/0000-0002-3469-4923; Mackeprang, Paul-Henry/0000-0002-1505-0137; Riggenbach, Elena/0000-0001-7278-923X; Ahmadsei, Maiwand/0000-0002-0646-2762; Dennstädt, Fabio/0000-0002-5374-8720; Schmerder, Max Jonathan/0009-0009-3663-4412; Peeken, Jan/0000-0003-2679-9853; Windisch, Paul/0000-0003-1040-4888; Filchenko, Irina/0000-0002-9486-1017; Haddad, Hathal/0000-0002-5413-814X</t>
  </si>
  <si>
    <t>SEP 23 2025</t>
  </si>
  <si>
    <t>e69752</t>
  </si>
  <si>
    <t>10.2196/69752</t>
  </si>
  <si>
    <t>http://dx.doi.org/10.2196/69752</t>
  </si>
  <si>
    <t>8JS8Q</t>
  </si>
  <si>
    <t>40986858</t>
  </si>
  <si>
    <t>WOS:001590316200011</t>
  </si>
  <si>
    <t>Li, ZL; He, FF; Zhang, RN; Zhu, SS; Chen, QX; Wu, ST; Meng, F; Chen, SQ; Hu, CC; Wang, YD; Lin, JJ; Zheng, WK; Meng, JX; Lin, YQ; Chen, DC; Sun, CH; Peng, ZP; Mao, R; Shi, L; Feng, ST; Li, Y; Li, XH</t>
  </si>
  <si>
    <t>Purpose: Effective tools for risk stratification of intestinal disease progression (IDP) in Crohn's disease (CD) patients remain limited. Electronic medical records (EMRs) contain detailed information describing disease characteristics. Large language model (LLM) excels at summarizing and analyzing these data. Materials and methods: We developed an LLM-agent using EMRs to predict IDP. In this retrospective study, we collected EMRs from 563 patients across six centers, built a human knowledge base incorporating literature-derived and EMRs-derived knowledge. Three levels of prompts were developed through a step-by-step superposition strategy: basic task description, Chain-of-Thought technique, and "Self-Reflection" module. The third level further integrated the human knowledge base. Three prompt versions (V1-3) were paired with three LLMs (ChatGPT-4omini, Gemini-1.5-Pro, ChatGPT-4o), creating nine LLM-agents. We compared their predictive performance for IDP to select the optimal model and contrasted the readability and semantics of LLM-generated reports with physician-written summaries. Results: After evaluating 304 initial factors using a human-in-the-loop strategy with LLM and 13 CD specialists, we selected 98 IDP-related factors to construct the knowledge base. GPT-4o_V3 outperformed eight competing models in training set (accuracy, 84.4 % vs. 53.9 %-75.8 %; F1 score: 0.867 vs. 0.663-0.808) and test set (accuracy, 83.5 % vs. 59.8 %-72.2 %; F1 score, 0.882 vs. 0.748-0.814). Disease-progression-free survival of high-risk patients identified by GPT-4o_V3 was significantly shorter than low-risk patients (P &lt; 0.001). Prediction reports generated from GPT-4o_V3 showed intermediate characteristics between Gemini-1.5-Pro_V3 and GPT-4omini_V3 in both readability and semantics. Conclusion: In conclusion, GPT-4o_V3 outperforms other models and accurately predicts IDP risk for CD patients across multiple medical centers, assisting clinicians in clinical decision-making.</t>
  </si>
  <si>
    <t>Li, Zhoulei; He, Feifan; Zhang, Ruonan; Zhu, Shanshan; Chen, Qinxian; Wu, Shuntian; Meng, Fei; Chen, Siqi; Hu, Cicong; Wang, Yangdi; Lin, Jinjiang; Zheng, Weikai; Meng, Jixin; Lin, Yuqin; Chen, Dan-Chai; Sun, Canhui; Peng, Zhenpeng; Mao, Ren; Shi, Li; Feng, Shi-Ting; Li, Yang; Li, Xuehua</t>
  </si>
  <si>
    <t>Feng, ST; Li, XH (corresponding author), Sun Yat Sen Univ, Affiliated Hosp 1, Dept Radiol, 58 Zhongshan 2 Rd, Guangzhou 510080, Peoples R China.; Li, Y (corresponding author), Tsinghua Univ, Tsinghua Shenzhen Int Grad Sch, Shenzhen Key Lab Ubiquitous Data Enabling, Shenzhen 518055, Peoples R China.; Shi, L (corresponding author), Guangzhou Med Univ, Affiliated Hosp 3, Dept Radiol, 63 Duobao Rd, Guangzhou 510150, Peoples R China.</t>
  </si>
  <si>
    <t>yangli@sz.tsinghua.edu.cn; shili101028@126.com; fengsht@mail.sysu.edu.cn; lxueh@mail.sysu.edu.cn</t>
  </si>
  <si>
    <t>Fundamental Research Funds for the Central Universities [2025A1510012376, 2023B1515020070, 2023A1515011097, 2023A1515011304]; Sun Yat-sen University [24ykqb003]; 2023 SKY Imaging Research Fund of the Chinese International Medical Foundation</t>
  </si>
  <si>
    <t>Fundamental Research Funds for the Central Universities (Fundamental Research Funds for the Central Universities); Sun Yat-sen University (Sun Yat Sen University); 2023 SKY Imaging Research Fund of the Chinese International Medical Foundation</t>
  </si>
  <si>
    <t>This study was supported by the National Natural Science Foundation of China (82572164, 82270693, 82070680, 81901793, 62371270) , Natural Science Foundation of Guangdong Province (2023A1515010388, 2025A1510012376, 2023B1515020070, 2023A1515011097, and 2023A1515011304) . Fundamental Research Funds for the Central Universities, Sun Yat-sen University (24ykqb003) . 2023 SKY Imaging Research Fund of the Chinese International Medical Foundation (Z-2014-07-2301) . The funders of the study had no role in study design, data collection, data analysis, data interpretation, or writing of the report.</t>
  </si>
  <si>
    <t>[Li, Zhoulei; Zhang, Ruonan; Wang, Yangdi; Lin, Jinjiang; Zheng, Weikai; Sun, Canhui; Peng, Zhenpeng; Feng, Shi-Ting; Li, Xuehua] Sun Yat Sen Univ, Affiliated Hosp 1, Dept Radiol, 58 Zhongshan 2 Rd, Guangzhou 510080, Peoples R China; [He, Feifan; Wu, Shuntian; Meng, Fei; Chen, Siqi; Li, Yang] Tsinghua Univ, Tsinghua Shenzhen Int Grad Sch, Shenzhen Key Lab Ubiquitous Data Enabling, Shenzhen 518055, Peoples R China; [Zhu, Shanshan; Lin, Yuqin; Chen, Dan-Chai] Shantou Univ, Dept Radiol, Affiliated Hosp 1, Med Coll, 57 Changping Rd, Shantou 515000, Guangdong, Peoples R China; [Chen, Qinxian] Jiangmen Cent Hosp, Dept Radiol, 23 Haibang St, Jiangmen, Peoples R China; [Hu, Cicong] Wenzhou Med Univ, Affiliated Hosp 1, Dept Radiol, Wenzhou 325000, Peoples R China; [Meng, Jixin] Henan Prov Peoples Hosp, Dept Radiol, 7 Weiwu Rd, Zhengzhou 450000, Peoples R China; [Meng, Jixin] Zhengzhou Univ, Peoples Hosp, 7 Weiwu Rd, Zhengzhou 450000, Peoples R China; [Mao, Ren] Sun Yat Sen Univ, Affiliated Hosp 1, Dept Gastroenterol, 58 Zhongshan 2 Rd, Guangzhou 510080, Peoples R China; [Shi, Li] Guangzhou Med Univ, Affiliated Hosp 3, Dept Radiol, 63 Duobao Rd, Guangzhou 510150, Peoples R China</t>
  </si>
  <si>
    <t>Sun Yat Sen University; Tsinghua Shenzhen International Graduate School; Tsinghua University; Shantou University; Wenzhou Medical University; Zhengzhou University; Zhengzhou University; Sun Yat Sen University; Guangzhou Medical University</t>
  </si>
  <si>
    <t>Human knowledge-enhanced large language model agent for prediction of intestinal disease progression in patients with Crohn's disease: A multicenter retrospective study</t>
  </si>
  <si>
    <t>META-RADIOLOGY</t>
  </si>
  <si>
    <t>Large language model; Electronic medical record; Intestinal disease progression; Crohn's disease</t>
  </si>
  <si>
    <t>KEAI PUBLISHING LTD</t>
  </si>
  <si>
    <t>BEIJING</t>
  </si>
  <si>
    <t>16 DONGHUANGCHENGGEN NORTH ST, Building 5, Room 411, BEIJING, DONGCHENG DISTRICT 100009, PEOPLES R CHINA</t>
  </si>
  <si>
    <t>2950-1628</t>
  </si>
  <si>
    <t>Meta-Radiology</t>
  </si>
  <si>
    <t>100186</t>
  </si>
  <si>
    <t>10.1016/j.metrad.2025.100186</t>
  </si>
  <si>
    <t>http://dx.doi.org/10.1016/j.metrad.2025.100186</t>
  </si>
  <si>
    <t>Computer Science, Artificial Intelligence; Computer Science, Interdisciplinary Applications; Radiology, Nuclear Medicine &amp; Medical Imaging</t>
  </si>
  <si>
    <t>Computer Science; Radiology, Nuclear Medicine &amp; Medical Imaging</t>
  </si>
  <si>
    <t>DU8OU</t>
  </si>
  <si>
    <t>WOS:001692611900001</t>
  </si>
  <si>
    <t>Li, RK; Zhao, AG; Peng, L; Shi, HJ; Zhao, JD; Li, ZL; Liang, R; Wang, HF</t>
  </si>
  <si>
    <t>Background. Large language models (LLMs) have gained prominence in medical applications, yet their performance in specialized clinical tasks remains underexplored. Prostate cancer, a complex malignancy requiring guideline-based management, presents a rigorous testbed for evaluating artificial intelligence (AI)-assisted decision-making. This study compared the clinical accuracy, reasoning ability, and language quality of DeepSeek-R1 and ChatGPT variants in addressing prostate cancer diagnosis and treatment. Methods. A dataset of 98 prostate cancer multiple-choice questions from MedQA, MedMCQA, and China's National Medical Licensing Examination was constructed, alongside three real-world clinical cases. Responses were generated by five LLMs (DeepSeek-V3, DeepSeek-R1, ChatGPT-4o, -o3, -o4-mini) and evaluated for accuracy across three repeated runs. For case-based simulations, only R1 and o3 were compared with practicing urologists. A Clinical Decision Quality Assessment Scale (CDQAS) assessed outputs across four domains: readability, medical knowledge accuracy, diagnostic test appropriateness, and logical coherence. Blinded scoring was performed by senior urologic oncologists. Statistical analyses used one-way ANOVA with GraphPad Prism v10.1.2, Boston, Massachusetts, USA. Results. DeepSeek-R1 achieved the highest accuracy (96.60 %) on multiple-choice tasks, significantly outperforming the other models (p &lt; 0.05 to &lt;0.0001). In simulated case evaluations, both R1 and o3 performed comparably with physicians in overall readability and diagnostic appropriateness. Whereas R1 demonstrated superior guideline compliance and evidence-based reasoning, o3 showed advantages in workflow clarity, sequencing, and response fluency. However, o3 generated fewer explicit errors than R1. Human clinicians maintained strengths in terminology precision and logical reasoning. Conclusion. DeepSeek-R1 and ChatGPT-o3 exhibit complementary strengths in prostate cancer clinical decision-making, with R1 favoring factual accuracy and o3 excelling in expressive clarity. Although both models approach human-level performance in structured evaluations, human oversight and continued domain-specific optimization remain essential for their safe and effective integration into clinical workflows.</t>
  </si>
  <si>
    <t>Li, Rongkang; Zhao, Anguo; Peng, Lei; Shi, Hongjin; Zhao, Jiadong; Li, Zhilin; Liang, Rui; Wang, Haifeng</t>
  </si>
  <si>
    <t>Liang, R; Wang, HF (corresponding author), Kunming Med Univ, Affiliated Hosp 2, Dept Urol, Yunnan Inst Urol, Kunming, Yunnan, Peoples R China.</t>
  </si>
  <si>
    <t>18326900957@163.com; wanghaifeng@kmmu.edu.cn</t>
  </si>
  <si>
    <t>Scientific Research Fund Project of Education Department of Yunnan Province</t>
  </si>
  <si>
    <t>This study was partially supported by the Scientific Research Fund Project of Education Department of Yunnan Province (grant no. 2024Y231).</t>
  </si>
  <si>
    <t>[Li, Rongkang; Peng, Lei; Shi, Hongjin; Zhao, Jiadong; Li, Zhilin; Liang, Rui; Wang, Haifeng] Kunming Med Univ, Affiliated Hosp 2, Dept Urol, Yunnan Inst Urol, Kunming, Yunnan, Peoples R China; [Li, Rongkang; Peng, Lei] Lanzhou Univ, Dept Urol, Hosp 2, Lanzhou, Peoples R China; [Zhao, Anguo] Soochow Univ, Med Ctr, Suzhou Dushu Lake Hosp, Dept Urol,Affiliated Hosp 4, Suzhou, Peoples R China</t>
  </si>
  <si>
    <t>Kunming Medical University; Lanzhou University; Soochow University - China</t>
  </si>
  <si>
    <t>Evaluating the Clinical Competence of Large Language Models in Prostate Cancer Management: A Comparative Study of DeepSeek-R1 and ChatGPT</t>
  </si>
  <si>
    <t>Large language models (LLMs); Prostate cancer; Clinical decision-making; DeepSeek-R1; ChatGPT</t>
  </si>
  <si>
    <t>1858</t>
  </si>
  <si>
    <t>1869</t>
  </si>
  <si>
    <t>10.1245/s10434-025-18492-2</t>
  </si>
  <si>
    <t>http://dx.doi.org/10.1245/s10434-025-18492-2</t>
  </si>
  <si>
    <t>AO7YX</t>
  </si>
  <si>
    <t>41094286</t>
  </si>
  <si>
    <t>WOS:001595116500001</t>
  </si>
  <si>
    <t>Lalitkanjanakul, T; Pitidhammabhorn, D; Jakramonpreeya, N; Suechanyapong, W; Tangpanithandee, S; Khemawoot, P</t>
  </si>
  <si>
    <t>Background: Rheumatoid arthritis (RA) is a chronic inflammatory disease that often requires multi-drug regimens, which can increase the risk of drug-drug interactions (DDIs).Objective: To determine whether polypharmacy contributes to potential DDIs in patients with RA.Design: A retrospective observational study that integrates data from drug interaction databases and medical records, supplemented by artificial intelligence analysis.Methods: Twenty-one RA drugs and 54 commonly prescribed medicines were screened for potential DDIs using the Micromedex and WebMD databases and compared with real-world co-prescription at our hospital. The ChatGPT-5 and Gemini 2.5 large language models (LLMs) were also evaluated as "AI judges" versus an expert rheumatologist to assess real-world co-prescription. This study was conducted from January to September 2025.Results: Among 75 frequently prescribed medicines in RA patients, 753 database-predicted potential DDIs were reported, with Micromedex showing 464 DDI pairs and WebMD showing 600 pairs. Both databases classified 47 serious potential DDIs as contraindicated or major, with high concordance. The main predicted DDI mechanisms were immunosuppression (27%), methotrexate toxicity (18%), and nephrotoxicity (12%), with tacrolimus (12%), methotrexate (10%), and infliximab (6%) as major culprit drugs. In real-world co-prescriptions, 259 RA patients showed methotrexate/naproxen (46.4%) and methotrexate/sulfasalazine (29.5%) as the most common real-world co-prescribing patterns with potential DDIs. Brennan-Prediger kappa values indicated fair agreement (0.3161) in the electronic database predictions and conditional agreement (0.9807) among preselected serious DDIs. The LLM evaluation revealed that advanced models (e.g., Gemini 2.5 Pro) provided finesse recommendations highly concordant with expert opinion, whereas simpler models were more conservatively aligned with database alerts.Conclusion: In both real-world co-prescription and database evaluation, serious potential DDIs were associated mainly with methotrexate toxicity. Based on these exploratory findings, advanced LLMs show potential to assist with the contextualizing rigid database alerts and supporting pragmatic clinical decision-making. However, expert clinical judgment and direct patient consultation remain essential to improve RA patient safety and medication adherence.</t>
  </si>
  <si>
    <t>Lalitkanjanakul, Tonson; Pitidhammabhorn, Dhanesh; Jakramonpreeya, Natnicha; Suechanyapong, Werapat; Tangpanithandee, Supawit; Khemawoot, Phisit</t>
  </si>
  <si>
    <t>Khemawoot, P (corresponding author), Mahidol Univ, Ramathibodi Hosp, Chakri Naruebodindra Med Inst, Fac Med, Bang Phli 10540, Samut Prakarn, Thailand.; Tangpanithandee, S (corresponding author), Bangkok Dusit Med Serv BDMS, Hlth Intelligence Lab, Huai Khwang 10310, Bangkok, Thailand.</t>
  </si>
  <si>
    <t>Tangpanithandee.s@gmail.com; phisit.khe@mahidol.ac.th</t>
  </si>
  <si>
    <t>Mahidol University [The Faculty of Medicine Ramathibodi Hospital]</t>
  </si>
  <si>
    <t>Mahidol University</t>
  </si>
  <si>
    <t>The authors disclosed receipt of the following financial support for the research, authorship, and/or publication of this article: The authors would like to express their gratitude to the Faculty of Medicine Ramathibodi Hospital, Mahidol University, for providing research funding to Tonson Lalitkanjanakul and Phisit Khemawoot.</t>
  </si>
  <si>
    <t>[Lalitkanjanakul, Tonson; Pitidhammabhorn, Dhanesh; Jakramonpreeya, Natnicha; Suechanyapong, Werapat; Khemawoot, Phisit] Mahidol Univ, Ramathibodi Hosp, Chakri Naruebodindra Med Inst, Fac Med, Bang Phli 10540, Samut Prakarn, Thailand; [Tangpanithandee, Supawit] Bangkok Dusit Med Serv BDMS, Hlth Intelligence Lab, Huai Khwang 10310, Bangkok, Thailand</t>
  </si>
  <si>
    <t>Drug interactions in rheumatoid arthritis: a disparity between electronic database prediction and real-world co-prescription with different large language models</t>
  </si>
  <si>
    <t>THERAPEUTIC ADVANCES IN DRUG SAFETY</t>
  </si>
  <si>
    <t>drug-drug interaction; ChatGPT; Google Gemini; methotrexate; Micromedex; rheumatoid arthritis; WebMD</t>
  </si>
  <si>
    <t>POLYPHARMACY; PHARMACOKINETICS; METHOTREXATE; EPIDEMIOLOGY; IMPACT</t>
  </si>
  <si>
    <t>Khemawoot, Phisit/ABE-2110-2020; Tangpanithandee, Supawit/GLU-4573-2022</t>
  </si>
  <si>
    <t>2042-0986</t>
  </si>
  <si>
    <t>2042-0994</t>
  </si>
  <si>
    <t>THER ADV DRUG SAF</t>
  </si>
  <si>
    <t>Ther. Adv. Drug Saf.</t>
  </si>
  <si>
    <t>20420986261460173</t>
  </si>
  <si>
    <t>10.1177/20420986261460173</t>
  </si>
  <si>
    <t>http://dx.doi.org/10.1177/20420986261460173</t>
  </si>
  <si>
    <t>KD3ET</t>
  </si>
  <si>
    <t>WOS:001804242400001</t>
  </si>
  <si>
    <t>Tang, M; Xu, L; Zhu, LB; Maimaitiabula, A; Zhang, XZ; Pei, C; Hu, L</t>
  </si>
  <si>
    <t>ObjectivesTo evaluate three LLMs (DeepSeek R1, Gemini 2.5 Flash, and GPT-4o) for generating structured, clinically interpretable outputs from free-text knee ultrasound reports.Materials and MethodsWe retrospectively analyzed 359 de-identified knee ultrasound reports using four prompt strategies targeting (Prompt 1) information extraction, (Prompt 2) structured report generation, (Prompt 3) impression generation, and (Prompt 4) clinical recommendation generation. Two experienced physicians rated outputs using prespecified 5-point Likert rubrics for extraction quality, structuring quality, diagnostic usefulness, recommendation quality, readability, and subjective repeatability. Objective evaluations included Prompt 2 structural completeness and stability under a fixed slot schema (schema compliance, missing-item rate, and slot-level exact match), Prompt 3 objective repeatability via mapped binary findings (percent agreement and Cohen's kappa across repeated runs), and Prompt 3 diagnostic performance against an expert binary reference standard (sensitivity/specificity, F1 score, balanced accuracy, and MCC; 95% confidence intervals via bootstrapping). For Chinese recommendation metrics, BLEU/ROUGE-L were computed using character-level tokenization.ResultsAcross 359 knee ultrasound reports, GPT-4o demonstrated the strongest overall performance across extraction, diagnostic impression generation, and clinical recommendation tasks. It achieved the highest physician-rated scores for NER (4.0 +/- 0.6) and diagnostic summarization (3.8 +/- 0.7), along with the best diagnostic performance (F1-score = 0.79 vs 0.54 for DeepSeek R1 and 0.45 for Gemini 2.5 Flash, with the highest balanced accuracy and MCC). DeepSeek R1 showed competitive performance in structured reporting (4.0 +/- 0.5) and repeatability (3.41 +/- 0.06), with stable schema compliance and run-to-run consistency. Gemini 2.5 Flash consistently underperformed, particularly in NER accuracy (3.2 +/- 0.7) and diagnostic recall (0.37). Objective analyses further confirmed superior structural completeness, repeatability, and semantic quality of recommendations for GPT-4o compared with the other models.ConclusionGPT-4o consistently outperformed DeepSeek R1 and Gemini 2.5 Flash, supporting its potential to improve knee ultrasound report consistency and clinical utility.</t>
  </si>
  <si>
    <t>Tang, Min; Xu, Le; Zhu, Libiao; Maimaitiabula, Abasi; Zhang, Xianzuo; Pei, Chong; Hu, Lei</t>
  </si>
  <si>
    <t>Hu, L (corresponding author), Univ Sci &amp; Technol China, Affiliated Hosp USTC 1, Dept Ultrasound, Div Life Sci &amp; Med, Hefei 230001, Anhui, Peoples R China.; Zhang, XZ (corresponding author), Univ Sci &amp; Technol China, Affiliated Hosp USTC 1, Dept Orthoped, Div Life Sci &amp; Med, Hefei 230001, Anhui, Peoples R China.; Pei, C (corresponding author), Anhui Med Univ, Affiliated Hosp 3, Peoples Hosp Hefei City 1, Dept Resp &amp; Crit Care Med, Hefei 230001, Peoples R China.</t>
  </si>
  <si>
    <t>tang20210831@163.com; zhulb3119@163.com; hulei@ustc.edu.cn; pchl331@126.com; u18895362052@163.com; zhangxianzuo@ustc.edu.cn; abs284@mail.ustc.edu.cn</t>
  </si>
  <si>
    <t>[Tang, Min; Xu, Le; Hu, Lei] Univ Sci &amp; Technol China, Affiliated Hosp USTC 1, Dept Ultrasound, Div Life Sci &amp; Med, Hefei 230001, Anhui, Peoples R China; [Zhu, Libiao; Maimaitiabula, Abasi; Zhang, Xianzuo] Univ Sci &amp; Technol China, Affiliated Hosp USTC 1, Dept Orthoped, Div Life Sci &amp; Med, Hefei 230001, Anhui, Peoples R China; [Pei, Chong] Anhui Med Univ, Affiliated Hosp 3, Peoples Hosp Hefei City 1, Dept Resp &amp; Crit Care Med, Hefei 230001, Peoples R China</t>
  </si>
  <si>
    <t>Chinese Academy of Sciences; University of Science &amp; Technology of China, CAS; Chinese Academy of Sciences; University of Science &amp; Technology of China, CAS; Anhui Medical University</t>
  </si>
  <si>
    <t>Large language models for structuring knee ultrasound reports-A comparative evaluation of DeepSeek R1, gemini 2.5 flash, and GPT-4o</t>
  </si>
  <si>
    <t>Large language models; Knee ultrasonography; Structured reporting; Natural language processing; Clinical decision support</t>
  </si>
  <si>
    <t>ARTIFICIAL-INTELLIGENCE; LIGAMENT; TEARS</t>
  </si>
  <si>
    <t>Hu, lei/GMX-4894-2022</t>
  </si>
  <si>
    <t>Zhu, Libiao/0009-0001-0683-5880</t>
  </si>
  <si>
    <t>MAR 3 2026</t>
  </si>
  <si>
    <t>115</t>
  </si>
  <si>
    <t>10.1186/s12911-026-03415-2</t>
  </si>
  <si>
    <t>http://dx.doi.org/10.1186/s12911-026-03415-2</t>
  </si>
  <si>
    <t>GG1HJ</t>
  </si>
  <si>
    <t>41772565</t>
  </si>
  <si>
    <t>WOS:001735586800001</t>
  </si>
  <si>
    <t>Gupta, G; Nimbalkar, S; Kumar, R; Singh, P; Mondal, H</t>
  </si>
  <si>
    <t>ObjectivesTo assess the concordance and diagnosis acceptability of differential diagnoses (DDs) generated by artificial intelligence (AI) chatbots compared to expert neonatology physicians.MethodsThirteen clinical cases from neonatology were developed, each with five expert-defined differential diagnoses. Seven AI chatbots (ChatGPT, Claude, Copilot, Deepseek, Gemini, Grok, Perplexity) were queried to provide their most probable diagnosis along with five DDs per case. Four neonatologists evaluated the chatbot responses. Concordance scores were assigned based on the ranking of chatbot diagnoses against expert-defined diagnoses. Diagnosis acceptability scores were based on the number of DDs deemed clinically acceptable.ResultsThere were no statistically significant differences in the concordance (P = 0.205) or diagnosis acceptability (P = 0.297) scores across the seven chatbots. Chatbots had statistically significant discrepancies when compared to hypothetical values of 5, 4.5, and 4, with none of the chatbots achieving the desired concordance score of 80%. However, in terms of diagnosis acceptability, ChatGPT, Claude, and Grok had scores similar to 90% diagnosis acceptability, while Copilot, Deepseek, Gemini, and Perplexity had 80% diagnosis acceptability.ConclusionsThere were no significant differences in concordance and diagnosis acceptability scores across the seven chatbots. While none achieved the desired concordance of 80%, several models showed near 80-90% diagnosis acceptability. Hence, integration of chatbots should be done with caution.</t>
  </si>
  <si>
    <t>Gupta, Gaurav; Nimbalkar, Somashekhar; Kumar, Rajesh; Singh, Poonam; Mondal, Himel</t>
  </si>
  <si>
    <t>Mondal, H (corresponding author), All India Inst Med Sci, Dept Physiol, Deoghar, Jharkhand, India.</t>
  </si>
  <si>
    <t>himelmkcg@gmail.com</t>
  </si>
  <si>
    <t>[Gupta, Gaurav] All India Inst Med Sci, Dept Pediat, Gauhati, Assam, India; [Nimbalkar, Somashekhar] Bhaikaka Univ, Pramukhswami Med Coll, Dept Neonatol, Karamsad, Gujarat, India; [Kumar, Rajesh] Rani Hosp, Dept Neonatol, Ranchi, Jharkhand, India; [Singh, Poonam] All India Inst Med Sci, Dept Neonatol, Rishikesh, Uttaranchal, India; [Mondal, Himel] All India Inst Med Sci, Dept Physiol, Deoghar, Jharkhand, India</t>
  </si>
  <si>
    <t>All India Institute of Medical Sciences (AIIMS) Rishikesh</t>
  </si>
  <si>
    <t>Assessment of Generative AI Chatbots for Neonatal Diagnostic Reasoning: A Comparative Concordance and Diagnosis Acceptability Analysis</t>
  </si>
  <si>
    <t>INDIAN JOURNAL OF PEDIATRICS</t>
  </si>
  <si>
    <t>Artificial intelligence; Large language model; Chatbots; Neonatology; Decision support systems; Differential diagnosis; Pediatrician</t>
  </si>
  <si>
    <t>LARGE LANGUAGE MODELS; CARE</t>
  </si>
  <si>
    <t>Nimbalkar, Somashekhar/G-9853-2012; Mondal, Himel/G-5111-2017</t>
  </si>
  <si>
    <t>Mondal, Himel/0000-0001-6950-5857</t>
  </si>
  <si>
    <t>0019-5456</t>
  </si>
  <si>
    <t>0973-7693</t>
  </si>
  <si>
    <t>INDIAN J PEDIATR</t>
  </si>
  <si>
    <t>Indian J. Pediatr.</t>
  </si>
  <si>
    <t>363</t>
  </si>
  <si>
    <t>368</t>
  </si>
  <si>
    <t>10.1007/s12098-025-05884-1</t>
  </si>
  <si>
    <t>http://dx.doi.org/10.1007/s12098-025-05884-1</t>
  </si>
  <si>
    <t>FY5KY</t>
  </si>
  <si>
    <t>41528602</t>
  </si>
  <si>
    <t>WOS:001660528900001</t>
  </si>
  <si>
    <t>Ilic, N; Maric, N; Cvetkovic, D; Bogosavljevic, M; Bukara-Radujkovic, G; Krstic, J; Paunovic, Z; Begovic, N; Zaric, SP; Todorovic, S; Mitrovic, K; Vlahovic, A; Sarajlija, A</t>
  </si>
  <si>
    <t>Background/Objectives: Skeletal dysplasias are a heterogeneous group of rare genetic disorders with diverse and overlapping clinical presentations, posing diagnostic challenges even for experienced clinicians. With the increasing availability of artificial intelligence (AI) in healthcare, large language models (LLMs) offer a novel opportunity to assist in rare disease diagnostics. This study aimed to compare the diagnostic accuracy of two advanced LLMs, ChatGPT (version GPT-4) and DeepSeek, with that of a clinical expert panel in a cohort of pediatric patients with genetically confirmed skeletal dysplasias. Methods: We designed a prospective vignette-based diagnostic benchmarking study including 45 children with confirmed skeletal dysplasias from two tertiary centers. Both LLMs were prompted to provide primary and differential diagnoses based on standardized clinical case vignettes. Their outputs were compared with those of two human experts (a pediatric endocrinologist and a pediatric orthopedic surgeon), using molecular diagnosis as the gold standard. Results: ChatGPT and DeepSeek achieved a comparable diagnostic top-3 accuracy (62.2% and 64.4%, respectively), with a high intermodel agreement (Cohen's kappa = 0.95). The expert panel outperformed both models (82.2%). While LLMs performed well on more common disorders, they struggled with ultra-rare and multisystemic conditions. In one complex case missed by experts, the DeepSeek model successfully proposed the correct diagnosis. Conclusions: LLMs offer a complementary diagnostic value in skeletal dysplasias, especially in under-resourced medical settings. Their integration as a supportive tool in multidisciplinary diagnostic workflows may enhance early recognition and reduce diagnostic delays in rare disease care.</t>
  </si>
  <si>
    <t>Ilic, Nikola; Maric, Nina; Cvetkovic, Dimitrije; Bogosavljevic, Marko; Bukara-Radujkovic, Gordana; Krstic, Jovana; Paunovic, Zoran; Begovic, Ninoslav; Zaric, Sanja Panic; Todorovic, Sladana; Mitrovic, Katarina; Vlahovic, Aleksandar; Sarajlija, Adrijan</t>
  </si>
  <si>
    <t>Ilic, N (corresponding author), Mother &amp; Child Hlth Care Inst Serbia Dr Vukan Cupi, Clin Genet Outpatient Clin, Belgrade 11070, Serbia.</t>
  </si>
  <si>
    <t>jovanakrst98@gmail.com; aleksandarvlahovic@yahoo.com; ilicnikola91@gmail.com; ninobego@hotmail.com; cvetkovic.d@outlook.com; adrijans2004@yahoo.com; nina.maric@med.unibl.org; sladjat71@gmail.com; marko.bogosavljevic@gmail.com; mitrovic.sky@gmail.com; zoran.paunovic@imd.org.rs; sanja.pnc@gmail.com; gordana.bukara-radujkovic@med.unibl.org</t>
  </si>
  <si>
    <t>[Ilic, Nikola; Krstic, Jovana; Sarajlija, Adrijan] Mother &amp; Child Hlth Care Inst Serbia Dr Vukan Cupi, Clin Genet Outpatient Clin, Belgrade 11070, Serbia; [Maric, Nina; Bukara-Radujkovic, Gordana] Univ Clin Ctr Republ Srpska, Clin Children Dis, Banja Luka 78000, Bosnia &amp; Herceg; [Maric, Nina; Bukara-Radujkovic, Gordana] Univ Banja Luka, Med Fac, Banja Luka 78000, Bosnia &amp; Herceg; [Cvetkovic, Dimitrije; Zaric, Sanja Panic; Todorovic, Sladana; Mitrovic, Katarina] Mother &amp; Child Hlth Care Inst Serbia Dr Vukan Cupi, Dept Endocrinol, Belgrade 11070, Serbia; [Bogosavljevic, Marko; Paunovic, Zoran; Begovic, Ninoslav] Mother &amp; Child Hlth Care Inst Serbia Dr Vukan Cupi, Dept Orthoped Surg &amp; Traumatol, Belgrade 11070, Serbia; [Paunovic, Zoran; Begovic, Ninoslav; Vlahovic, Aleksandar] Univ Belgrade, Dept Surg, Div Pediat Surg, Belgrade 11000, Serbia; [Mitrovic, Katarina; Sarajlija, Adrijan] Univ Belgrade, Fac Med, Dept Pediat, Belgrade 11000, Serbia; [Vlahovic, Aleksandar] Mother &amp; Child Hlth Care Inst Serbia Dr Vukan Cupi, Dept Plast &amp; Reconstruct Surg &amp; Burns, Belgrade 11070, Serbia; [Sarajlija, Adrijan] Univ Eastern Sarajevo, Fac Med, Foca 73300, Republic Of Srp, Bosnia &amp; Herceg</t>
  </si>
  <si>
    <t>University of Banja Luka (UNIBL); University of Belgrade; University of Belgrade; University of East Sarajevo</t>
  </si>
  <si>
    <t>The Artificial Intelligence-Assisted Diagnosis of Skeletal Dysplasias in Pediatric Patients: A Comparative Benchmark Study of Large Language Models and a Clinical Expert Group</t>
  </si>
  <si>
    <t>GENES</t>
  </si>
  <si>
    <t>skeletal dysplasia; artificial intelligence (AI); large language models (LLMs); pediatric genetics; diagnostic benchmarking; ChatGPT; DeepSeek</t>
  </si>
  <si>
    <t>Ilic, Nikola/NOF-2792-2025; Maric, Nina/JGM-5706-2023; Sarajlija, Adrijan/IQR-8960-2023</t>
  </si>
  <si>
    <t>Ilic, Nikola/0000-0003-1186-208X; Begovic, Ninoslav/0000-0002-5440-5404; Sarajlija, Adrijan/0000-0001-8024-6737</t>
  </si>
  <si>
    <t>2073-4425</t>
  </si>
  <si>
    <t>GENES-BASEL</t>
  </si>
  <si>
    <t>Genes</t>
  </si>
  <si>
    <t>JUN 28 2025</t>
  </si>
  <si>
    <t>762</t>
  </si>
  <si>
    <t>10.3390/genes16070762</t>
  </si>
  <si>
    <t>http://dx.doi.org/10.3390/genes16070762</t>
  </si>
  <si>
    <t>Genetics &amp; Heredity</t>
  </si>
  <si>
    <t>5GU3J</t>
  </si>
  <si>
    <t>40725418</t>
  </si>
  <si>
    <t>WOS:001535332500001</t>
  </si>
  <si>
    <t>Cafferty, O; Jeffries, SD; Pelletier, ED; Poulin, LP; Sinha, A; Harutyunyan, R; Laferrière-Langlois, P; Hemmerling, TM</t>
  </si>
  <si>
    <t>BACKGROUND: Advances in artificial intelligence (AI) have enabled large language models (LLMs) to generate complex and contextually relevant medical responses. However, their potential in clinical decision support for anesthesiology remains underexplored. This study evaluated the accuracy and clinical relevance of high-performing LLMs in response to anesthesia-related questions and compared their performance with traditional online search methods. Clinician perceptions of AI were also assessed. We hypothesized that top-performing large language models would outperform lower-tier models and traditional internet search tools by generating responses rated as more accurate, complete, and clinically relevant to anesthesiology-focused questions, as measured by higher mean evaluator scores on a 10-point Likert scale. METHODS: Ten LLMs: GPT-4o, Claude-Sonnet 3.5, DeepSeek R1, Llama 3.1 Instruct 70B, Gemini 2.0, GPT o1-preview, GPT o1, GPT o3-mini, NOVA Pro, and Mistral. All models were tested using ten common general anesthesia questions developed by TMH and validated by 6 physicians. Two Google search conditions served as baselines: a default search conducted in a cleared browser (unpersonalized), and a personalized Google Snippet Search performed in a browser regularly used by a clinician. Four board-certified anesthesiologists independently rated each response on a 10-point Likert scale. An ad hoc Physician Perception Questionnaire captured clinicians' use of AI, trust in its output, and reliance on traditional information sources. RESULTS: LLM performance varied significantly (F = 5.89, P &lt; .0001). DeepSeek R1 achieved the highest overall score (7.7), whereas Gemini 2.0 Flash recorded the lowest among LLMs (5.2). The Google Snippet Search scored 5.3, the lowest overall. Pairwise Welch's t tests showed that DeepSeek R1 significantly outperformed Llama, o3-mini, and Mistral (P &lt; .001). Survey results indicated limited AI use in clinical practice; clinicians prioritized source credibility and continued to favor traditional resources. CONCLUSIONS: Although LLM-generated responses differed in quality, DeepSeek R1 and Claude-Sonnet 3.5 produced answers most consistent with expert clinical judgment. The poor performance of several models, coupled with clinician skepticism, underscores the need for further validation before integrating AI into routine anesthesiology decision support.</t>
  </si>
  <si>
    <t>Cafferty, Oliver; Jeffries, Sean D.; Pelletier, Eric D.; Poulin, Louis-Pierre; Sinha, Avinash; Harutyunyan, Robert; Laferriere-Langlois, Pascal; Hemmerling, Thomas M.</t>
  </si>
  <si>
    <t>Hemmerling, TM (corresponding author), Montreal Gen Hosp, Dept Anesthesia, Travancore Bldg T8-108, Montreal, PQ, Canada.</t>
  </si>
  <si>
    <t>thomas.hemmerling@mcgill.ca</t>
  </si>
  <si>
    <t>[Cafferty, Oliver; Jeffries, Sean D.; Pelletier, Eric D.; Harutyunyan, Robert; Hemmerling, Thomas M.] McGill Univ, Dept Surg Intervent Sci, Montreal, PQ, Canada; [Cafferty, Oliver; Jeffries, Sean D.; Pelletier, Eric D.; Sinha, Avinash; Harutyunyan, Robert; Laferriere-Langlois, Pascal; Hemmerling, Thomas M.] McGill Univ, Dept Anesthesia, Montreal, PQ, Canada; [Poulin, Louis-Pierre; Laferriere-Langlois, Pascal] Univ Montreal, Dept Anesthesia, Montreal, PQ, Canada; [Hemmerling, Thomas M.] McGill Univ, Dept Surg, Montreal, PQ, Canada</t>
  </si>
  <si>
    <t>McGill University; McGill University; Universite de Montreal; McGill University</t>
  </si>
  <si>
    <t>A Comparison of Ten Large Language Models and a Conventional Search Engine for Clinical Decision Support in Anesthesiology: Expert Agreement and Physician Perceptions</t>
  </si>
  <si>
    <t>ANESTHESIA AND ANALGESIA</t>
  </si>
  <si>
    <t>0003-2999</t>
  </si>
  <si>
    <t>1526-7598</t>
  </si>
  <si>
    <t>ANESTH ANALG</t>
  </si>
  <si>
    <t>Anesth. Analg.</t>
  </si>
  <si>
    <t>142</t>
  </si>
  <si>
    <t>985</t>
  </si>
  <si>
    <t>993</t>
  </si>
  <si>
    <t>10.1213/ANE.0000000000007864</t>
  </si>
  <si>
    <t>http://dx.doi.org/10.1213/ANE.0000000000007864</t>
  </si>
  <si>
    <t>Anesthesiology</t>
  </si>
  <si>
    <t>GM5MZ</t>
  </si>
  <si>
    <t>41610406</t>
  </si>
  <si>
    <t>WOS:001739945900007</t>
  </si>
  <si>
    <t>Spatscheck, N; Schaschek, M; Winkelmann, A</t>
  </si>
  <si>
    <t>Generative AI (genAI) has revolutionized clinical AI systems by leveraging human language. Yet, challenges remain in its integration into clinical settings, particularly regarding the risk of physicians relying on hallucinated advice. We conducted an experimental study with 368 novice physicians who diagnosed patient cases while being augmented with clinical genAI systems. A theoretical model was empirically tested to examine how anthropomorphism and advice elaboration affect trust and cognitive load as mediators for appropriate reliance. Findings show that augmenting clinical decisions with genAI systems can improve physicians' diagnostic accuracy but also frequently results in inappropriate reliance on hallucinated advice due to miscalibrated trust. Moreover, we emphasize the uncanny familiarity evoked by anthropomorphizing genAI systems, which diminishes trust while reducing cognitive load. Our findings highlight the benefits and ethical challenges of genAI in clinical decision support, underscoring the need to balance its advantages with safeguarding the integrity of physicians' decision agency.</t>
  </si>
  <si>
    <t>Spatscheck, Niko; Schaschek, Myriam; Winkelmann, Axel</t>
  </si>
  <si>
    <t>Spatscheck, N (corresponding author), Julius Maximilians Univ Wuerzburg, Chair Management &amp; Informat Syst, Sanderring 2, D-97070 Wurzburg, Germany.</t>
  </si>
  <si>
    <t>niko.spatscheck@uni-wuerzburg.de</t>
  </si>
  <si>
    <t>[Spatscheck, Niko; Schaschek, Myriam; Winkelmann, Axel] Julius Maximilians Univ Wuerzburg, Chair Management &amp; Informat Syst, Sanderring 2, D-97070 Wurzburg, Germany</t>
  </si>
  <si>
    <t>University of Wurzburg</t>
  </si>
  <si>
    <t>The effects of generative AI's human-like competencies on clinical decision-making</t>
  </si>
  <si>
    <t>JOURNAL OF DECISION SYSTEMS</t>
  </si>
  <si>
    <t>Clinical decision augmentation; generative AI; appropriate reliance</t>
  </si>
  <si>
    <t>ANTHROPOMORPHISM INCREASES TRUST; ARTIFICIAL-INTELLIGENCE; INFORMATION-TECHNOLOGY; ALGORITHM AVERSION; AUTOMATION BIAS; COGNITIVE LOAD; ARGUMENT QUALITY; INITIAL TRUST; E-COMMERCE; NEED</t>
  </si>
  <si>
    <t>Spatscheck, Niko/0009-0008-2928-8948</t>
  </si>
  <si>
    <t>1246-0125</t>
  </si>
  <si>
    <t>2116-7052</t>
  </si>
  <si>
    <t>J DECIS SYST</t>
  </si>
  <si>
    <t>J. Decis. Syst.</t>
  </si>
  <si>
    <t>10.1080/12460125.2024.2430731</t>
  </si>
  <si>
    <t>http://dx.doi.org/10.1080/12460125.2024.2430731</t>
  </si>
  <si>
    <t>Operations Research &amp; Management Science</t>
  </si>
  <si>
    <t>P4N4T</t>
  </si>
  <si>
    <t>WOS:001377694400001</t>
  </si>
  <si>
    <t>Aksoy, HB; Günaydin, S; Simsek, SM; Cörüt, R</t>
  </si>
  <si>
    <t>Introduction Large language models (LLMs) may support clinical reasoning, yet real-world outpatient studies integrating structured clinical data with chest radiographs (CXRs) remain limited. We compared three LLMs for pulmonary differential diagnosis in routine clinical practice.Methods In this prospective, single-center observational study, consecutive adult outpatients presenting with respiratory complaints between 06 October and 31 December 2025 were enrolled. For each case, a standardized structured clinical form and de-identified CXRs were provided to three LLMs (ChatGPT-5.2, Google Gemini 3 Flash, and Microsoft Copilot) and to three blinded pulmonologists. The primary diagnosis was assigned by the examining pulmonologist, and the reference diagnosis was defined by agreement of at least two blinded pulmonologists. Concordance and Cohen's kappa were assessed.Results A total of 120 patients were included. Agreement among the blinded pulmonologists was high, and agreement between the primary and reference diagnoses was excellent. Compared with the reference diagnosis, ChatGPT-5.2 and Microsoft Copilot showed higher concordance than Google Gemini 3 Flash, with both demonstrating moderate overall agreement. Concordance did not differ by age or sex. Across diagnostic categories, performance was highest for pneumonia/upper respiratory tract infection and asthma.Discussion In this real-world pulmonology outpatient cohort, ChatGPT-5.2 and Microsoft Copilot showed better diagnostic concordance than Google Gemini 3 Flash when structured clinical data and CXRs were evaluated together. These findings support the potential role of LLMs as adjunctive decision-support tools in pulmonology, while also indicating that performance remains diagnosis-dependent and insufficient to replace expert clinical judgment.</t>
  </si>
  <si>
    <t>Aksoy, Hayriye Bektas; Gunaydin, Selda; Simsek, Saban Melih; Corut, Ruhsel</t>
  </si>
  <si>
    <t>Aksoy, HB (corresponding author), Giresun Univ, Fac Med, Dept Pathol, Giresun, Turkiye.</t>
  </si>
  <si>
    <t>bektas_hayriye@hotmail.com</t>
  </si>
  <si>
    <t>[Aksoy, Hayriye Bektas; Gunaydin, Selda; Simsek, Saban Melih; Corut, Ruhsel] Giresun Univ, Fac Med, Dept Pathol, Giresun, Turkiye</t>
  </si>
  <si>
    <t>Giresun University</t>
  </si>
  <si>
    <t>Evaluation of large language models in a pulmonology outpatient clinic using structured clinical data and chest radiographs: a single-center prospective observational study</t>
  </si>
  <si>
    <t>clinical decision support; diagnostic concordance; multimodal large language models; physician-referenced benchmarking; pulmonology</t>
  </si>
  <si>
    <t>GÜNAYDIN, SELDA/JRY-3199-2023; CORUT, RUHSEL/MBW-0674-2025; bektaş aksoy, hayriye/T-2300-2018</t>
  </si>
  <si>
    <t>GÜNAYDIN, SELDA/0000-0001-5641-012X; bektaş aksoy, hayriye/0000-0002-4390-5198</t>
  </si>
  <si>
    <t>MAY 5 2026</t>
  </si>
  <si>
    <t>1821639</t>
  </si>
  <si>
    <t>10.3389/fmed.2026.1821639</t>
  </si>
  <si>
    <t>http://dx.doi.org/10.3389/fmed.2026.1821639</t>
  </si>
  <si>
    <t>IC4IG</t>
  </si>
  <si>
    <t>42164160</t>
  </si>
  <si>
    <t>WOS:001768370100001</t>
  </si>
  <si>
    <t>Background Agentic artificial intelligence (AI) systems employing multi-model architectures with iterative reasoning may surpass standard single-model large language models (LLMs) in complex clinical decision-making. Comprehensive comparisons of agentic versus standard LLM deployment against human specialists in critical care remain limited. Objective This simulation study compared the performance of an agentic system combining GPT-5.0 and Gemini 2.0 Flash against two standard LLMs (Gemini 2.0 Flash and GPT-4o) and human specialists in acid-base disorder interpretation and sepsis management using text-based clinical vignettes. Methods Forty-five clinical vignettes (20 acid-base, 25 sepsis) developed by an independent expert panel were evaluated by: (1) Gemini 2.0 Flash (standard single-turn); (2) GPT-4o (standard single-turn); (3) an agentic system combining GPT-5.0 and Gemini 2.0 Flash with multi-step reasoning and cross-verification; and (4) 20 board-certified physicians. Responses were anonymized and assessed by two blinded graders against pre-established gold standards using an explicit scoring rubric. Results For acid-base disorders, the agentic system achieved 91.0% overall accuracy (95% CI 85.2-96.8%), significantly outperforming GPT-4o (78.0%, P = .002), Gemini (74.5%, P &lt; .001), and human specialists (83.0%, P = .038). SSC hour-1 bundle compliance was 96.8% for the agentic system versus 82.4% for GPT-4o, 79.2% for Gemini, and 90.4% for humans (all P &lt; .05). ROC analysis demonstrated superior discrimination for the agentic system (AUC = 0.932) compared to humans (0.856), GPT-4o (0.814), and Gemini (0.786). Subgroup findings in complex case categories are exploratory given small case numbers. Conclusions In this simulation study using text-based clinical vignettes, an agentic AI system combining GPT-5.0 and Gemini 2.0 Flash demonstrated significantly higher performance than standard LLM implementations and human medical specialists in structured tasks of acid-base interpretation and sepsis bundle compliance. These simulation-based findings suggest that agentic architectures may represent a promising direction for structured clinical decision support; prospective validation in real clinical environments with actual patient data is essential before implementation.</t>
  </si>
  <si>
    <t>Ucdal, M (corresponding author), Etimesgut Sehit Sait Erturk State Hosp, Dept Internal Med, Ankara, Turkiye.</t>
  </si>
  <si>
    <t>meteucdal@hacettepe.edu.tr</t>
  </si>
  <si>
    <t>[Ekingen, Evren] Etimesgut Sehit Sait Erturk State Hosp, Dept Emergency Med, Ankara, Turkiye; [Ucdal, Mete] Etimesgut Sehit Sait Erturk State Hosp, Dept Internal Med, Ankara, Turkiye</t>
  </si>
  <si>
    <t>Agentic GPT-5.0 system outperforms standard large language models and human experts in critical care clinical decision-making: a simulation study</t>
  </si>
  <si>
    <t>Agentic artificial intelligence; GPT-5.0; Large language models; Gemini 2.0 Flash; GPT-4o; Acid-base disorders; Sepsis; Clinical decision support; Critical care; Simulation study</t>
  </si>
  <si>
    <t>MAY 8 2026</t>
  </si>
  <si>
    <t>231</t>
  </si>
  <si>
    <t>10.1186/s12911-026-03555-5</t>
  </si>
  <si>
    <t>http://dx.doi.org/10.1186/s12911-026-03555-5</t>
  </si>
  <si>
    <t>KM0AL</t>
  </si>
  <si>
    <t>42104391</t>
  </si>
  <si>
    <t>WOS:001810128400001</t>
  </si>
  <si>
    <t>Yang, YF; Yang, F; Xiao, SS; Hou, KQ; Chen, KX; Liu, ZY; Liang, CH; Chen, XB; Wang, GY</t>
  </si>
  <si>
    <t>Background Accurate tumor staging and treatment response evaluation (TRE) are critical for nasopharyngeal carcinoma (NPC) clinical decisions. Conventional methods relying on manual imaging analysis are expertise-dependent, time-consuming, and prone to inter-observer variability and errors. Purpose To assess the performance of two large language models (LLMs): ChatGPT-4o-latest and DeepSeek-V3-0324 in automating T, N staging and TRE for NPC patients. Study Type Retrospective. Population Three hundred seven NPC patients from three centers (mean age: 45.5 +/- 11.3 years; 216 men, 91 women). Field Strength/Sequence All imaging was conducted using 3.0T or 1.5T scanners. The imaging sequence included axial T1-weighted fast spin-echo, T2-weighted fast spin-echo, T2-weighted fat-suppressed spin-echo, and Contrast-Enhanced T1-weighted fast spin-echo. Assessment Two radiologists established the reference standards for TN staging at baseline and for TRE at two time points: post-induction chemotherapy (TRE-1) and post-concurrent chemoradiotherapy (TRE-2), based on the 9th version of AJCC/UICC guidelines and the RECIST1.1 criteria. LLMs were via few-shot chain-of-thought prompting and tested on 277 patients with 831 reports. Additionally, four radiologists independently assessed 68 cases both with and without the assistance of LLMs and compared the performance and efficiency in both conditions. Statistical Tests McNemar-Bowker test, Wilcoxon signed-rank test. p &lt; 0.05 was considered statistically significant. Results DeepSeek-V3-0324 significantly outperformed GPT-4o-latest in TRE-1 staging (96.5% vs. 82.9%, p &lt; 0.001). For T staging (95.3% vs. 93.5%, p = 0.24), N staging (93.8% vs. 89.6%, p = 0.265), and TRE-2 (94.9% vs. 93.2%, p = 0.556), the accuracy between DeepSeek-V3-0324 and ChatGPT-4o-latest showed no significant difference. DeepSeek-V3-0324 also showed stronger agreement with expert annotation (kappa = 0.85-0.90), compared to ChatGPT-4o-latest (kappa = 0.49-0.86). Significant improvements in time efficiency were observed across all radiologists with LLM assistance (p &lt; 0.001). Data Conclusion LLMs, particularly DeepSeek-V3-0324, can automate NPC TN staging and TRE with high accuracy, enhancing clinical efficiency. LLMs integration may improve diagnostic consistency, especially for junior clinicians.</t>
  </si>
  <si>
    <t>Yang, Yifan; Yang, Fan; Xiao, Shengsheng; Hou, Kaiqi; Chen, Kexin; Liu, Zaiyi; Liang, Changhong; Chen, Xiaobo; Wang, Guangyi</t>
  </si>
  <si>
    <t>Wang, GY (corresponding author), Southern Med Univ, Guangdong Prov Peoples Hosp, Guangdong Acad Med Sci, Guangzhou, Peoples R China.; Chen, XB (corresponding author), Guangdong Prov Key Lab Artificial Intelligence Med, Guangzhou, Peoples R China.; Chen, XB (corresponding author), Guangdong Prov Peoples Hosp, Guangdong Cardiovasc Inst, Guangdong Acad Med Sci, Guangzhou, Peoples R China.</t>
  </si>
  <si>
    <t>chenxb@gdph.org.cn; wangguangyi@gdph.org.cn</t>
  </si>
  <si>
    <t>the Natural Science Foundation of Guangdong Province</t>
  </si>
  <si>
    <t>the Natural Science Foundation of Guangdong Province (National Natural Science Foundation of Guangdong Province)</t>
  </si>
  <si>
    <t>This work was supported by Natural Science Foundation of Guangdong Province (no. 2022A1515011252), Beijing Medical Award Foundation (no. YXJL202403500250) and the National Natural Scientific Foundation of China (no. 82572316).r No Statement Availabler No Statement Available</t>
  </si>
  <si>
    <t>[Yang, Yifan; Xiao, Shengsheng] South China Univ Technol, Sch Med, Guangzhou, Peoples R China; [Yang, Yifan; Liu, Zaiyi; Liang, Changhong; Wang, Guangyi] Southern Med Univ, Guangdong Prov Peoples Hosp, Guangdong Acad Med Sci, Guangzhou, Peoples R China; [Yang, Fan; Hou, Kaiqi; Chen, Kexin; Chen, Xiaobo] Guangdong Prov Key Lab Artificial Intelligence Med, Guangzhou, Peoples R China; [Yang, Fan; Hou, Kaiqi; Chen, Kexin; Chen, Xiaobo] Guangdong Prov Peoples Hosp, Guangdong Cardiovasc Inst, Guangdong Acad Med Sci, Guangzhou, Peoples R China</t>
  </si>
  <si>
    <t>South China University of Technology; Southern Medical University - China; Guangdong Academy of Medical Sciences &amp; Guangdong General Hospital; Guangdong Academy of Medical Sciences &amp; Guangdong General Hospital; Southern Medical University - China</t>
  </si>
  <si>
    <t>Application of Large Language Models in TN Staging and Treatment Response Evaluation for Patients With Nasopharyngeal Carcinoma: A Comparative Performance Analysis of ChatGPT-4o-Latest and DeepSeek-V3-0324</t>
  </si>
  <si>
    <t>JOURNAL OF MAGNETIC RESONANCE IMAGING</t>
  </si>
  <si>
    <t>large language models; magnetic resonance imaging; nasopharyngeal carcinoma</t>
  </si>
  <si>
    <t>Chen, Xiaobo/NMJ-6080-2025; Wang, Guangyi/MGW-2039-2025; Liu, Zaiyi/L-9212-2015; Chen, Kexin/ISV-0772-2023</t>
  </si>
  <si>
    <t>Yang, Yifan/0009-0002-7119-1417</t>
  </si>
  <si>
    <t>1053-1807</t>
  </si>
  <si>
    <t>1522-2586</t>
  </si>
  <si>
    <t>J MAGN RESON IMAGING</t>
  </si>
  <si>
    <t>J. Magn. Reson. Imaging</t>
  </si>
  <si>
    <t>62</t>
  </si>
  <si>
    <t>1793</t>
  </si>
  <si>
    <t>1801</t>
  </si>
  <si>
    <t>10.1002/jmri.70140</t>
  </si>
  <si>
    <t>http://dx.doi.org/10.1002/jmri.70140</t>
  </si>
  <si>
    <t>A2481</t>
  </si>
  <si>
    <t>41045017</t>
  </si>
  <si>
    <t>WOS:001587448700001</t>
  </si>
  <si>
    <t>Shou, MH; Jia, FR; Yang, RH; Yu, J</t>
  </si>
  <si>
    <t>While prior research has examined the general healthcare applications of Artificial Intelligence Generative Content (AIGC), its specific impacts on user engagement and doctor-patient relationships after integration into online medical consultations remain underexplored. To address this research gap, we adopt a mixed-methods design, combining qualitative analysis to clarify AIGC's influencing mechanisms and quantitative analysis to empirically assess its practical effects. Qualitative findings reveal that AIGC plays a pivotal role in the pre-diagnosis stage, effectively facilitating users' efficient information acquisition and comprehension. Quantitative analyses confirm that pre-diagnostic perceived diagnosticity and serendipity positively predict user engagement during diagnosis and doctor-patient relationships in the post-diagnosis stage across all users. Information presentation modes show gender-heterogeneous moderating effects. Specifically, text-based presentation negatively moderates the link between males' perceived serendipity and engagement, while video-based presentation exerts positive moderating effects for both genders in distinct dimensions. This study extends cue diagnosticity theory and provides gender-specific implications for optimising AIGC applications and information presentation design in online medical services.</t>
  </si>
  <si>
    <t>Shou, Minghuan; Jia, Furong; Yang, Ruihan; Yu, Jie</t>
  </si>
  <si>
    <t>Jia, FR (corresponding author), Xian Jiaotong Liverpool Univ, Coll Ind Entrepreneurs, Suzhou 21500, Peoples R China.; Jia, FR (corresponding author), Xian Jiaotong Liverpool Univ, Hexie Management Res Ctr, Suzhou 21500, Peoples R China.; Jia, FR (corresponding author), Shanghai Jiao Tong Univ, Ruijin Hosp, Sch Med, Ruijin XJTLU Intelligent Med Inst, Shanghai 200025, Peoples R China.</t>
  </si>
  <si>
    <t>furong.jia@xjtlu.edu.cn</t>
  </si>
  <si>
    <t>Xi'an Jiaotong-Liverpool University Research Development Funding [RDF-24-01-017]; Humanities and Social Science Fund of Ministry of Education; National Social Science Fund of China</t>
  </si>
  <si>
    <t>Xi'an Jiaotong-Liverpool University Research Development Funding; Humanities and Social Science Fund of Ministry of Education; National Social Science Fund of China (National Social Science Fund of China (NSSFC))</t>
  </si>
  <si>
    <t>This work is supported by Humanities and Social Science Fund of Ministry of Education (grant number 24YJCZH035), National Social Science Fund of China (grant number 25CKX001), Xi'an Jiaotong-Liverpool University Research Development Funding: Award Number RDF-24-01-017 and Soft Science Research Program of Zhejiang Province (grant number 2026C15016).</t>
  </si>
  <si>
    <t>[Shou, Minghuan] Hangzhou Dianzi Univ, Sch Management, Hangzhou, Peoples R China; [Jia, Furong] Xian Jiaotong Liverpool Univ, Coll Ind Entrepreneurs, Suzhou 21500, Peoples R China; [Jia, Furong] Xian Jiaotong Liverpool Univ, Hexie Management Res Ctr, Suzhou 21500, Peoples R China; [Jia, Furong] Shanghai Jiao Tong Univ, Ruijin Hosp, Sch Med, Ruijin XJTLU Intelligent Med Inst, Shanghai 200025, Peoples R China; [Yang, Ruihan] Temple Univ, Fox Sch Business, Philadelphia, PA USA; [Yu, Jie] Univ Nottingham Ningbo China, Business Sch, Ningbo, Peoples R China</t>
  </si>
  <si>
    <t>Hangzhou Dianzi University; Xi'an Jiaotong-Liverpool University; Xi'an Jiaotong-Liverpool University; Shanghai Jiao Tong University; Pennsylvania Commonwealth System of Higher Education (PCSHE); Temple University; University of Nottingham Ningbo China</t>
  </si>
  <si>
    <t>Improving the doctor-patient relationship: insights from enhancing the integration of generative artificial intelligence (AI) tools in online medical consultation</t>
  </si>
  <si>
    <t>BEHAVIOUR &amp; INFORMATION TECHNOLOGY</t>
  </si>
  <si>
    <t>AIGC; Cue diagnosticity theory; online medical consultation; doctor-patient relationship</t>
  </si>
  <si>
    <t>INFORMATION PRESENTATION; PERCEIVED DIAGNOSTICITY; PRESENTATION FORMAT; DECISION-MAKING; PRODUCT REVIEWS; SOCIAL SUPPORT; PERCEPTIONS; QUALITY; SERENDIPITY; MULTIMEDIA</t>
  </si>
  <si>
    <t>Jia, Furong/GSD-2603-2022</t>
  </si>
  <si>
    <t>0144-929X</t>
  </si>
  <si>
    <t>1362-3001</t>
  </si>
  <si>
    <t>BEHAV INFORM TECHNOL</t>
  </si>
  <si>
    <t>Behav. Inf. Technol.</t>
  </si>
  <si>
    <t>10.1080/0144929X.2026.2662400</t>
  </si>
  <si>
    <t>http://dx.doi.org/10.1080/0144929X.2026.2662400</t>
  </si>
  <si>
    <t>Computer Science, Cybernetics; Ergonomics</t>
  </si>
  <si>
    <t>GX3IJ</t>
  </si>
  <si>
    <t>WOS:001747275800001</t>
  </si>
  <si>
    <t>Mashburn, P; Weuthen, FA; Otte, N; Krabbe, H; Fernandez, GM; Kraus, T; Krabbe, J</t>
  </si>
  <si>
    <t>Background/Objectives: Artificial intelligence (AI) has evolved from early diagnostic expert systems to advanced generative models, such as GPT-4, which are increasingly being used in healthcare. Concerns persist regarding inaccuracies and input dependency. This study aimed to deliver initial insights into whether gender influences the interaction of medical professionals with generative AI. Methods: This analysis investigated gender differences in medical students' and physicians' interactions with ChatGPT-4 while researching occupational medicine cases in a randomized controlled study. Participants assessed cases involving asbestos-related disease, metal sulfate allergy, and berylliosis using ChatGPT. Inputs and outputs were evaluated for accuracy, confabulations, communication styles, and user satisfaction. Demographic data and self-assessments of occupational medicine knowledge before and after the tasks were also collected. Results: Among 27 participants (63% women, 37% men), women showed greater knowledge improvement after using ChatGPT, particularly in asbestos-related cancer identification. No significant gender differences emerged in diagnostic accuracy, reporting procedures, or satisfaction with ChatGPT. Women exhibited significantly higher self-rated competence after using the ChatGPT application, while men only showed minimal change. Input from the female participants led to more confabulations, although response accuracy remained comparable. Conclusions: This study offers the first real-world insights into the use of generative AI in occupational medicine, highlighting the importance of understanding user-dependent variability in AI-supported clinical practice and decision-making. These findings underscore the need for gender-sensitive AI literacy training in medical education, accommodating diverse interaction styles and strategies to mitigate AI-generated misinformation. Future research with larger and more diverse cohorts could provide deeper insights into the influence of gender, age, and experience on AI utilization in healthcare. Integrating gender-based interaction differences into AI training and applications may improve clinical performance and promote more equitable healthcare practices.</t>
  </si>
  <si>
    <t>Mashburn, Patricia; Weuthen, Felix A.; Otte, Nelly; Krabbe, Hanif; Fernandez, Gerardo M.; Kraus, Thomas; Krabbe, Julia</t>
  </si>
  <si>
    <t>Krabbe, J (corresponding author), Rhein Westfal TH Aachen, Inst Occupat Social &amp; Environm Med, Med Fac, D-52074 Aachen, Germany.; Krabbe, J (corresponding author), Ruhr Univ Bochum, Inst Ruhr Univ Bochum IPA, Inst Prevent &amp; Occupat Med, Med Fac,German Social Accid Insurance, D-44789 Bochum, Germany.</t>
  </si>
  <si>
    <t>julia.krabbe@rwth-aachen.de</t>
  </si>
  <si>
    <t>[Mashburn, Patricia; Weuthen, Felix A.; Otte, Nelly; Kraus, Thomas; Krabbe, Julia] Rhein Westfal TH Aachen, Inst Occupat Social &amp; Environm Med, Med Fac, D-52074 Aachen, Germany; [Krabbe, Hanif] Ruhr Univ Bochum, St Josef Hosp Bochum, Med Fac, Dept Vasc Surg,Kathol Klin Bochum, D-44791 Bochum, Germany; [Fernandez, Gerardo M.] IU Int Univ Appl Sci Berlin, Fac Int Healthcare Management Publ Hlth, D-10247 Berlin, Germany; [Krabbe, Julia] Ruhr Univ Bochum, Inst Ruhr Univ Bochum IPA, Inst Prevent &amp; Occupat Med, Med Fac,German Social Accid Insurance, D-44789 Bochum, Germany</t>
  </si>
  <si>
    <t>RWTH Aachen University; Ruhr University Bochum; Ruhr University Bochum</t>
  </si>
  <si>
    <t>Gender Differences in the Use of ChatGPT as Generative Artificial Intelligence for Clinical Research and Decision-Making in Occupational Medicine</t>
  </si>
  <si>
    <t>HEALTHCARE</t>
  </si>
  <si>
    <t>ChatGPT; artificial intelligence; large language models; gender; occupational medicine</t>
  </si>
  <si>
    <t>HEALTH-CARE</t>
  </si>
  <si>
    <t>Krabbe, Julia/AAE-7134-2022</t>
  </si>
  <si>
    <t>, Felix A Weuthen/0009-0006-1018-7675; Otte, Nelly/0000-0002-3210-7553</t>
  </si>
  <si>
    <t>2227-9032</t>
  </si>
  <si>
    <t>HEALTHCARE-BASEL</t>
  </si>
  <si>
    <t>Healthcare</t>
  </si>
  <si>
    <t>JUN 11 2025</t>
  </si>
  <si>
    <t>1394</t>
  </si>
  <si>
    <t>10.3390/healthcare13121394</t>
  </si>
  <si>
    <t>http://dx.doi.org/10.3390/healthcare13121394</t>
  </si>
  <si>
    <t>Health Care Sciences &amp; Services; Health Policy &amp; Services</t>
  </si>
  <si>
    <t>4CQ0S</t>
  </si>
  <si>
    <t>40565419</t>
  </si>
  <si>
    <t>WOS:001514837500001</t>
  </si>
  <si>
    <t>Reddy, S</t>
  </si>
  <si>
    <t>BackgroundArtificial intelligence (AI), particularly generative AI, has emerged as a transformative tool in healthcare, with the potential to revolutionize clinical decision-making and improve health outcomes. Generative AI, capable of generating new data such as text and images, holds promise in enhancing patient care, revolutionizing disease diagnosis and expanding treatment options. However, the utility and impact of generative AI in healthcare remain poorly understood, with concerns around ethical and medico-legal implications, integration into healthcare service delivery and workforce utilisation. Also, there is not a clear pathway to implement and integrate generative AI in healthcare delivery.MethodsThis article aims to provide a comprehensive overview of the use of generative AI in healthcare, focusing on the utility of the technology in healthcare and its translational application highlighting the need for careful planning, execution and management of expectations in adopting generative AI in clinical medicine. Key considerations include factors such as data privacy, security and the irreplaceable role of clinicians' expertise. Frameworks like the technology acceptance model (TAM) and the Non-Adoption, Abandonment, Scale-up, Spread and Sustainability (NASSS) model are considered to promote responsible integration. These frameworks allow anticipating and proactively addressing barriers to adoption, facilitating stakeholder participation and responsibly transitioning care systems to harness generative AI's potential.ResultsGenerative AI has the potential to transform healthcare through automated systems, enhanced clinical decision-making and democratization of expertise with diagnostic support tools providing timely, personalized suggestions. Generative AI applications across billing, diagnosis, treatment and research can also make healthcare delivery more efficient, equitable and effective. However, integration of generative AI necessitates meticulous change management and risk mitigation strategies. Technological capabilities alone cannot shift complex care ecosystems overnight; rather, structured adoption programs grounded in implementation science are imperative.ConclusionsIt is strongly argued in this article that generative AI can usher in tremendous healthcare progress, if introduced responsibly. Strategic adoption based on implementation science, incremental deployment and balanced messaging around opportunities versus limitations helps promote safe, ethical generative AI integration. Extensive real-world piloting and iteration aligned to clinical priorities should drive development. With conscientious governance centred on human wellbeing over technological novelty, generative AI can enhance accessibility, affordability and quality of care. As these models continue advancing rapidly, ongoing reassessment and transparent communication around their strengths and weaknesses remain vital to restoring trust, realizing positive potential and, most importantly, improving patient outcomes.</t>
  </si>
  <si>
    <t>Reddy, Sandeep</t>
  </si>
  <si>
    <t>Reddy, S (corresponding author), Deakin Sch Med, Geelong, Vic 3215, Australia.</t>
  </si>
  <si>
    <t>sandeep.reddy@deakin.edu.au</t>
  </si>
  <si>
    <t>[Reddy, Sandeep] Deakin Sch Med, Geelong, Vic 3215, Australia</t>
  </si>
  <si>
    <t>Deakin University</t>
  </si>
  <si>
    <t>Generative AI in healthcare: an implementation science informed translational path on application, integration and governance</t>
  </si>
  <si>
    <t>IMPLEMENTATION SCIENCE</t>
  </si>
  <si>
    <t>Generative artificial intelligence; Healthcare; Implementation science; Translation pathway</t>
  </si>
  <si>
    <t>ARTIFICIAL-INTELLIGENCE; MEDICINE; ACCEPTANCE; MODEL</t>
  </si>
  <si>
    <t>Reddy, Sandeep/HTT-0221-2023</t>
  </si>
  <si>
    <t>Reddy, Sandeep/0000-0002-5824-4900</t>
  </si>
  <si>
    <t>71</t>
  </si>
  <si>
    <t>334</t>
  </si>
  <si>
    <t>397</t>
  </si>
  <si>
    <t>561</t>
  </si>
  <si>
    <t>1748-5908</t>
  </si>
  <si>
    <t>IMPLEMENT SCI</t>
  </si>
  <si>
    <t>Implement. Sci.</t>
  </si>
  <si>
    <t>MAR 15 2024</t>
  </si>
  <si>
    <t>10.1186/s13012-024-01357-9</t>
  </si>
  <si>
    <t>http://dx.doi.org/10.1186/s13012-024-01357-9</t>
  </si>
  <si>
    <t>LG2L1</t>
  </si>
  <si>
    <t>38491544</t>
  </si>
  <si>
    <t>WOS:001185562300001</t>
  </si>
  <si>
    <t>Ultsch, A; Lötsch, J</t>
  </si>
  <si>
    <t>Small sample sizes in biomedical research often led to poor reproducibility and challenges in translating findings into clinical applications. This problem stems from limited study resources, rare diseases, ethical considerations in animal studies, costly expert diagnosis, and others. As a contribution to the problem, we propose a novel generative algorithm based on self-organizing maps (SOMs) to computationally increase sample sizes. The proposed unsupervised generative algorithm uses neural networks to detect inherent structure even in small multivariate datasets, distinguishing between sparse "void" and dense "cloud" regions. Using emergent SOMs (ESOMs), the algorithm adapts to high-dimensional data structures and generates for each original data point k new points by randomly selecting positions within an adapted hypersphere with distances based on valid neighborhood probabilities. Experiments on artificial and biomedical (omics) datasets show that the generated data preserve the original structure without introducing artifacts. Random forests and support vector machines cannot distinguish between generated and original data, and the variables of original and generated data sets are not statistically different. The method successfully augments small group sizes, such as transcriptomics data from a rare form of leukemia and lipidomics data from arthritis research. The novel ESOM-based generative algorithm presents a promising solution for enhancing sample sizes in small or rare case datasets, even when limited training data are available. This approach can address challenges associated with small sample sizes in biomedical research, offering a tool for improving the reliability and robustness of scientific findings in this field. Availability: R library "Umatrix" (https://cran.r-project.org/package=Umatrix).</t>
  </si>
  <si>
    <t>Ultsch, Alfred; Loetsch, Joern</t>
  </si>
  <si>
    <t>Lötsch, J (corresponding author), Goethe Univ, Theodor Stern Kai 7, D-60590 Frankfurt, Germany.</t>
  </si>
  <si>
    <t>j.loetsch@em.uni-frankfurt.de; ultsch@Mathematik.Uni-Marburg.de</t>
  </si>
  <si>
    <t>Deutsche Forschungsgemeinschaft (DFG) [LO 612/16-1]</t>
  </si>
  <si>
    <t>Deutsche Forschungsgemeinschaft (DFG) (German Research Foundation (DFG))</t>
  </si>
  <si>
    <t>J.L. was supported by the Deutsche Forschungsgemeinschaft (DFG LO 612/16-1).</t>
  </si>
  <si>
    <t>[Ultsch, Alfred] Univ Marburg, DataBion Res Grp, Hans Meerwein Str 6, D-35032 Marburg, Germany; [Loetsch, Joern] Goethe Univ, Inst Clin Pharmacol, Theodor Stern Kai 7, D-60590 Frankfurt, Germany; [Loetsch, Joern] Univ Helsinki, Fac Med, Haartmaninkatu 8, Helsinki 00014, Finland; [Loetsch, Joern] Fraunhofer Inst Translat Med &amp; Pharmacol ITMP, Theodor Stern Kai 7, D-60596 Frankfurt, Germany</t>
  </si>
  <si>
    <t>Philipps University Marburg; Goethe University Frankfurt; University of Helsinki</t>
  </si>
  <si>
    <t>Augmenting small biomedical datasets using generative AI methods based on self-organizing neural networks</t>
  </si>
  <si>
    <t>BRIEFINGS IN BIOINFORMATICS</t>
  </si>
  <si>
    <t>machine learning; generative algorithms; data science; biomedical data; self-organizing maps; artificial neurons; data generation</t>
  </si>
  <si>
    <t>DISTRIBUTIONS; ALGORITHM; PATTERN</t>
  </si>
  <si>
    <t>Lotsch, Jorn/0000-0002-5818-6958</t>
  </si>
  <si>
    <t>92</t>
  </si>
  <si>
    <t>1467-5463</t>
  </si>
  <si>
    <t>1477-4054</t>
  </si>
  <si>
    <t>BRIEF BIOINFORM</t>
  </si>
  <si>
    <t>Brief. Bioinform.</t>
  </si>
  <si>
    <t>DEC 10 2024</t>
  </si>
  <si>
    <t>bbae640</t>
  </si>
  <si>
    <t>10.1093/bib/bbae640</t>
  </si>
  <si>
    <t>http://dx.doi.org/10.1093/bib/bbae640</t>
  </si>
  <si>
    <t>Biochemical Research Methods; Mathematical &amp; Computational Biology</t>
  </si>
  <si>
    <t>Biochemistry &amp; Molecular Biology; Mathematical &amp; Computational Biology</t>
  </si>
  <si>
    <t>O8J3S</t>
  </si>
  <si>
    <t>39658207</t>
  </si>
  <si>
    <t>WOS:001373520000001</t>
  </si>
  <si>
    <t>Pagano, S; Holzapfel, S; Kappenschneider, T; Meyer, M; Maderbacher, G; Grifka, J; Holzapfel, DE</t>
  </si>
  <si>
    <t>Background The spread of artificial intelligence (AI) has led to transformative advancements in diverse sectors, including healthcare. Specifically, generative writing systems have shown potential in various applications, but their effectiveness in clinical settings has been barely investigated. In this context, we evaluated the proficiency of ChatGPT-4 in diagnosing gonarthrosis and coxarthrosis and recommending appropriate treatments compared with orthopaedic specialists.Methods A retrospective review was conducted using anonymized medical records of 100 patients previously diagnosed with either knee or hip arthrosis. ChatGPT-4 was employed to analyse these historical records, formulating both a diagnosis and potential treatment suggestions. Subsequently, a comparative analysis was conducted to assess the concordance between the AI's conclusions and the original clinical decisions made by the physicians.Results In diagnostic evaluations, ChatGPT-4 consistently aligned with the conclusions previously drawn by physicians. In terms of treatment recommendations, there was an 83% agreement between the AI and orthopaedic specialists. The therapeutic concordance was verified by the calculation of a Cohen's Kappa coefficient of 0.580 (p &lt; 0.001). This indicates a moderate-to-good level of agreement. In recommendations pertaining to surgical treatment, the AI demonstrated a sensitivity and specificity of 78% and 80%, respectively. Multivariable logistic regression demonstrated that the variables reduced quality of life (OR 49.97, p &lt; 0.001) and start-up pain (OR 12.54, p = 0.028) have an influence on ChatGPT-4's recommendation for a surgery.Conclusion This study emphasises ChatGPT-4's notable potential in diagnosing conditions such as gonarthrosis and coxarthrosis and in aligning its treatment recommendations with those of orthopaedic specialists. However, it is crucial to acknowledge that AI tools such as ChatGPT-4 are not meant to replace the nuanced expertise and clinical judgment of seasoned orthopaedic surgeons, particularly in complex decision-making scenarios regarding treatment indications. Due to the exploratory nature of the study, further research with larger patient populations and more complex diagnoses is necessary to validate the findings and explore the broader potential of AI in healthcare.</t>
  </si>
  <si>
    <t>Pagano, Stefano; Holzapfel, Sabrina; Kappenschneider, Tobias; Meyer, Matthias; Maderbacher, Guenther; Grifka, Joachim; Holzapfel, Dominik Emanuel</t>
  </si>
  <si>
    <t>Pagano, S (corresponding author), Univ Regensburg, Dept Orthopaed Surg, Asklepios Klinikum, Bad Abbach, Germany.</t>
  </si>
  <si>
    <t>stefano.pagano@ukr.de</t>
  </si>
  <si>
    <t>Universitt Regensburg (3161)</t>
  </si>
  <si>
    <t>Not applicable.</t>
  </si>
  <si>
    <t>[Pagano, Stefano; Kappenschneider, Tobias; Meyer, Matthias; Maderbacher, Guenther; Grifka, Joachim; Holzapfel, Dominik Emanuel] Univ Regensburg, Dept Orthopaed Surg, Asklepios Klinikum, Bad Abbach, Germany; [Holzapfel, Sabrina] Univ Regensburg, Univ Childrens Hosp Regensburg, Hosp St Hedwig Order St John, Dept Neonatol, Regensburg, Germany</t>
  </si>
  <si>
    <t>University of Regensburg; University of Regensburg</t>
  </si>
  <si>
    <t>Arthrosis diagnosis and treatment recommendations in clinical practice: an exploratory investigation with the generative AI model GPT-4</t>
  </si>
  <si>
    <t>JOURNAL OF ORTHOPAEDICS AND TRAUMATOLOGY</t>
  </si>
  <si>
    <t>Artificial intelligence; ChatGPT-4; Large language model; Orthopaedics; Total joint replacement; Arthrosis</t>
  </si>
  <si>
    <t>RELIABILITY</t>
  </si>
  <si>
    <t>Pagano, Stefano/MVT-9991-2025; /S-5946-2019</t>
  </si>
  <si>
    <t>Pagano, Stefano/0009-0006-6721-7564</t>
  </si>
  <si>
    <t>1590-9921</t>
  </si>
  <si>
    <t>1590-9999</t>
  </si>
  <si>
    <t>J ORTHOP TRAUMATOL</t>
  </si>
  <si>
    <t>J. Orthop. Traumatol.</t>
  </si>
  <si>
    <t>NOV 28 2023</t>
  </si>
  <si>
    <t>10.1186/s10195-023-00740-4</t>
  </si>
  <si>
    <t>http://dx.doi.org/10.1186/s10195-023-00740-4</t>
  </si>
  <si>
    <t>Orthopedics</t>
  </si>
  <si>
    <t>Z2NI5</t>
  </si>
  <si>
    <t>38015298</t>
  </si>
  <si>
    <t>WOS:001110492100001</t>
  </si>
  <si>
    <t>gold; Green Accepted; Green Submitted</t>
  </si>
  <si>
    <t>Özbek, IC; Alyanak, B; Dede, BT; Temel, MH; Yildizgören, MT; Bagcier, F</t>
  </si>
  <si>
    <t>Objectives Generative artificial intelligence (AI) models capable of producing photorealistic medical images are increasingly proposed for patient education, clinical illustration, and trainee instruction. However, their ability to accurately represent anatomically distinct disease subtypes remains unclear. This study evaluated the diagnostic accuracy of a widely used generative AI model in producing images corresponding to the five anatomical lipedema types defined by the Schmeller classification.Methods In this prospective audit, ChatGPT's image-generation interface was prompted to create 60 images for each lipedema type (Types I-V),yielding 300 images. Prompts were standardized and limited to the subtype label without additional descriptors. Two clinicians independently classified each image into one of the five lipedema types or as indeterminate, blinded to the original prompt; disagreements were resolved by a third clinician. Diagnostic performance was assessed using a confusion matrix and per-type sensitivity, specificity, positive predictive value(PPV), negative predictive value (NPV),F1-score,and one-vs-rest receiver operating characteristic area under the curve (ROC AUC). Overall accuracy and Cohen's kappa statistics were also calculated.Results All 300 images were evaluable. The model generated anatomically consistent images for Types I,II, and III (sensitivity = 1.00 for each). Specificity was 1.00 for Types I and II but 0.50 for Type III because all images requested as Types IV and V were classified as Type III. Consequently, the model failed to generate any images consistent with Type IV(arm-predominant) or Type V(calf-isolated) lipedema (sensitivity = 0.00 for both). Overall accuracy was 0.600. Unweighted and quadratic-weighted Cohen's kappa values were 0.500 and 0.667, respectively. Micro- and macro-averaged ROC AUC were both 0.750.Conclusion The model reproduces severity gradients within lower-extremity lipedema but systematically collapses anatomically distinct subtypes into the dominant Type III phenotype, failing to depict arm-predominant and calf-isolated disease. Current generative AI systems may therefore encode lipedema as a single visual phenotype rather than a distributed anatomical entity, limiting their reliability for medical education and clinical communication.</t>
  </si>
  <si>
    <t>Ozbek, Ilhan Celil; Alyanak, Bulent; Dede, Burak Tayyip; Temel, Mustafa Huseyin; Yildizgoren, Mustafa Turgut; Bagcier, Fatih</t>
  </si>
  <si>
    <t>Özbek, IC (corresponding author), Univ Hlth Sci, Derince Training &amp; Res Hosp, Dept Phys Med &amp; Rehabil, Ibni Sina Blvd, TR-41900 Kocaeli, Turkiye.</t>
  </si>
  <si>
    <t>ilhanozbek7@gmail.com</t>
  </si>
  <si>
    <t>The authors received no financial support for the research, authorship, and/or publication of this article.</t>
  </si>
  <si>
    <t>[Ozbek, Ilhan Celil] Univ Hlth Sci, Derince Training &amp; Res Hosp, Dept Phys Med &amp; Rehabil, Ibni Sina Blvd, TR-41900 Kocaeli, Turkiye; [Alyanak, Bulent] Golcuk Necati Celik State Hosp, Dept Phys Med &amp; Rehabil, Kocaeli, Turkiye; [Dede, Burak Tayyip] Prof Dr Cemil Tascioglu City Hosp, Dept Phys Med &amp; Rehabil, Istanbul, Turkiye; [Temel, Mustafa Huseyin] Univ Hlth Sci, Sultan Abdulhamid Han Training &amp; Res Hosp, Dept Phys Med &amp; Rehabil, Istanbul, Turkiye; [Yildizgoren, Mustafa Turgut] Univ Necmettin Erbakan, Dept Pyhs Med &amp; Rehabil, Fac Meram Med, Konya, Turkiye; [Bagcier, Fatih] Private Practice, Phys Med &amp; Rehabil, Istanbul, Turkiye</t>
  </si>
  <si>
    <t>University of Health Sciences Turkey; Kocaeli Derince Training &amp; Research Hospital; Kocaeli Golcuk State Hospital; University of Health Sciences Turkey; Necmettin Erbakan University</t>
  </si>
  <si>
    <t>Evaluation of generative artificial intelligence in producing anatomically distinct lipedema subtypes: A diagnostic accuracy study</t>
  </si>
  <si>
    <t>PHLEBOLOGY</t>
  </si>
  <si>
    <t>lipedema; generative artificial intelligence; ChatGPT; image generation; diagnostic accuracy; medical education; bias</t>
  </si>
  <si>
    <t>PERFORMANCE; CLASSIFICATION; GUIDELINES</t>
  </si>
  <si>
    <t>Ozbek, ilhancelil/NGS-6313-2025; /AFE-2169-2022; Bagcier, Fatih/AAJ-6714-2020; Dede, Burak Tayyip/JWA-6810-2024; Alyanak, Bülent/HII-2664-2022</t>
  </si>
  <si>
    <t>0268-3555</t>
  </si>
  <si>
    <t>1758-1125</t>
  </si>
  <si>
    <t>Phlebology</t>
  </si>
  <si>
    <t>10.1177/02683555261467340</t>
  </si>
  <si>
    <t>http://dx.doi.org/10.1177/02683555261467340</t>
  </si>
  <si>
    <t>Surgery; Peripheral Vascular Disease</t>
  </si>
  <si>
    <t>Surgery; Cardiovascular System &amp; Cardiology</t>
  </si>
  <si>
    <t>KK5ZC</t>
  </si>
  <si>
    <t>42389893</t>
  </si>
  <si>
    <t>WOS:001809176000001</t>
  </si>
  <si>
    <t>Feng, XR; Xu, KZ; Luo, MJ; Chen, HC; Yang, YF; He, Q; Song, CX; Li, RY; Wu, Y; Wang, HB; Tham, YC; Ting, DSW; Lin, HT; Wong, TY; Lam, DSC</t>
  </si>
  <si>
    <t>The emergence of generative artificial intelligence (AI) has revolutionized various fields. In ophthalmology, generative AI has the potential to enhance efficiency, accuracy, personalization and innovation in clinical practice and medical research, through processing data, streamlining medical documentation, facilitating patient-doctor communication, aiding in clinical decision-making, and simulating clinical trials. This review focuses on the development and integration of generative AI models into clinical workflows and scientific research of ophthalmology. It outlines the need for development of a standard framework for comprehensive assessments, robust evidence, and exploration of the potential of multimodal capabilities and intelligent agents. Additionally, the review addresses the risks in AI model development and application in clinical service and research of ophthalmology, including data privacy, data bias, adaptation friction, over interdependence, and job replacement, based on which we summarized a risk management framework to mitigate these concerns. This review highlights the transformative potential of generative AI in enhancing patient care, improving operational efficiency in the clinical service and research in ophthalmology. It also advocates for a balanced approach to its adoption.</t>
  </si>
  <si>
    <t>Feng, Xiaoru; Xu, Kezheng; Luo, Ming-Jie; Chen, Haichao; Yang, Yangfan; He, Qi; Song, Chenxin; Li, Ruiyao; Wu, You; Wang, Haibo; Tham, Yih Chung; Ting, Daniel Shu Wei; Lin, Haotian; Wong, Tien Yin; Lam, Dennis Shun-chiu</t>
  </si>
  <si>
    <t>Wu, Y (corresponding author), Tsinghua Univ, Tsinghua Med, Inst Hosp Management, Beijing, Peoples R China.; Wang, HB (corresponding author), Sun Yat Sen Univ, Affiliated Hosp 1, Guangzhou, Peoples R China.</t>
  </si>
  <si>
    <t>haibo@mail.harvard.edu; youwu@tsinghua.edu.cn</t>
  </si>
  <si>
    <t>Tsinghua University Start-up Fund [53335000124]</t>
  </si>
  <si>
    <t>Tsinghua University Start-up Fund (Tsinghua University)</t>
  </si>
  <si>
    <t>This work was supported by Tsinghua University Start-up Fund #53335000124.</t>
  </si>
  <si>
    <t>[Feng, Xiaoru] Tsinghua Univ, Tsinghua Med, Sch Biomed Engn, Beijing, Peoples R China; [Feng, Xiaoru; Wu, You] Tsinghua Univ, Tsinghua Med, Inst Hosp Management, Beijing, Peoples R China; [Xu, Kezheng; Luo, Ming-Jie; Yang, Yangfan; Lin, Haotian] Sun Yat Sen Univ, Guangdong Prov Clin Res Ctr Ocular Dis, Guangdong Prov Key Lab Ophthalmol &amp; Visual Sci, State Key Lab Ophthalmol,Zhongshan Ophthalm Ctr, Guangzhou, Peoples R China; [Chen, Haichao; Wong, Tien Yin] Tsinghua Univ, Beijing Tsinghua Changgung Hosp, Sch Clin Med, Tsinghua Med, Beijing, Peoples R China; [He, Qi; Song, Chenxin; Li, Ruiyao; Wang, Haibo] Sun Yat Sen Univ, Affiliated Hosp 1, Res Ctr Big Data &amp; Artificial Res Med, Guangzhou, Peoples R China; [Wu, You] Tsinghua Univ, Sch Basic Med Sci, Tsinghua Med, Beijing, Peoples R China; [Wu, You] Johns Hopkins Univ, Bloomberg Sch Publ Hlth, Dept Hlth Policy &amp; Management, Baltimore, MD USA; [Tham, Yih Chung] Natl Univ Singapore, Yong Loo Lin Sch Med, Dept Ophthalmol, Singapore, Singapore; [Tham, Yih Chung] Natl Univ Singapore, Ctr Innovat &amp; Precis Eye Hlth, Yong Loo Lin Sch Med, Singapore, Singapore; [Tham, Yih Chung; Ting, Daniel Shu Wei] Singapore Natl Eye Ctr, Singapore Eye Res Inst, Singapore, Singapore; [Tham, Yih Chung; Ting, Daniel Shu Wei; Wong, Tien Yin] Duke NUS Med Sch, Ophthalmol &amp; Visual Sci Acad Clin Program, Singapore, Singapore; [Ting, Daniel Shu Wei] Stanford Univ, Byers Eye Inst, Palo Alto, CA USA; [Lin, Haotian] Sun Yat Sen Univ, Ctr Precis Med, Zhongshan Sch Med, Guangzhou, Peoples R China; [Lin, Haotian] Sun Yat Sen Univ, Zhongshan Sch Med, Dept Genet &amp; Biomed Informat, Guangzhou, Peoples R China; [Lin, Haotian] Sun Yat Sen Univ, Hainan Eye Hosp, Haikou, Peoples R China; [Lin, Haotian] Sun Yat Sen Univ, Zhongshan Ophthalm Ctr, Key Lab Ophthalmol, Haikou, Peoples R China; [Wong, Tien Yin] Tsinghua Univ, Tsinghua Med, Beijing, Peoples R China; [Lam, Dennis Shun-chiu] Chinese Univ Hong Kong Shenzhen, Int Eye Res Inst, Shenzhen, Peoples R China; [Lam, Dennis Shun-chiu] C MER Int Eye Care Grp, Hong Kong, Peoples R China</t>
  </si>
  <si>
    <t>Tsinghua University; Tsinghua University; Tsinghua Shenzhen International Graduate School; Sun Yat Sen University; Tsinghua University; Sun Yat Sen University; Tsinghua University; Johns Hopkins University; Johns Hopkins Bloomberg School of Public Health; National University of Singapore; National University of Singapore; National University of Singapore; Singapore National Eye Center; National University of Singapore; Stanford University; Sun Yat Sen University; Sun Yat Sen University; Sun Yat Sen University; Sun Yat Sen University; Tsinghua University; The Chinese University of Hong Kong, Shenzhen</t>
  </si>
  <si>
    <t>Latest developments of generative artificial intelligence and applications in ophthalmology</t>
  </si>
  <si>
    <t>ASIA-PACIFIC JOURNAL OF OPHTHALMOLOGY</t>
  </si>
  <si>
    <t>Generative artificial intelligence; Ophthalmology; Risk management; Clinical workflow; AI in medical research</t>
  </si>
  <si>
    <t>MODEL; IMPLEMENTATION; PREDICTION; CHATGPT</t>
  </si>
  <si>
    <t>Feng, Xiaoru/JSK-4369-2023; Wu, You/KBB-7094-2024; Lam, Dennis/AAL-1211-2020; li, ruiyao/KHW-1440-2024; Tham, Yih Chung/IUP-0091-2023; CHEN, HAICHAO/HRC-8252-2023; Ting, Daniel/QOC-0597-2026; luo, mingjie/PBU-6455-2025; Wong, Tien/AAC-9724-2020</t>
  </si>
  <si>
    <t>Feng, Xiaoru/0000-0001-5674-9043; Wu, You/0000-0001-9672-6129; Xu, Kezheng/0009-0006-3003-3374</t>
  </si>
  <si>
    <t>132</t>
  </si>
  <si>
    <t>2162-0989</t>
  </si>
  <si>
    <t>ASIA-PAC J OPHTHALMO</t>
  </si>
  <si>
    <t>Asia-Pac. J. Ophthalmol.</t>
  </si>
  <si>
    <t>JUL-AUG 2024</t>
  </si>
  <si>
    <t>100090</t>
  </si>
  <si>
    <t>10.1016/j.apjo.2024.100090</t>
  </si>
  <si>
    <t>http://dx.doi.org/10.1016/j.apjo.2024.100090</t>
  </si>
  <si>
    <t>F3R1E</t>
  </si>
  <si>
    <t>39128549</t>
  </si>
  <si>
    <t>WOS:001309018400001</t>
  </si>
  <si>
    <t>Ghanbari, F; Morales, MA; Street, JA; Rodriguez, J; Johnson, S; Pierce, P; Carty, A; Ngo, LH; Hoeger, CW; Tsao, CW; Manning, WJ; Nezafat, R</t>
  </si>
  <si>
    <t>Purpose To develop and evaluate a free-breathing, highly accelerated, multisection, single-beat cine sequence for cardiac MRI. Materials and Methods This prospective study, conducted from July 2022 to December 2023, included participants with various cardiac conditions as well as healthy participants who were imaged using a 3-T MRI system. A single-beat sequence was implemented, collecting data for each section in one heartbeat. Images were acquired with an in-plane spatiotemporal resolution of 1.9 x 1.9 mm(2) and 37 msec and reconstructed using resolution enhancement generative adversarial inline neural network (REGAIN), a deep learning model. Multibreath-hold k-space-segmented (4.2-fold acceleration) and free-breathing single-beat (14.8-fold acceleration) cine images were collected, both reconstructed with REGAIN. Left ventricular (LV) and right ventricular (RV) parameters between the two methods were evaluated with linear regression, Bland-Altman analysis, and Pearson correlation. Three expert cardiologists independently scored diagnostic and image quality. Scan and rescan reproducibility was evaluated in a subset of participants 1 year apart using the intraclass correlation coefficient (ICC). Results This study included 136 participants (mean age [SD], 54 years +/- 15; 69 female, 67 male), 40 healthy and 96 with cardiac conditions. k-Space-segmented and single-beat scan times were 2.6 minutes +/- 0.8 and 0.5 minute +/- 0.1, respectively. Strong correlations (P &lt; .001) were observed between k-space-segmented and single-beat cine parameters in both LV (r = 0.97-0.99) and RV (r = 0.89-0.98). Scan and rescan reproducibility of single-beat cine was excellent (ICC, 0.97-1.0). Agreement among readers was high, with 125 of 136 (92%) images consistently assessed as diagnostic and 133 of 136 (98%) consistently rated as having good image quality by all readers. Conclusion Free-breathing 30-second single-beat cardiac cine MRI yielded accurate biventricular measurements, reduced scan time, and maintained high diagnostic and image quality compared with conventional multibreath-hold k-space-segmented cine images.</t>
  </si>
  <si>
    <t>Ghanbari, Fahime; Morales, Manuel A.; Street, Jordan A.; Rodriguez, Jennifer; Johnson, Scott; Pierce, Patrick; Carty, Adele; Ngo, Long H.; Hoeger, Christopher W.; Tsao, Connie W.; Manning, Warren J.; Nezafat, Reza</t>
  </si>
  <si>
    <t>Nezafat, R (corresponding author), Beth Israel Deaconess Med Ctr, Dept Med, Cardiovasc Div, 330 Brookline Ave, Boston, MA 02215 USA.</t>
  </si>
  <si>
    <t>rnezafat@bidmc.harvard.edu</t>
  </si>
  <si>
    <t>National Institutes of Health (NIH) [R01 HL158077]</t>
  </si>
  <si>
    <t>National Institutes of Health (NIH) (United States Department of Health &amp; Human Services, National Institutes of Health (NIH) - USA)</t>
  </si>
  <si>
    <t>Funding: R.N. receives grant funding from the National Institutes of Health (NIH) grant R01 HL158077.</t>
  </si>
  <si>
    <t>[Ghanbari, Fahime; Morales, Manuel A.; Street, Jordan A.; Rodriguez, Jennifer; Johnson, Scott; Pierce, Patrick; Carty, Adele; Ngo, Long H.; Hoeger, Christopher W.; Tsao, Connie W.; Manning, Warren J.; Nezafat, Reza] Beth Israel Deaconess Med Ctr, Dept Med, Cardiovasc Div, 330 Brookline Ave, Boston, MA 02215 USA; [Manning, Warren J.] Harvard Med Sch, Beth Israel Deaconess Med Ctr, Dept Radiol, Boston, MA USA</t>
  </si>
  <si>
    <t>Harvard University; Harvard University Medical Affiliates; Beth Israel Deaconess Medical Center; Harvard University; Harvard Medical School; Harvard University Medical Affiliates; Beth Israel Deaconess Medical Center</t>
  </si>
  <si>
    <t>Free-breathing, Highly Accelerated, Single-beat, Multisection Cardiac Cine MRI with Generative Artificial Intelligence</t>
  </si>
  <si>
    <t>RADIOLOGY-CARDIOTHORACIC IMAGING</t>
  </si>
  <si>
    <t>CARDIOVASCULAR MAGNETIC-RESONANCE; VALIDATION</t>
  </si>
  <si>
    <t>Hoeger, Christopher/0000-0002-9008-1099; Ghanbari, Fahime/0000-0002-4062-4550; Street, Jordan Amy/0009-0002-6495-0008</t>
  </si>
  <si>
    <t>RADIOLOGICAL SOC NORTH AMERICA (RSNA)</t>
  </si>
  <si>
    <t>OAK BROOK</t>
  </si>
  <si>
    <t>820 JORIE BLVD, SUITE 200, OAK BROOK, ILLINOIS, UNITED STATES</t>
  </si>
  <si>
    <t>2638-6135</t>
  </si>
  <si>
    <t>RADIOL-CARDIOTHORAC</t>
  </si>
  <si>
    <t>Radiol.-Cardiothorac. Imaging</t>
  </si>
  <si>
    <t>e240272</t>
  </si>
  <si>
    <t>10.1148/ryct.240272</t>
  </si>
  <si>
    <t>http://dx.doi.org/10.1148/ryct.240272</t>
  </si>
  <si>
    <t>2TY1H</t>
  </si>
  <si>
    <t>40178397</t>
  </si>
  <si>
    <t>WOS:001491236600005</t>
  </si>
  <si>
    <t>Sultan, MT; Sanan, M; Wenhui, L; Li, GS</t>
  </si>
  <si>
    <t>Background With the integration of artificial intelligence (AI) into various medical specialties, its role in aesthetic surgery is rapidly gaining traction for diagnostic, educational, and therapeutic applications. Depression, a condition known to accelerate facial aging, presents a novel intersection for AI and psychiatry within cosmetic practice. Objective This study aimed to evaluate the accuracy and clinical relevance of generative AI models in describing and visualizing facial features of depressed medical residents. Methods We employed advanced large language models (LLMs) and generative adversarial networks (GANs), including ChatGPT-models, Gemini, Midjourney, LeonardoAI, and others, to generate descriptive texts and hyperrealistic images of "depressed medical residents." Three experienced plastic surgeons and three psychiatrists assessed the outputs using customized 7- and 8-parameter Likert scales, scoring the clarity, realism, emotional nuance, resemblance to clinical cases, and overall utility. To reduce bias, all experts were blinded to the identity of the AI models that produced each output. Results Psychiatrists generally rated the models higher than plastic surgeons, with ChatGPT-4o receiving the highest score among LLMs. Among GANs, BlueWillow V5 and Stable Diffusion Ultra were preferred by psychiatrists and plastic surgeons, respectively. Discrepancies in scoring reflect differing clinical priorities-emotional cues for psychiatrists versus anatomical aging markers for surgeons. Conclusion AI-generated imagery and descriptions demonstrate potential in bridging aesthetic medicine and mental health education. These tools can enhance physician awareness, clinical training, and diagnostic understanding of depression-related facial aging, especially among vulnerable populations like medical trainees.</t>
  </si>
  <si>
    <t>Sultan, Muhammad Tipu; Sanan, Muhammad; Wenhui, Liu; Li, Guangshuai</t>
  </si>
  <si>
    <t>Li, GS (corresponding author), Zhengzhou Univ, Affiliated Hosp 1, Dept Plast &amp; Reconstruct Surg, 1 Jianshe East Rd, Zhengzhou 450052, Peoples R China.</t>
  </si>
  <si>
    <t>liguangshuai@zzu.edu.cn</t>
  </si>
  <si>
    <t>[Sultan, Muhammad Tipu; Wenhui, Liu; Li, Guangshuai] Zhengzhou Univ, Affiliated Hosp 1, Dept Plast &amp; Reconstruct Surg, 1 Jianshe East Rd, Zhengzhou 450052, Peoples R China; [Sanan, Muhammad] Zhengzhou Univ, Affiliated Hosp 1, Dept Psychiat, Zhengzhou, Henan, Peoples R China</t>
  </si>
  <si>
    <t>Zhengzhou University; Zhengzhou University</t>
  </si>
  <si>
    <t>Accuracy of Descriptive and Illustrative Capacity of Generative Artificial Intelligence in Aesthetic Surgery: A Study of Accelerated Facial Aging in Depressed Medical Residents</t>
  </si>
  <si>
    <t>AESTHETIC PLASTIC SURGERY</t>
  </si>
  <si>
    <t>Aesthetic surgery; Psychiatry; Generative artificial intelligence; Large language models; Facial aging; Depressed medical residents</t>
  </si>
  <si>
    <t>Sultan, Muhammad Tipu/0009-0007-2473-0883</t>
  </si>
  <si>
    <t>0364-216X</t>
  </si>
  <si>
    <t>1432-5241</t>
  </si>
  <si>
    <t>AESTHET PLAST SURG</t>
  </si>
  <si>
    <t>Aesthet. Plast. Surg.</t>
  </si>
  <si>
    <t>5673</t>
  </si>
  <si>
    <t>5688</t>
  </si>
  <si>
    <t>10.1007/s00266-026-05895-z</t>
  </si>
  <si>
    <t>http://dx.doi.org/10.1007/s00266-026-05895-z</t>
  </si>
  <si>
    <t>MD4XN</t>
  </si>
  <si>
    <t>42174159</t>
  </si>
  <si>
    <t>WOS:001772996300001</t>
  </si>
  <si>
    <t>Saad, O; Saban, M; Kerner, E; Levin, C</t>
  </si>
  <si>
    <t>Objective: To compare the diagnostic accuracy and clinical decision-making of experienced community nurses versus state-of-the-art generative AI (GenAI) systems for simulated patient case scenarios.Methods: In the months of 5 to 6/2024, 114 community Israeli nurses completed a questionnaire including 4 medical case studies. Responses were also collected from 3 GenAI models (ChatGPT-4, Claude 3.0, and Gemini 1.5), analyzed both without word limits and with a 10-word constraint. Responses were scored on accuracy, speed, and comprehensiveness.Results: Nurses scored higher on average compared to the shortened GenAI responses. GenAI responses were faster but more verbose, and contained unnecessary information. Gemini (full version) and Claude (full version) achieved the highest accuracy among the GenAI models.Conclusions: While GenAI shows potential to support aspects of nursing practice, human clinicians currently exhibit advantages in holistic clinical reasoning abilities, a skill requiring experience, contextual knowledge, and ability to bring concise and practical responses. Further research is needed before GenAI can adequately substitute nursing expertise.</t>
  </si>
  <si>
    <t>Saad, Odelyah; Saban, Mor; Kerner, Erika; Levin, Chedva</t>
  </si>
  <si>
    <t>Saad, O (corresponding author), Jerusalem Coll Technol, Sch Life &amp; Hlth Sci, Nursing Dept, Havaad Haleumi 21, IL-91160 Jerusalem, Israel.</t>
  </si>
  <si>
    <t>Odelyahs@gmail.com</t>
  </si>
  <si>
    <t>[Saad, Odelyah; Levin, Chedva] Jerusalem Coll Technol, Jerusalem, Israel; [Saad, Odelyah] Ariel Univ, Ariel, Israel; [Saban, Mor; Kerner, Erika] Tel Aviv Univ, Tel Aviv, Israel; [Levin, Chedva] Chaim Sheba Med Ctr, Tel Aviv, Israel</t>
  </si>
  <si>
    <t>Jerusalem College of Technology; Ariel University; Tel Aviv University; Chaim Sheba Medical Center; Tel Aviv University</t>
  </si>
  <si>
    <t>Augmenting Community Nursing Practice With Generative AI: A Formative Study of Diagnostic Synergies Using Simulation-Based Clinical Cases</t>
  </si>
  <si>
    <t>JOURNAL OF PRIMARY CARE AND COMMUNITY HEALTH</t>
  </si>
  <si>
    <t>artificial intelligence; ChatGPT; Claude; clinical reasoning; community service</t>
  </si>
  <si>
    <t>Saban, Mor/ABE-8773-2021</t>
  </si>
  <si>
    <t>Saad, Odelyah/0000-0002-7291-9142; Saban, Mor/0000-0001-6869-0907</t>
  </si>
  <si>
    <t>2150-1319</t>
  </si>
  <si>
    <t>2150-1327</t>
  </si>
  <si>
    <t>J PRIM CARE COMMUNIT</t>
  </si>
  <si>
    <t>J. Prim. Care Community Health</t>
  </si>
  <si>
    <t>21501319251326663</t>
  </si>
  <si>
    <t>10.1177/21501319251326663</t>
  </si>
  <si>
    <t>http://dx.doi.org/10.1177/21501319251326663</t>
  </si>
  <si>
    <t>Primary Health Care</t>
  </si>
  <si>
    <t>0NM5C</t>
  </si>
  <si>
    <t>40132137</t>
  </si>
  <si>
    <t>WOS:001451567000001</t>
  </si>
  <si>
    <t>Hack, S; Craig, JR; Lin, CF; Fu, CH; Kwiatkowska, MA; Kocum, P; Allevi, F; Saibene, AM</t>
  </si>
  <si>
    <t>Purpose This exploratory pilot study evaluated whether combining structured clinical information, medical imaging, and literature-derived knowledge could enhance the diagnostic reasoning and output quality of a large language model in distinguishing odontogenic sinusitis from maxillary sinus mucositis. Methods Six complex clinical cases were constructed with nasal endoscopy, computed tomography findings, and clinical vignettes. ChatGPT-4.0 was prompted using four strategies: (1) clinical text only, (2) text with medical imaging, (3) text with structured literature excerpts, and (4) text with both imaging and literature input. Seven blinded expert reviewers rated 168 responses across diagnostic accuracy, clinical reasoning, safety, and overall usefulness using a five-point scale. Statistical comparisons and inter-rater reliability were assessed. Results All prompting strategies produced clinically safe outputs with minimal hallucinations or unsafe recommendations. Combining structured literature and imaging with clinical text significantly improved clinical reasoning scores (F(3,123) = 4.32, p = 0.0058), ranking first or second in six of seven evaluation domains. No significant differences were observed in diagnostic accuracy or safety across strategies. Inter-rater reliability was substantial (kappa = 0.7). Conclusion Providing structured evidence and imaging appeared to enhance the clinical reasoning quality of large language models in this small, simulated dataset, without compromising diagnostic accuracy or safety. These preliminary findings suggest that structured multimodal prompting may help improve the interpretability and reliability of artificial intelligence tools for supporting diagnostic reasoning in sinus-related diseases, though larger prospective validation studies are needed before clinical implementation.</t>
  </si>
  <si>
    <t>Hack, Sholem; Craig, John R.; Lin, Chih-Feng; Fu, Chia-Hsiang; Kwiatkowska, Marta Aleksandra; Kocum, Petr; Allevi, Fabiana; Saibene, Alberto Maria</t>
  </si>
  <si>
    <t>Hack, S (corresponding author), City St Georges Univ London, Program Delivered Univ Nicosia, Sch Med, Chaim Sheba Med Ctr, Ramat Gan, Israel.</t>
  </si>
  <si>
    <t>[Hack, Sholem] City St Georges Univ London, Program Delivered Univ Nicosia, Sch Med, Chaim Sheba Med Ctr, Ramat Gan, Israel; [Craig, John R.] Henry Ford Hlth, Dept Otolaryngol Head &amp; Neck Surg, Detroit, MI USA; [Lin, Chih-Feng; Fu, Chia-Hsiang] Natl Taiwan Univ Hosp, Dept Otolaryngol Head &amp; Neck Surg, Taipei, Taiwan; [Fu, Chia-Hsiang] Chang Gung Univ, Grad Inst Clin Med Sci, Coll Med, Taoyuan, Taiwan; [Kwiatkowska, Marta Aleksandra] Mil Inst Med, Natl Res Inst, Dept Otolaryngol &amp; Laryngol Oncol, Warsaw, Poland; [Kocum, Petr] Na Homolce Hosp, Dept ENT Head &amp; Neck Surg, Prague, Czech Republic; [Allevi, Fabiana] Univ Milan, Santi Paolo &amp; Carlo Hosp, Dept Hlth Sci, Maxillofacial Surg Unit, Milan, Italy; [Saibene, Alberto Maria] Univ Milan, Santi Paolo &amp; Carlo Hosp, Dept Hlth Sci, Otolaryngol Unit, Milan, Italy</t>
  </si>
  <si>
    <t>Tel Aviv University; Chaim Sheba Medical Center; Sackler Faculty of Medicine; Henry Ford Health System; National Taiwan University; National Taiwan University Hospital; Chang Gung University; Military Institute of Aviation Medicine; Na Homolce Hospital; University of Milan; University of Milan</t>
  </si>
  <si>
    <t>Retrieval-augmented generative AI enhances clinical reasoning in odontogenic sinusitis versus maxillary sinus mucositis</t>
  </si>
  <si>
    <t>Large language models; Otolaryngology; Odontogenic sinusitis; Clinical reasoning; Retrieval-augmented generation; Maxillary sinus mucositis; Diagnostic reasoning; Multimodal prompting; Nasal endoscopy; Computed tomography</t>
  </si>
  <si>
    <t>MODELS</t>
  </si>
  <si>
    <t>Kwiatkowska, Marta/OOM-0733-2025; Allevi, Fabiana/AAO-2330-2020; Saibene, Alberto/H-7702-2019; Hack, Sholem/ODK-2792-2025</t>
  </si>
  <si>
    <t>283</t>
  </si>
  <si>
    <t>2353</t>
  </si>
  <si>
    <t>2360</t>
  </si>
  <si>
    <t>10.1007/s00405-026-10040-2</t>
  </si>
  <si>
    <t>http://dx.doi.org/10.1007/s00405-026-10040-2</t>
  </si>
  <si>
    <t>GD3MH</t>
  </si>
  <si>
    <t>41838153</t>
  </si>
  <si>
    <t>WOS:001716304200001</t>
  </si>
  <si>
    <t>Zuo, QK; Chen, L; Shen, YY; Ng, MKP; Lei, BY; Wang, SQ</t>
  </si>
  <si>
    <t>Effective connectivity estimation plays a crucial role in understanding the interactions and information flow between different brain regions. However, the functional time series used for estimating effective connectivity is derived from certain software, which may lead to large computing errors because of different parameter settings and degrade the ability to model complex causal relationships between brain regions. In this paper, a brain diffuser with hierarchical transformer (BDHT) is proposed to estimate effective connectivity for mild cognitive impairment (MCI) analysis. To our best knowledge, the proposed brain diffuser is the first generative model to apply diffusion models to the application of generating and analyzing multimodal brain networks. Specifically, the BDHT leverages structural connectivity to guide the reverse processes in an efficient way. It makes the denoising process more reliable and guarantees effective connectivity estimation accuracy. To improve denoising quality, the hierarchical denoising transformer is designed to learn multi-scale features in topological space. By stacking the multi-head attention and graph convolutional network, the graph convolutional transformer (GraphConformer) module is devised to enhance structure-function complementarity and improve the ability in noise estimation. Experimental evaluations of the denoising diffusion model demonstrate its effectiveness in estimating effective connectivity. The proposed model achieves superior performance in terms of accuracy and robustness compared to existing approaches. Moreover, the proposed model can identify altered directional connections and provide a comprehensive understanding of parthenogenesis for MCI treatment. Note to Practitioners-Diagnosing MCI allows for timely intervention and treatment measures to potentially slow down or even halt further cognitive decline. Exploring causal relations between brain regions enables a better understanding of pathogenic mechanisms and the development of effective biomarkers for MCI diagnosis. The current practice heavily relies on the software to analyze MCI causality, leading to large computing errors and degrading MCI analysis performance because of different parameter settings. This work aims to provide a unified framework for the estimation of brain effective connectivity using generative artificial intelligence. Due to their ability to generate high-quality samples, diffusion models have demonstrated remarkable performance in cross-modal medical image synthesis through iterative denoising processes. Our model provides a new insight into how to transform four-dimensional functional magnetic resonance imaging into effective connectivity without relying on software toolkits. The proposed model achieves good disease prediction performance and identifies altered directional connections that may be potential biomarkers for MCI treatment. Our work enables practitioners to develop deep learning model-based medical tools to assist clinicians with disease diagnosis and pathological analysis in an efficient way. Our work can also extend to the intelligently assisted diagnosis of other neurological diseases.</t>
  </si>
  <si>
    <t>Zuo, Qiankun; Chen, Ling; Shen, Yanyan; Ng, Michael Kwok-Po; Lei, Baiying; Wang, Shuqiang</t>
  </si>
  <si>
    <t>Wang, SQ (corresponding author), Chinese Acad Sci, Shenzhen Inst Adv Technol, Shenzhen 518055, Peoples R China.; Lei, BY (corresponding author), Shenzhen Univ, Sch Biomed Engn, Shenzhen 518060, Peoples R China.</t>
  </si>
  <si>
    <t>qk.zuo@hbue.edu.cn; sq.wang@siat.ac.cn; michael-ng@hkbu.edu.hk; chenling@hbue.edu.cn; leiby@szu.edu.cn</t>
  </si>
  <si>
    <t>National Natural Science Foundation of China [62172403, U22A2041]; Natural Science Foundation of Hubei Province [2023AFB004]; Distinguished Young Scholars Fund of Guangdong [2021B1515020019]; Hong Kong Research Grant Council (HKRGC) [GRF 17300021, CRF C7004-21GF]; Joint NSFC and Research Grant Council (RGC) [N-HKU769/21]</t>
  </si>
  <si>
    <t>National Natural Science Foundation of China (National Natural Science Foundation of China (NSFC)); Natural Science Foundation of Hubei Province (Natural Science Foundation of Hubei Province); Distinguished Young Scholars Fund of Guangdong; Hong Kong Research Grant Council (HKRGC) (Hong Kong Research Grants Council); Joint NSFC and Research Grant Council (RGC)</t>
  </si>
  <si>
    <t>This work was supported in part by the National Natural Science Foundations of China under Grant 62172403 and Grant U22A2041, in part by the Natural Science Foundation of Hubei Province under Grant 2023AFB004,in part by the Distinguished Young Scholars Fund of Guangdong under Grant2021B1515020019, in part by Hong Kong Research Grant Council (HKRGC)under Grant GRF 17300021 and Grant CRF C7004-21GF, and in part by theJoint NSFC and Research Grant Council (RGC) under Grant N-HKU769/21.</t>
  </si>
  <si>
    <t>[Zuo, Qiankun] Hubei Univ Econ, Sch Informat Engn, Hubei Key Lab Digital Finance Innovat, Wuhan 430205, Hubei, Peoples R China; [Zuo, Qiankun] Hubei Univ Econ, Hubei Internet Finance Informat Engn Technol Res C, Wuhan 430205, Hubei, Peoples R China; [Chen, Ling] Hubei Univ Econ, Inst BigData &amp; Digital Econ, Sch Informat Management, Wuhan 430205, Hubei, Peoples R China; [Shen, Yanyan; Wang, Shuqiang] Chinese Acad Sci, Shenzhen Inst Adv Technol, Shenzhen 518055, Peoples R China; [Shen, Yanyan; Ng, Michael Kwok-Po] Hong Kong Baptist Univ, Dept Math, Hong Kong, Peoples R China; [Lei, Baiying] Shenzhen Univ, Sch Biomed Engn, Shenzhen 518060, Peoples R China</t>
  </si>
  <si>
    <t>Hubei University of Economics; Hubei University of Economics; Hubei University of Economics; Chinese Academy of Sciences; Shenzhen Institute of Advanced Technology, CAS; Hong Kong Baptist University; Shenzhen University</t>
  </si>
  <si>
    <t>BDHT: Generative AI Enables Causality Analysis for Mild Cognitive Impairment</t>
  </si>
  <si>
    <t>IEEE TRANSACTIONS ON AUTOMATION SCIENCE AND ENGINEERING</t>
  </si>
  <si>
    <t>Brain modeling; Noise reduction; Functional magnetic resonance imaging; Data models; Estimation; Transformers; Time series analysis; Brain diffuser; graph transformer; structure-function denoising; effective connectivity; mild cognitive impairment</t>
  </si>
  <si>
    <t>DEFAULT MODE NETWORK; EFFECTIVE CONNECTIVITY; BRAIN NETWORKS; ALZHEIMERS-DISEASE</t>
  </si>
  <si>
    <t>Lei, Baiying/A-8567-2013; Wang, Shuqiang/ADI-9291-2022; Shen, Yanyan/V-7310-2019; Ng, Michael/B-7189-2009</t>
  </si>
  <si>
    <t>Lei, Baiying/0000-0002-3087-2550; Shen, Yanyan/0000-0003-0639-2925; Zuo, Qiankun/0009-0002-8487-5762</t>
  </si>
  <si>
    <t>1545-5955</t>
  </si>
  <si>
    <t>1558-3783</t>
  </si>
  <si>
    <t>IEEE T AUTOM SCI ENG</t>
  </si>
  <si>
    <t>IEEE Trans. Autom. Sci. Eng.</t>
  </si>
  <si>
    <t>5601</t>
  </si>
  <si>
    <t>5613</t>
  </si>
  <si>
    <t>10.1109/TASE.2024.3425949</t>
  </si>
  <si>
    <t>http://dx.doi.org/10.1109/TASE.2024.3425949</t>
  </si>
  <si>
    <t>Automation &amp; Control Systems</t>
  </si>
  <si>
    <t>Z5B3B</t>
  </si>
  <si>
    <t>WOS:001273067400001</t>
  </si>
  <si>
    <t>Akgün, FE; Akgün, M</t>
  </si>
  <si>
    <t>Background/Objectives: Large language models (LLMs) such as ChatGPT are rapidly being integrated into healthcare for tasks ranging from clinical documentation to diagnostic support. Current ethical discussions focus predominantly on bias, privacy, and accuracy, leaving three critical governance questions unresolved: What kind of knowledge does an LLM output represent in clinical reasoning? When is a clinician's or patient's trust in that output justified? Who bears responsibility when an AI-informed decision leads to patient harm? This study proposes the Epistemic Authority-Trust-Responsibility (ETR) Architecture, a normative conceptual framework that addresses these three questions as an integrated governance challenge. Methods: The framework was developed through normative conceptual analysis-a method that constructs governance proposals by synthesising philosophical principles, ethical theories, and empirical evidence. The literature was identified through structured searches of PubMed, PhilPapers, and EUR-Lex (January 2020-March 2026), drawing on the philosophy of medical knowledge, the ethics of trust and testimony, and the moral philosophy of responsibility. Results: The ETR Architecture produces four outputs: (i) a four-tier classification system that distinguishes LLM outputs-from administrative drafts to clinical evidence claims-and matches each tier to appropriate verification requirements; (ii) the concept of the 'epistemic placebo', formally defined as a governance measure that creates a documented appearance of compliance while lacking at least one operative element of genuine oversight; (iii) a model specifying four conditions under which trust in healthcare AI is justified; (iv) four testable hypotheses with associated research designs connecting governance design to trust calibration and patient safety. Conclusions: The 2025-2027 regulatory transition period offers a critical window for shaping how healthcare institutions govern AI. We argue that deploying LLMs without explicitly classifying their outputs and building appropriate oversight risks allows governance norms to be set by technology vendors rather than by evidence-informed, patient-centred policy.</t>
  </si>
  <si>
    <t>Akgun, Fatma Eren; Akgun, Metin</t>
  </si>
  <si>
    <t>Akgün, M (corresponding author), Agri Ibrahim Cecen Univ, Sch Med, Dept Pulm Dis, Agri, Turkiye.; Akgün, M (corresponding author), Ataturk Univ, Fac Letters, Dept Systemat Philosophy &amp; Logic, TR-25240 Erzurum, Turkiye.</t>
  </si>
  <si>
    <t>f.eren1789@hotmail.com; akgunm@gmail.com</t>
  </si>
  <si>
    <t>[Akgun, Fatma Eren] Agri Ibrahim Cecen Univ, Vocat Sch Hlth Serv, Dept Hlth Care Serv, Elderly Care Programme, TR-04100 Agri, Turkiye; [Akgun, Metin] Agri Ibrahim Cecen Univ, Sch Med, Dept Pulm Dis, Agri, Turkiye; [Akgun, Metin] Ataturk Univ, Fac Letters, Dept Systemat Philosophy &amp; Logic, TR-25240 Erzurum, Turkiye</t>
  </si>
  <si>
    <t>Agri Ibrahim Cecen University; Agri Ibrahim Cecen University; Ataturk University</t>
  </si>
  <si>
    <t>Governing Generative AI in Healthcare: A Normative Conceptual Framework for Epistemic Authority, Trust, and the Architecture of Responsibility</t>
  </si>
  <si>
    <t>generative artificial intelligence; healthcare; large language model; epistemic authority; warranted trust; responsibility gap; automation bias; patient safety; AI governance; human oversight</t>
  </si>
  <si>
    <t>Akgün, Metin/A-9993-2008</t>
  </si>
  <si>
    <t>APR 20 2026</t>
  </si>
  <si>
    <t>1098</t>
  </si>
  <si>
    <t>10.3390/healthcare14081098</t>
  </si>
  <si>
    <t>http://dx.doi.org/10.3390/healthcare14081098</t>
  </si>
  <si>
    <t>HC8QK</t>
  </si>
  <si>
    <t>42072996</t>
  </si>
  <si>
    <t>WOS:001751021900001</t>
  </si>
  <si>
    <t>Patel, MA; Villalobos, F; Shan, KV; Tardo, LM; Horton, LA; Sguigna, P; Blackburn, KM; Munoz, SB; Moog, TM; Smith, AD; Burgess, KW; McCreary, M; Okuda, DT</t>
  </si>
  <si>
    <t>Background: Those receiving the diagnosis of multiple sclerosis (MS) over the next ten years will predominantly be part of Generation Z (Gen Z). Recent observations within our clinic suggest that younger people with MS utilize online generative artificial intelligence (AI) platforms for personalized medical advice prior to their first visit with a specialist in neuroimmunology. The use of such platforms is anticipated to increase given the technology driven nature, desire for instant communication, and cost-conscious nature of Gen Z. Our objective was to determine if ChatGPT (Generative Pre-trained Transformer) could diagnose MS in individuals earlier than their clinical timeline, and to assess if the accuracy differed based on age, sex, and race/ethnicity. Methods: People with MS between 18 and 59 years of age were studied. The clinical timeline for people diagnosed with MS was retrospectively identified and simulated using ChatGPT-3.5 (GPT-3.5). Chats were conducted using both actual and derivatives of their age, sex, and race/ethnicity to test diagnostic accuracy. A Kaplan-Meier survival curve was estimated for time to diagnosis, clustered by subject. The p-value testing for differences in time to diagnosis was accomplished using a general Wilcoxon test. Logistic regression (subject-specific intercept) was used to capture intra-subject correlation to test the accuracy prior to and after the inclusion of MRI data. Results: The study cohort included 100 unique people with MS. Of those, 50 were members of Gen Z (38 female; 22 White; mean age at first symptom was 20.6 years (y) (standard deviation (SD)=2.2y)), and 50 were non-Gen Z (34 female; 27 White; mean age at first symptom was 37.0y (SD=10.4y)). In addition, a total of 529 people that represented digital simulations of the original cohort of 100 people (333 female; 166 White; 136 Black/African American; 107 Asian; 120 Hispanic, mean age at first symptom was 31.6y (SD=12.4y)) were generated allowing for 629 scripted conversations to be analyzed. The estimated median time to diagnosis in clinic was significantly longer at 0.35y (95% CI=[0.28, 0.48]) versus that by ChatGPT at 0.08y (95% CI=[0.04, 0.24]) (p&lt;0.0001). There was no difference in the diagnostic accuracy between ages and by race/ethnicity prior to the inclusion of MRI data. However, prior to including the MRI data, males had a 47% less likely chance of a correct diagnosis relative to females (p=0.05). Post-MRI data inclusion within GPT-3.5, the odds of an accurate diagnosis was 4.0fold greater for Gen Z participants, relative to non-Gen Z participants (p=0.01) with the diagnostic accuracy being 68% less in males relative to females (p=0.009), and 75% less for White subjects, relative to non-White subjects (p=0.0004). Conclusion: Although generative AI platforms enable rapid information access and are not principally designed for use in healthcare, an increase in use by Gen Z is anticipated. However, the obtained responses may not be generalizable to all users and bias may exist in select groups.</t>
  </si>
  <si>
    <t>Patel, Mahi A.; Villalobos, Francisco; Shan, Kevin; Tardo, Lauren M.; Horton, Lindsay A.; Sguigna, Peter, V; Blackburn, Kyle M.; Munoz, Shanan B.; Moog, Tatum M.; Smith, Alexander D.; Burgess, Katy W.; McCreary, Morgan; Okuda, Darin T.</t>
  </si>
  <si>
    <t>Okuda, DT (corresponding author), Univ Texas Southwestern Med Ctr, Dept Neurol, Neuroinnovat Program, Multiple Sclerosis &amp; Neuroimmunol Imaging Program, 5303 Harry Hines Blvd, Dallas, TX 75390 USA.</t>
  </si>
  <si>
    <t>darin.okuda@UTsouthwestern.edu</t>
  </si>
  <si>
    <t>services from Biogen Inc., Eisai, EMD Serono, Genentech, Genzyme/Sanofi, Immunic Therapeutics, Moderna, RVL Pharmaceuticals, Inc., and Zenas BioPharma along with research support from EMD Serono/Merck and Novartis. D.T.O. has issued national and international patents along with pending patents related to other developed technologies. D. T.O. received royalties for intellectual property licensed by The Board of Regents of The University of Texas System. D.T.O. is the Founder of Revert Health Inc. M.P., F.V., K.S., K.B., T.M., A.S., K.B., and M.M. report no disclosures. L.T. received personal compensation for advisory services from EMD Serono. L.H. received personal compensation for consulting services from Biogen Inc. and EMD Serono. P.S. received personal compensation for consulting services from Genentech, EMD Serono, Horizon Thera-peutics, and Bristol Myers Squibb and research support from Genentech and Clene Nanomedicine. S.M. reports personal compensation for consulting services from Horizon Therapeutics, Bristol Myers Squibb, Novartis, and TG Therapeutics and research support from Genentech. D. T.O. received personal compensation for consulting and advisory</t>
  </si>
  <si>
    <t>[Patel, Mahi A.; Villalobos, Francisco; Tardo, Lauren M.; Horton, Lindsay A.; Sguigna, Peter, V; Blackburn, Kyle M.; Munoz, Shanan B.; Moog, Tatum M.; Okuda, Darin T.] Univ Texas Southwestern Med Ctr, Dept Neurol, Neuroinnovat Program, Multiple Sclerosis &amp; Neuroimmunol Imaging Program, 5303 Harry Hines Blvd, Dallas, TX 75390 USA; [Patel, Mahi A.; Villalobos, Francisco; Tardo, Lauren M.; Horton, Lindsay A.; Sguigna, Peter, V; Blackburn, Kyle M.; Munoz, Shanan B.; Moog, Tatum M.; Okuda, Darin T.] Univ Texas Southwestern Med Ctr, Peter ODonnell Jr Brain Inst, Dallas, TX USA; [Shan, Kevin] Univ Texas Southwestern Med Ctr, Sch Med, Dallas, TX USA; [Smith, Alexander D.] Texas Tech Univ, Hlth Sci Ctr, Sch Med, Lubbock, TX USA</t>
  </si>
  <si>
    <t>University of Texas System; University of Texas Southwestern Medical Center; University of Texas System; University of Texas Southwestern Medical Center; University of Texas System; University of Texas Southwestern Medical Center; Texas Tech University System; Texas Tech University; Texas Tech University Health Sciences Center</t>
  </si>
  <si>
    <t>Generative artificial intelligence versus clinicians: Who diagnoses multiple sclerosis faster and with greater accuracy?</t>
  </si>
  <si>
    <t>MULTIPLE SCLEROSIS AND RELATED DISORDERS</t>
  </si>
  <si>
    <t>Multiple sclerosis; Artificial intelligence; ChatGPT; Diagnosis; Generative AI</t>
  </si>
  <si>
    <t>Smith, Alexander/0000-0001-6346-7255; Patel, Mahi/0009-0002-8245-2336; Jones-McCreary, Morgan/0000-0002-8378-460X</t>
  </si>
  <si>
    <t>2211-0348</t>
  </si>
  <si>
    <t>2211-0356</t>
  </si>
  <si>
    <t>MULT SCLER RELAT DIS</t>
  </si>
  <si>
    <t>Mult. Scler. Relat. Disord.</t>
  </si>
  <si>
    <t>105791</t>
  </si>
  <si>
    <t>10.1016/j.msard.2024.105791</t>
  </si>
  <si>
    <t>http://dx.doi.org/10.1016/j.msard.2024.105791</t>
  </si>
  <si>
    <t>AUG 2024</t>
  </si>
  <si>
    <t>D8K4Z</t>
  </si>
  <si>
    <t>39146892</t>
  </si>
  <si>
    <t>WOS:001298615300001</t>
  </si>
  <si>
    <t>Kwon, JH; Lee, HS; Choi, SJ; Choi, K; Kang, CM; So, H; Choi, YH; Lee, JM; Lee, KJ; Yoon, JH; Jin, D-; Kim, HJ</t>
  </si>
  <si>
    <t>Background Accurate histologic classification of ampullary lesions is essential for guiding therapeutic decisions; however, conventional biopsy is limited by sampling error and false-negative results. We evaluated the clinical utility of a generative artificial intelligence (AI)-based computer-aided diagnosis (CAD) system that integrates real and synthetic endoscopic images to improve diagnostic performance. Methods In this retrospective multicenter study conducted across seven hospitals, duodenoscopic images were classified as Normal, Adenoma, or Cancer. A generative AI-based CAD system using latent diffusion synthesized 500 images per class for data augmentation and was trained to predict histologic classes from endoscopic images. External validation assessed accuracy, sensitivity, specificity, positive and negative predictive values, and area under the receiver operating characteristic curve. A reader study involving five expert and five trainee endoscopists compared diagnostic performance with and without CAD assistance. Results The generative AI-based CAD system demonstrated high overall diagnostic accuracy (91.57%) and strong performance in identifying adenomas (accuracy, 88.76%). In the reader study, CAD assistance significantly increased adenoma sensitivity (63.47%-70.56%; p &lt; 0.01), with corresponding improvements in predictive values. Both expert and trainee endoscopists benefited from CAD support, with reduced interobserver variability and consistent improvements across Normal, Adenoma, and Cancer classifications. Conclusions A generative AI-based CAD system improved diagnostic accuracy and consistency in the evaluation of ampullary lesions. These findings support its potential as a clinically useful adjunct to routine duodenoscopy, particularly for improving adenoma recognition and supporting therapeutic decision-making.</t>
  </si>
  <si>
    <t>Kwon, Jang Ho; Lee, Ho Seung; Choi, Seong Ji; Choi, Kihwan; Kang, Chang Mook; So, Hoonsub; Choi, Young Hoon; Lee, Jae Min; Lee, Kyoung Joo; Yoon, Jai Hoon; Jin, Dong-Sup; Kim, Hyo Jung</t>
  </si>
  <si>
    <t>Choi, K (corresponding author), Seoul Natl Univ Sci &amp; Technol, Seoul, South Korea.; Choi, SJ (corresponding author), Korea Univ, Guro Hosp, Dept Internal Med, Seoul, South Korea.</t>
  </si>
  <si>
    <t>kihwanc@seoultech.ac.kr; drcoolandy@gmail.com</t>
  </si>
  <si>
    <t>Korea University Anam Hospital [O2616771, O2617451]; National Research Foundation of Korea (NRF) grant funded by the Ministry of Science and ICT [RS-2025-00558259]; Regional Innovation System &amp; Education (RISE) grant funded by the Ministry of Education (MOE) and the Seoul Metropolitan Government [2026-RISE-01-014-05]</t>
  </si>
  <si>
    <t>Korea University Anam Hospital (Korea University); National Research Foundation of Korea (NRF) grant funded by the Ministry of Science and ICT (National Research Foundation of Korea); Regional Innovation System &amp; Education (RISE) grant funded by the Ministry of Education (MOE) and the Seoul Metropolitan Government</t>
  </si>
  <si>
    <t>National Research Foundation of Korea (NRF) grant funded by the Ministry of Science and ICT, South Korea (Grant number: RS-2025-00558259); Regional Innovation System &amp; Education (RISE) grant funded by the Ministry of Education (MOE) and the Seoul Metropolitan Government (Grant number: 2026-RISE-01-014-05); Korea University Anam Hospital (Grant numbers: O2616771, O2617451).</t>
  </si>
  <si>
    <t>[Kwon, Jang Ho; Choi, Kihwan] Seoul Natl Univ Sci &amp; Technol, Seoul, South Korea; [Kwon, Jang Ho; Kang, Chang Mook] Hanyang Univ, Seoul, South Korea; [Lee, Ho Seung; Lee, Jae Min] Korea Univ, Anam Hosp, Dept Internal Med, Seoul, South Korea; [Choi, Seong Ji; Kim, Hyo Jung] Korea Univ, Guro Hosp, Dept Internal Med, Seoul, South Korea; [So, Hoonsub] Ulsan Univ Hosp, Dept Gastroenterol, Seoul, South Korea; [Choi, Young Hoon] Samsung Med Ctr, Dept Med, Seoul, South Korea; [Lee, Kyoung Joo] Hallym Univ, Dongtan Sacred Heart Hosp, Dept Internal Med, Div Gastroenterol, Hwaseong Si, Gyeonggi Do, South Korea; [Yoon, Jai Hoon] Hanyang Univ Hosp, Dept Internal Med, Seoul, South Korea; [Jin, Dong-Sup] Univ Ulsan, Ulsan, South Korea</t>
  </si>
  <si>
    <t>Seoul National University of Science &amp; Technology; Hanyang University; Korea University; Korea University Medicine (KU Medicine); Korea University; Korea University Medicine (KU Medicine); Sungkyunkwan University (SKKU); Samsung Medical Center; Hallym University; Hanyang University; Hanyang University Hospital; University of Ulsan</t>
  </si>
  <si>
    <t>Clinical Validation of a Generative AI System for Diagnosing Ampullary Lesions: A Multicenter Study</t>
  </si>
  <si>
    <t>UNITED EUROPEAN GASTROENTEROLOGY JOURNAL</t>
  </si>
  <si>
    <t>adenoma and adenocarcinoma; ampulla of vater; computer-aided diagnosis; endoscopy; generative artificial intelligence</t>
  </si>
  <si>
    <t>PANCREATICODUODENECTOMY; CANCER; VATER</t>
  </si>
  <si>
    <t>Choi, Seong Ji/0000-0002-1969-516X; Lee, Ho Seung/0009-0000-0135-7042</t>
  </si>
  <si>
    <t>2050-6406</t>
  </si>
  <si>
    <t>2050-6414</t>
  </si>
  <si>
    <t>UNITED EUR GASTROENT</t>
  </si>
  <si>
    <t>United European Gastroenterol. J.</t>
  </si>
  <si>
    <t>e70249</t>
  </si>
  <si>
    <t>10.1002/ueg2.70249</t>
  </si>
  <si>
    <t>http://dx.doi.org/10.1002/ueg2.70249</t>
  </si>
  <si>
    <t>JW4OB</t>
  </si>
  <si>
    <t>42333738</t>
  </si>
  <si>
    <t>WOS:001799596700001</t>
  </si>
  <si>
    <t>Wang, ZQ; Li, XY; Ma, C; Zhang, ZW</t>
  </si>
  <si>
    <t>Objective: To compare the differences in content quality, readability, and actionability of patient education texts for self-management of chronic heart failure (CHF) generated by five mainstream large language models (LLMs) in China, and to provide a basis for platform selection and assessment framework construction for clinical use. Methods: A standardized set of 20 questions was developed based on literature review, guidelines, and consensus from cardiovascular experts, covering disease awareness, diagnosis and classification, treatment and rehabilitation, daily management and prevention, and psychosocial dimensions. Using a uniform prompt, responses were generated by DeepSeek-R1, Doubao, ERNIEBot 4.5 Turbo, Qwen3-Max-Thinking-Preview, and Kimi K2. The PEMAT-P scale was used to assess understandability and actionability, 36-item expanded EQIP (EQIP-36 score) scale was used to evaluate information completeness and standardization, and Global Quality Score (GQS) was used to assess overall quality. Additionally, seven readability formulas, including Flesch Reading Ease Score (FRES) and Flesch-Kincaid Grade Level (FKGL), were computed for comparison. Results: Overall quality was high [GQS median 5.00 (4.00-5.00)] with significant between-platform differences (chi(2) = 14.47, P = 0.006). Doubao and Kimi K2 achieved the highest GQS [both 5.00 (5.00-5.00)]. DeepSeek-R1 showed the greatest information completeness [EQIP-36 39.20 (36.17-44.23); chi(2) = 25.07, P &lt; 0.001] but the lowest readability [FRES 19.32 (17.94-36.89) and FKGL 14.28 (13.02-15.85); both P &lt; 0.001]. ERNIEBot 4.5 Turbo and Qwen3-Max-Thinking-Preview were most readable (FRES approximate to 59; FKGL approximate to 8; both P &lt; 0.001) but had lower EQIP-36 scores. Actionability was limited overall [PEMAT-P actionability 20.00% (0.00-40.00); chi(2) = 26.40, P &lt; 0.001] and varied by topic, with daily management and prevention outperforming disease knowledge and diagnosis/classification (chi(2) = 20.86, P &lt; 0.001). Conclusion: LLMs show potential for use in patient education for CHF, but there is a structural trade-off between information detail and readability, as well as gaps in actionability and verifiability. It is recommended to combine enhanced search and structured template generation strategies, and establish a governance feedback loop involving prompt engineering, clinical expert review, and continuous monitoring to improve readability alignment, completeness of action instructions, and patient safety.</t>
  </si>
  <si>
    <t>Wang, Zhiqiang; Li, Xiaoya; Ma, Chao; Zhang, Zhiwen</t>
  </si>
  <si>
    <t>Ma, C; Zhang, ZW (corresponding author), Zhengzhou Univ, Fuwai Cent China Cardiovasc Hosp, Cent China Fuwai Hosp, Dept Cardiol, Zhengzhou, Henan, Peoples R China.</t>
  </si>
  <si>
    <t>fwhzmc1983@163.com; fwzzw01@163.com</t>
  </si>
  <si>
    <t>[Wang, Zhiqiang; Li, Xiaoya] Yangtze Univ, Med Sch, Jingzhou, Hubei, Peoples R China; [Ma, Chao; Zhang, Zhiwen] Zhengzhou Univ, Fuwai Cent China Cardiovasc Hosp, Cent China Fuwai Hosp, Dept Cardiol, Zhengzhou, Henan, Peoples R China</t>
  </si>
  <si>
    <t>Yangtze University; Zhengzhou University</t>
  </si>
  <si>
    <t>Challenges of using generative AI for patient education in chronic heart failure: an evaluation of content quality, readability, and actionability in cross-platform LLM-generated texts</t>
  </si>
  <si>
    <t>FRONTIERS IN PUBLIC HEALTH</t>
  </si>
  <si>
    <t>actionability; chronic heart failure; cross-platform evaluation; information quality; LLMs; patient safety; readability; self-management education</t>
  </si>
  <si>
    <t>INFORMATION; ACCESSIBILITY</t>
  </si>
  <si>
    <t>ZHANG, Zhiwen/LHA-2877-2024; MA, Chaojun/LQK-8802-2024</t>
  </si>
  <si>
    <t>ZHANG, Zhiwen/0000-0002-0032-3876</t>
  </si>
  <si>
    <t>2296-2565</t>
  </si>
  <si>
    <t>FRONT PUBLIC HEALTH</t>
  </si>
  <si>
    <t>Front. Public Health</t>
  </si>
  <si>
    <t>MAR 5 2026</t>
  </si>
  <si>
    <t>1801829</t>
  </si>
  <si>
    <t>10.3389/fpubh.2026.1801829</t>
  </si>
  <si>
    <t>http://dx.doi.org/10.3389/fpubh.2026.1801829</t>
  </si>
  <si>
    <t>Public, Environmental &amp; Occupational Health</t>
  </si>
  <si>
    <t>FG9HM</t>
  </si>
  <si>
    <t>41869585</t>
  </si>
  <si>
    <t>WOS:001718482800001</t>
  </si>
  <si>
    <t>Chow, M; Li, AY; Quek, DYJ; Fan, EB; Sadasiv, MS</t>
  </si>
  <si>
    <t>Generative AI (genAI) does not simply add another layer of decision support to medicine; it changes the environment in which clinical reasoning is performed, taught, and judged. This matters because clinical reasoning is not simply the production of answers, but the management of uncertainty in a particular patient: framing the problem, deciding what matters most, distinguishing between plausible alternatives, calibrating uncertainty, and revising plans as new information emerges. As large language models (LLMs) become embedded in clinical workflow, the work of reasoning is not removed but redistributed. Clinicians may do less first-pass synthesis but more verification, contextualization and judgment of machine-generated outputs. This may reduce burden, but it also increases vulnerability to anchoring, automation bias, and premature closure. The educational risk is therefore not only that AI may be wrong, but that routine answer-first use may weaken the developmental work through which adaptive expertise forms. In training, this may lead to deskilling, never-skilling, or mis-skilling unless key domains of reasoning remain visible under supervision. We argue that these include framing, weighting salient findings, discriminating between alternatives, calibrating uncertainty, and revising plans in context. In this light, one promising educational use of LLMs may be as question-prompting aids used after trainee commitment to test and deepen reasoning. The future of clinical reasoning in the age of genAI will depend less on what the machine can produce than on whether medical education preserves the conditions under which human judgment is formed.</t>
  </si>
  <si>
    <t>Chow, Minyang; Li, Andrew Yunkai; Quek, Daniel Yong Jing; Fan, Eugene Bingwen; Sadasiv, Mucheli Sharavan</t>
  </si>
  <si>
    <t>Chow, M (corresponding author), Nanyang Technol Univ, Lee Kong Chian Sch Med, 11 Mandalay Rd, Singapore 308232, Singapore.</t>
  </si>
  <si>
    <t>chow.minyang@ntu.edu.sg</t>
  </si>
  <si>
    <t>[Chow, Minyang; Li, Andrew Yunkai; Quek, Daniel Yong Jing; Fan, Eugene Bingwen; Sadasiv, Mucheli Sharavan] NHG Hlth, Grp Clin Educ, 1 Mandalay Rd, Singapore 308205, Singapore; [Chow, Minyang; Li, Andrew Yunkai; Quek, Daniel Yong Jing; Fan, Eugene Bingwen; Sadasiv, Mucheli Sharavan] Nanyang Technol Univ, Lee Kong Chian Sch Med, 11 Mandalay Rd, Singapore 308232, Singapore</t>
  </si>
  <si>
    <t>Nanyang Technological University</t>
  </si>
  <si>
    <t>The cognitive ecology of medicine: generative AI, clinical reasoning, and the preservation of adaptive expertise</t>
  </si>
  <si>
    <t>POSTGRADUATE MEDICAL JOURNAL</t>
  </si>
  <si>
    <t>medical education &amp; training</t>
  </si>
  <si>
    <t>AUTOMATION BIAS; UNCERTAINTY</t>
  </si>
  <si>
    <t>Fan, Bingwen Eugene/AAR-3121-2020; Chow, Minyang/JKI-0952-2023; Mucheli, Sharavan Sadasiv/PMQ-5123-2026</t>
  </si>
  <si>
    <t>Mucheli, Sharavan Sadasiv/0000-0002-5535-5306; Fan, Bingwen Eugene/0000-0003-4367-5182</t>
  </si>
  <si>
    <t>0032-5473</t>
  </si>
  <si>
    <t>1469-0756</t>
  </si>
  <si>
    <t>POSTGRAD MED J</t>
  </si>
  <si>
    <t>Postgrad. Med. J.</t>
  </si>
  <si>
    <t>10.1093/postmj/qgag068</t>
  </si>
  <si>
    <t>http://dx.doi.org/10.1093/postmj/qgag068</t>
  </si>
  <si>
    <t>IT2YN</t>
  </si>
  <si>
    <t>42213533</t>
  </si>
  <si>
    <t>WOS:001779804700001</t>
  </si>
  <si>
    <t>Taka, TM; Collins, CE; Miner, A; Overfield, I; Shin, D; Seo, L; Danisa, O</t>
  </si>
  <si>
    <t>PurposeThis study analyzed responses and readability of generative artificial intelligence (AI) models to questions and recommendations from the 2014 Journal of Neurosurgery: Spine (JNS) guidelines for fusion procedures in the treatment of degenerative lumbar spine disease.MethodsTwenty-four questions were generated from JNS guidelines and asked to ChatGPT 4o, Perplexity, Microsoft Copilot, and Gemini. Answers were "concordant" if the response highlighted all points from the JNS guidelines; otherwise, answers were considered "non-concordant" and further sub-categorized as either "insufficient" or "overconclusive." Responses were evaluated for readability via the Flesch-Kincaid Grade Level, Gunning Fog Index, Simple Measure of Gobbledygook (SMOG) Index, and Flesch Reading Ease test.ResultsChatGPT 4o had the highest concordance rate at 66.67%, with non-concordant responses distributed at 16.67% for both insufficient and over-conclusive classifications. Perplexity displayed a 58.33% concordance rate, with 25% insufficient and 16.67% over-conclusive responses. Copilot showed 50% concordance, with 37.5% over-conclusive and 16.67% insufficient responses. Gemini demonstrated 54.17% concordance, with 20.83% insufficient and 25% over-conclusive responses. The Flesch-Kincaid Grade Level scores ranged from 14.03 (Copilot) to 15.66 (Perplexity). The Gunning Fog Index scores varied between 15.15 (Copilot) and 18.13 (Perplexity). The SMOG Index scores ranged from 14.69 (Copilot) to 16.49 (Perplexity). The Flesch Reading Ease scores were low across all models, with Copilot showing the highest score of 20.71.ConclusionsChatGPT 4.0 emerged as the best-performing model in terms of concordance, while Perplexity displayed the highest complexity in text readability. AI can be a valuable adjunct in clinical decision-making but cannot replace clinician judgment.</t>
  </si>
  <si>
    <t>Taka, Taha M.; Collins, Christopher E.; Miner, Andrew; Overfield, Isaac; Shin, David; Seo, Lauren; Danisa, Olumide</t>
  </si>
  <si>
    <t>Taka, TM (corresponding author), Loma Linda Univ, Dept Orthopaed Surg, Loma Linda, CA 92354 USA.; Shin, D (corresponding author), Loma Linda Univ, Sch Med, Loma Linda, CA 92350 USA.; Danisa, O (corresponding author), Duke Univ Hlth Syst, Duke Spine Ctr, Dept Orthopaed, Durham, NC 27710 USA.; Danisa, O (corresponding author), Duke Univ Hlth Syst, Duke Spine Ctr, Dept Neurol Surg, Durham, NC 27710 USA.</t>
  </si>
  <si>
    <t>ttaka@llu.edu; Christopher.collins@md.cusm.edu; Ioverfield@students.llu.edu; davidshin0807@gmail.com; odanisa@yahoo.com; laurenjiyeon@gmail.com; Amine007@medsch.ucr.edu</t>
  </si>
  <si>
    <t>SCELC; Statewide California Electronic Library Consortium</t>
  </si>
  <si>
    <t>Open access funding provided by SCELC, Statewide California Electronic Library Consortium</t>
  </si>
  <si>
    <t>[Taka, Taha M.] Loma Linda Univ, Dept Orthopaed Surg, Loma Linda, CA 92354 USA; [Collins, Christopher E.] Calif Univ Sci &amp; Med, Sch Med, Colton, CA USA; [Miner, Andrew] Univ Calif Riverside, Sch Med, Riverside, CA USA; [Overfield, Isaac; Shin, David] Loma Linda Univ, Sch Med, Loma Linda, CA 92350 USA; [Seo, Lauren; Danisa, Olumide] Duke Univ Hlth Syst, Duke Spine Ctr, Dept Orthopaed, Durham, NC 27710 USA; [Seo, Lauren; Danisa, Olumide] Duke Univ Hlth Syst, Duke Spine Ctr, Dept Neurol Surg, Durham, NC 27710 USA</t>
  </si>
  <si>
    <t>Loma Linda University; University of California System; University of California Riverside; Loma Linda University; Duke University; Duke University</t>
  </si>
  <si>
    <t>The role of generative artificial intelligence in deciding fusion treatment of lumbar degeneration: a comparative analysis and narrative review</t>
  </si>
  <si>
    <t>EUROPEAN SPINE JOURNAL</t>
  </si>
  <si>
    <t>Artificial intelligence; Lumbar; Fusion; Chatgpt; Neurosurgery</t>
  </si>
  <si>
    <t>GUIDELINE UPDATE; PERFORMANCE; DISEASE; RELIABILITY; READABILITY</t>
  </si>
  <si>
    <t>Taka, Taha/JRW-9234-2023</t>
  </si>
  <si>
    <t>0940-6719</t>
  </si>
  <si>
    <t>1432-0932</t>
  </si>
  <si>
    <t>EUR SPINE J</t>
  </si>
  <si>
    <t>Eur. Spine J.</t>
  </si>
  <si>
    <t>3901</t>
  </si>
  <si>
    <t>3910</t>
  </si>
  <si>
    <t>10.1007/s00586-025-09052-z</t>
  </si>
  <si>
    <t>http://dx.doi.org/10.1007/s00586-025-09052-z</t>
  </si>
  <si>
    <t>Clinical Neurology; Orthopedics</t>
  </si>
  <si>
    <t>Neurosciences &amp; Neurology; Orthopedics</t>
  </si>
  <si>
    <t>7KG1Y</t>
  </si>
  <si>
    <t>40562990</t>
  </si>
  <si>
    <t>WOS:001516521200001</t>
  </si>
  <si>
    <t>Rengarajan, N; Ravindran, V</t>
  </si>
  <si>
    <t>Aim:Generative artificial intelligence (AI) is emerging as a tool for clinical decision support. However, its reliability in pediatric dental diagnostics and treatment planning remains underexplored. The study was aim to evaluate and compare the diagnostic and therapeutic relevance of four AI models- ChatGPT, Gemini, Grok, and Claude-on real-world pediatric dental cases.Methods:Twelve routine outpatient cases were selected, covering a range of pediatric dental treatments. Each case included intraoral images, radiographs, and a short clinical summary. Two prompts were used for each model: Prompt 1: "According to the provided information, what is the single most correct diagnosis for tooth no._?" Prompt 2: "According to the provided diagnosis, what is the single most correct treatment plan for tooth no._?" Responses were independently scored by two pediatric dentists on a relevance scale: 0 (not relevant), 0.5 (partially relevant), and 1 (highly relevant).Results:ChatGPT achieved the highest scores for diagnosis (91.7%) and treatment planning (83.3%). Gemini, Claude, and Grok showed moderate performance. Kruskal-Wallis analysis found no significant differences among the models for either diagnosis (P = 0.48) or treatment (P = 0.83). Agreement between evaluators was substantial, with Cohen's Kappa ranging from 0.62-0.68 for diagnosis and 0.47-0.71 for treatment planning.Conclusion:Generative AI models demonstrated comparable performance in pediatric dental decision-making, producing clinically relevant outputs under structured prompting. Although ChatGPT 3.5 achieved the highest numerical agreement with expert judgment, the differences among models were not statistically significant. These findings suggest that such tools may serve as supportive aids to clinical reasoning rather than replacements for professional expertise.</t>
  </si>
  <si>
    <t>Rengarajan, Niveditha; Ravindran, Vignesh</t>
  </si>
  <si>
    <t>Ravindran, V (corresponding author), Saveetha Univ, Saveetha Dent Coll &amp; Hosp, Saveetha Inst Med &amp; Tech Sci, Dept Pediat &amp; Prevent Dent, Chennai 600077, Tamil Nadu, India.</t>
  </si>
  <si>
    <t>vigneshr.sdc@saveetha.com</t>
  </si>
  <si>
    <t>[Rengarajan, Niveditha; Ravindran, Vignesh] Saveetha Univ, Saveetha Dent Coll &amp; Hosp, Saveetha Inst Med &amp; Tech Sci, Dept Paediat &amp; Prevent Dent, Chennai, Tamil Nadu, India</t>
  </si>
  <si>
    <t>Saveetha Institute of Medical &amp; Technical Science; Saveetha Dental College &amp; Hospital</t>
  </si>
  <si>
    <t>Multimodel Analysis of Generative AI for Diagnostic and Therapeutic Decision Making in Pediatric Dentistry</t>
  </si>
  <si>
    <t>JOURNAL OF INTERNATIONAL ORAL HEALTH</t>
  </si>
  <si>
    <t>Artificial Intelligence; ChatGPT; Claude; Clinical Decision Support; Disease; Health; Diagnostic Accuracy; Pediatric Dentistry; Treatment Planning</t>
  </si>
  <si>
    <t>Ravindran, Vignesh/AAH-8640-2020</t>
  </si>
  <si>
    <t>WOLTERS KLUWER MEDKNOW PUBLICATIONS</t>
  </si>
  <si>
    <t>Pune</t>
  </si>
  <si>
    <t>Wolters Kluwer India Private LTD, Smartworks, Marisoft, Wing -C, Wadgaon Sheri, Kalyani Nagar Annex, Pune, Maharashtra, INDIA</t>
  </si>
  <si>
    <t>0976-7428</t>
  </si>
  <si>
    <t>0976-1799</t>
  </si>
  <si>
    <t>J INT ORAL HEALTH</t>
  </si>
  <si>
    <t>J. Int. Oral Health</t>
  </si>
  <si>
    <t>10.4103/jioh.jioh_233_25</t>
  </si>
  <si>
    <t>http://dx.doi.org/10.4103/jioh.jioh_233_25</t>
  </si>
  <si>
    <t>EH9SG</t>
  </si>
  <si>
    <t>WOS:001701523200003</t>
  </si>
  <si>
    <t>Saban, M; Dubovi, I</t>
  </si>
  <si>
    <t>Aim: This study explores the potential of a generative artificial intelligence tool (ChatGPT) as clinical support for nurses. Specifically, we aim to assess whether ChatGPT can demonstrate clinical decision-making equivalent to that of expert nurses and novice nursing students. This will be evaluated by comparing ChatGPT responses to clinical scenarios to those of nurses on different levels of experience. Design: This is a cross-sectional study. Methods: Emergency room registered nurses (i.e. experts; n = 30) and nursing students (i.e. novices; n = 38) were recruited during March-April 2023. Clinical decision-making was measured using three validated clinical scenarios involving an initial assessment and reevaluation. Clinical decision-making aspects assessed were the accuracy of initial assessments, the appropriateness of recommended tests and resource use and the capacity to reevaluate decisions. Performance was also compared by timing response generations and word counts. Expert nurses and novice students completed online questionnaires (via Qualtrics), while ChatGPT responses were obtained from OpenAI. Results: Concerning aspects of clinical decision-making and compared to novices and experts: (1) ChatGPT exhibited indecisiveness in initial assessments; (2) ChatGPT tended to suggest unnecessary diagnostic tests; (3) When new information required re-evaluation, ChatGPT responses demonstrated inaccurate understanding and inappropriate modifications. In terms of performance, the mean number of words utilized in ChatGPT answers was 27-41 times greater than that utilized by both experts and novices; and responses were provided approximately 4 times faster than those of novices and twice faster than expert nurses. ChatGPT responses maintained logical structure and clarity. Conclusions: A generative AI tool demonstrated indecisiveness and a tendency towards over-triage compared to human clinicians. Impact: The study shows that it is important to approach the implementation of ChatGPT as a nurse's digital assistant with caution. More study is needed to optimize the model's training and algorithms to provide accurate healthcare support that aids clinical decision-making. Reporting method: This study adhered to relevant EQUATOR guidelines for reporting observational studies. Patient or public contribution: Patients were not directly involved in the conduct of this study.</t>
  </si>
  <si>
    <t>Saban, Mor; Dubovi, Ilana</t>
  </si>
  <si>
    <t>Saban, M (corresponding author), Tel Aviv Univ, Fac Med &amp; Hlth Sci, Steyer Sch Hlth Profess, Nursing Dept, IL-69978 Tel Aviv, Israel.</t>
  </si>
  <si>
    <t>morsab1608@gmail.com</t>
  </si>
  <si>
    <t>[Saban, Mor; Dubovi, Ilana] Tel Aviv Univ, Fac Med &amp; Hlth Sci, Steyer Sch Hlth Profess, Nursing Dept, IL-69978 Tel Aviv, Israel</t>
  </si>
  <si>
    <t>Tel Aviv University</t>
  </si>
  <si>
    <t>A comparative vignette study: Evaluating the potential role of a generative AI model in enhancing clinical decision-making in nursing</t>
  </si>
  <si>
    <t>JOURNAL OF ADVANCED NURSING</t>
  </si>
  <si>
    <t>ChatGPT; Clinical decision-making; Generative AI; Novice; Nurse education; Nurses</t>
  </si>
  <si>
    <t>CRITICAL THINKING; NOVICE</t>
  </si>
  <si>
    <t>Dubovi, Ilana/ADF-1501-2022; Saban, Mor/ABE-8773-2021</t>
  </si>
  <si>
    <t>Dubovi, Ilana/0000-0002-7087-856X; Saban, Mor/0000-0001-6869-0907</t>
  </si>
  <si>
    <t>63</t>
  </si>
  <si>
    <t>157</t>
  </si>
  <si>
    <t>0309-2402</t>
  </si>
  <si>
    <t>1365-2648</t>
  </si>
  <si>
    <t>J ADV NURS</t>
  </si>
  <si>
    <t>J. Adv. Nurs.</t>
  </si>
  <si>
    <t>7489</t>
  </si>
  <si>
    <t>7499</t>
  </si>
  <si>
    <t>10.1111/jan.16101</t>
  </si>
  <si>
    <t>http://dx.doi.org/10.1111/jan.16101</t>
  </si>
  <si>
    <t>FEB 2024</t>
  </si>
  <si>
    <t>Nursing</t>
  </si>
  <si>
    <t>8VA7O</t>
  </si>
  <si>
    <t>38366690</t>
  </si>
  <si>
    <t>WOS:001163673100001</t>
  </si>
  <si>
    <t>Blease, C; Jones, J; Blease, CE; Kharko, A; Sanchez, CG; Mandl, KD</t>
  </si>
  <si>
    <t>Background: Generative artificial intelligence (GenAI) tools are widely accessible to the public, who are engaging with them for a wide range of health care applications. Existing research has focused predominantly on clinician-facing adoption. Far less is known about how patients and family members use GenAI tools, particularly in rare disease contexts, where diagnostic delay, limited specialist access, and unmet informational needs are common. Objective: This study aimed to examine the experiences and opinions of adult patients with rare diseases and parents or guardians of children with rare diseases regarding the use of GenAI tools. Methods: Between November 2025 and January 2026, we conducted an exploratory mixed methods web-based survey using convenience sampling through rare disease community organizations in the United States. The survey included closed-ended items assessing prior GenAI use, purposes of use, perceived influence on medical decisions and diagnoses, trust, concerns, communication with clinicians, and experiences of harm, alongside open-text questions capturing qualitative reflections. Descriptive statistics were used to summarize quantitative data. Inductive qualitative analysis was applied to the open-text responses. Results: A total of 115 respondents completed the survey. A majority of respondents were parents or guardians of a child with a rare disease (n=74, 64.3%), and the remaining respondents were patients with a rare disease (n=41, 35.7%). Slightly more than half of respondents (n=63, 54.8%) reported prior use of GenAI tools in the context of rare disease. Common purposes included exploring new treatments or clinical trials (n=53, 46.1%), interpreting medical tests or clinical notes (n=37, 32.2%), respondents (n=37, 32%) reported some degree of influence of GenAI on their medical decisions. Nearly 10% (n=12) reported contributions of GenAI to a formal diagnosis. Concern about GenAI accuracy was widespread; 71 of 115 (61.8%) respondents reported moderate to extreme concern. Most respondents (n=90, 78.3%) had not discussed AI-generated information with a practical tool for augmenting patient and caregiver expertise and advocacy, (2) conditional trust and bounded use of GenAI Conclusions: In this exploratory study, patients and families affected by rare diseases were actively experimenting with GenAI tools to support information seeking, preparation, and advocacy while simultaneously expressing substantial caution and concern about the reliability, safety, and appropriate boundaries of use. Our findings contrast sharply with clinician concerns that patients lack the capacity to use GenAI tools judiciously. Notwithstanding, the sample was skewed toward highly educated participants. Future research should prioritize more representative samples to better capture the range of patient and caregiver experiences with GenAI in rare disease care.</t>
  </si>
  <si>
    <t>Blease, Charlotte; Jones, James; Blease, Catherine E.; Kharko, Anna; Sanchez, Carolina Garcia; D Mandl, Kenneth</t>
  </si>
  <si>
    <t>Blease, C (corresponding author), Uppsala Univ, Dept Womens &amp; Childrens Hlth, MTC Huset, Dag Hammarskjolds Vag 14B,1 Tr Uppsala, S-75237 Uppsala, Sweden.</t>
  </si>
  <si>
    <t>charlotte.blease@uu.se</t>
  </si>
  <si>
    <t>National Institutes of Health/National Center for Advancing Translational Sciences [U01TR002623]; Advanced Research Projects Agency for Health Agreement [140D042690019]; CLEAR-AI, FORTE (the Swedish Research Council for Health, Working Life and Welfare) [2024-00039]</t>
  </si>
  <si>
    <t>National Institutes of Health/National Center for Advancing Translational Sciences; Advanced Research Projects Agency for Health Agreement; CLEAR-AI, FORTE (the Swedish Research Council for Health, Working Life and Welfare)</t>
  </si>
  <si>
    <t>Supported in part by the National Institutes of Health/National Center for Advancing Translational Sciences (U01TR002623; KDM), the Advanced Research Projects Agency for Health Agreement (140D042690019; KDM), and CLEAR-AI, FORTE (the Swedish Research Council for Health, Working Life and Welfare; #2024-00039; CB).</t>
  </si>
  <si>
    <t>[Blease, Charlotte; Kharko, Anna; Sanchez, Carolina Garcia] Uppsala Univ, Dept Womens &amp; Childrens Hlth, Uppsala, Sweden; [Blease, Charlotte; Jones, James] Beth Israel Deaconess Med Ctr, Dept Psychiat, Digital Psychiat, Boston, MA USA; [Jones, James; D Mandl, Kenneth] Boston Childrens Hosp, Computat Hlth Informat Program, Boston, MA USA; [Kharko, Anna] Univ Manchester, Ctr Primary Care, Hlth Serv Res, Manchester, England; [D Mandl, Kenneth] Harvard Med Sch, Dept Pediat, Boston, MA USA; [D Mandl, Kenneth] Harvard Med Sch, Dept Biomed Informat, Boston, MA USA</t>
  </si>
  <si>
    <t>Uppsala University; Harvard University; Harvard University Medical Affiliates; Beth Israel Deaconess Medical Center; Harvard University; Harvard University Medical Affiliates; Boston Children's Hospital; University of Manchester; Harvard University; Harvard Medical School; Harvard University; Harvard Medical School</t>
  </si>
  <si>
    <t>Patient and Family Perspectives on Generative AI Tools in Rare Diseases: Exploratory Mixed Methods Online Survey</t>
  </si>
  <si>
    <t>JOURNAL OF PARTICIPATORY MEDICINE</t>
  </si>
  <si>
    <t>generative AI; general practice; primary care; large language models; education; training; online survey question-naire; qualitative research</t>
  </si>
  <si>
    <t>UNCERTAINTY</t>
  </si>
  <si>
    <t>2152-7202</t>
  </si>
  <si>
    <t>J PARTICIP MED</t>
  </si>
  <si>
    <t>J. Particip. Med.</t>
  </si>
  <si>
    <t>e93720</t>
  </si>
  <si>
    <t>10.2196/93720</t>
  </si>
  <si>
    <t>http://dx.doi.org/10.2196/93720</t>
  </si>
  <si>
    <t>MY0HR</t>
  </si>
  <si>
    <t>42497841</t>
  </si>
  <si>
    <t>WOS:001853583100001</t>
  </si>
</sst>
</file>

<file path=xl/styles.xml><?xml version="1.0" encoding="utf-8"?>
<styleSheet xmlns="http://schemas.openxmlformats.org/spreadsheetml/2006/main">
  <numFmts count="0"/>
  <fonts count="415">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415">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16%2Fj.sleep.2025.106677" TargetMode="External" Type="http://schemas.openxmlformats.org/officeDocument/2006/relationships/hyperlink"/><Relationship Id="rId10" Target="https%3A%2F%2Fwww.webofscience.com%2Fwos%2Fwoscc%2Ffull-record%2FWOS%3A001551333600001" TargetMode="External" Type="http://schemas.openxmlformats.org/officeDocument/2006/relationships/hyperlink"/><Relationship Id="rId100" Target="https%3A%2F%2Fwww.webofscience.com%2Fwos%2Fwoscc%2Ffull-record%2FWOS%3A001559096800010" TargetMode="External" Type="http://schemas.openxmlformats.org/officeDocument/2006/relationships/hyperlink"/><Relationship Id="rId101" Target="http%3A%2F%2Fdx.doi.org%2F10.5847%2Fwjem.j.1920-8642.2025.095" TargetMode="External" Type="http://schemas.openxmlformats.org/officeDocument/2006/relationships/hyperlink"/><Relationship Id="rId102" Target="https%3A%2F%2Fwww.webofscience.com%2Fwos%2Fwoscc%2Ffull-record%2FWOS%3A001573058700005" TargetMode="External" Type="http://schemas.openxmlformats.org/officeDocument/2006/relationships/hyperlink"/><Relationship Id="rId103" Target="http%3A%2F%2Fdx.doi.org%2F10.1007%2Fs00405-026-10440-4" TargetMode="External" Type="http://schemas.openxmlformats.org/officeDocument/2006/relationships/hyperlink"/><Relationship Id="rId104" Target="https%3A%2F%2Fwww.webofscience.com%2Fwos%2Fwoscc%2Ffull-record%2FWOS%3A001823795000001" TargetMode="External" Type="http://schemas.openxmlformats.org/officeDocument/2006/relationships/hyperlink"/><Relationship Id="rId105" Target="http%3A%2F%2Fdx.doi.org%2F10.1007%2Fs13312-026-00396-3" TargetMode="External" Type="http://schemas.openxmlformats.org/officeDocument/2006/relationships/hyperlink"/><Relationship Id="rId106" Target="https%3A%2F%2Fwww.webofscience.com%2Fwos%2Fwoscc%2Ffull-record%2FWOS%3A001820680600001" TargetMode="External" Type="http://schemas.openxmlformats.org/officeDocument/2006/relationships/hyperlink"/><Relationship Id="rId107" Target="http%3A%2F%2Fdx.doi.org%2F10.3390%2Fapp16073499" TargetMode="External" Type="http://schemas.openxmlformats.org/officeDocument/2006/relationships/hyperlink"/><Relationship Id="rId108" Target="https%3A%2F%2Fwww.webofscience.com%2Fwos%2Fwoscc%2Ffull-record%2FWOS%3A001739195600001" TargetMode="External" Type="http://schemas.openxmlformats.org/officeDocument/2006/relationships/hyperlink"/><Relationship Id="rId109" Target="http%3A%2F%2Fdx.doi.org%2F10.1016%2Fj.xops.2026.101265" TargetMode="External" Type="http://schemas.openxmlformats.org/officeDocument/2006/relationships/hyperlink"/><Relationship Id="rId11" Target="http%3A%2F%2Fdx.doi.org%2F10.1038%2Fs41746-026-02644-z" TargetMode="External" Type="http://schemas.openxmlformats.org/officeDocument/2006/relationships/hyperlink"/><Relationship Id="rId110" Target="https%3A%2F%2Fwww.webofscience.com%2Fwos%2Fwoscc%2Ffull-record%2FWOS%3A001821186100001" TargetMode="External" Type="http://schemas.openxmlformats.org/officeDocument/2006/relationships/hyperlink"/><Relationship Id="rId111" Target="http%3A%2F%2Fdx.doi.org%2F10.1186%2Fs12903-026-08269-8" TargetMode="External" Type="http://schemas.openxmlformats.org/officeDocument/2006/relationships/hyperlink"/><Relationship Id="rId112" Target="https%3A%2F%2Fwww.webofscience.com%2Fwos%2Fwoscc%2Ffull-record%2FWOS%3A001794613100001" TargetMode="External" Type="http://schemas.openxmlformats.org/officeDocument/2006/relationships/hyperlink"/><Relationship Id="rId113" Target="http%3A%2F%2Fdx.doi.org%2F10.1038%2Fs41746-025-02071-6" TargetMode="External" Type="http://schemas.openxmlformats.org/officeDocument/2006/relationships/hyperlink"/><Relationship Id="rId114" Target="https%3A%2F%2Fwww.webofscience.com%2Fwos%2Fwoscc%2Ffull-record%2FWOS%3A001618552600004" TargetMode="External" Type="http://schemas.openxmlformats.org/officeDocument/2006/relationships/hyperlink"/><Relationship Id="rId115" Target="http%3A%2F%2Fdx.doi.org%2F10.1097%2FASW.0000000000000353" TargetMode="External" Type="http://schemas.openxmlformats.org/officeDocument/2006/relationships/hyperlink"/><Relationship Id="rId116" Target="https%3A%2F%2Fwww.webofscience.com%2Fwos%2Fwoscc%2Ffull-record%2FWOS%3A001578283400011" TargetMode="External" Type="http://schemas.openxmlformats.org/officeDocument/2006/relationships/hyperlink"/><Relationship Id="rId117" Target="http%3A%2F%2Fdx.doi.org%2F10.1038%2Fs41598-025-34773-y" TargetMode="External" Type="http://schemas.openxmlformats.org/officeDocument/2006/relationships/hyperlink"/><Relationship Id="rId118" Target="https%3A%2F%2Fwww.webofscience.com%2Fwos%2Fwoscc%2Ffull-record%2FWOS%3A001680933200003" TargetMode="External" Type="http://schemas.openxmlformats.org/officeDocument/2006/relationships/hyperlink"/><Relationship Id="rId119" Target="http%3A%2F%2Fdx.doi.org%2F10.1016%2Fj.imed.2025.01.001" TargetMode="External" Type="http://schemas.openxmlformats.org/officeDocument/2006/relationships/hyperlink"/><Relationship Id="rId12" Target="https%3A%2F%2Fwww.webofscience.com%2Fwos%2Fwoscc%2Ffull-record%2FWOS%3A001796344900003" TargetMode="External" Type="http://schemas.openxmlformats.org/officeDocument/2006/relationships/hyperlink"/><Relationship Id="rId120" Target="https%3A%2F%2Fwww.webofscience.com%2Fwos%2Fwoscc%2Ffull-record%2FWOS%3A001431039900001" TargetMode="External" Type="http://schemas.openxmlformats.org/officeDocument/2006/relationships/hyperlink"/><Relationship Id="rId121" Target="http%3A%2F%2Fdx.doi.org%2F10.1007%2Fs13755-025-00380-4" TargetMode="External" Type="http://schemas.openxmlformats.org/officeDocument/2006/relationships/hyperlink"/><Relationship Id="rId122" Target="https%3A%2F%2Fwww.webofscience.com%2Fwos%2Fwoscc%2Ffull-record%2FWOS%3A001581976800001" TargetMode="External" Type="http://schemas.openxmlformats.org/officeDocument/2006/relationships/hyperlink"/><Relationship Id="rId123" Target="http%3A%2F%2Fdx.doi.org%2F10.1186%2Fs12911-026-03586-y" TargetMode="External" Type="http://schemas.openxmlformats.org/officeDocument/2006/relationships/hyperlink"/><Relationship Id="rId124" Target="https%3A%2F%2Fwww.webofscience.com%2Fwos%2Fwoscc%2Ffull-record%2FWOS%3A001807315200001" TargetMode="External" Type="http://schemas.openxmlformats.org/officeDocument/2006/relationships/hyperlink"/><Relationship Id="rId125" Target="http%3A%2F%2Fdx.doi.org%2F10.3389%2Ffdgth.2025.1633278" TargetMode="External" Type="http://schemas.openxmlformats.org/officeDocument/2006/relationships/hyperlink"/><Relationship Id="rId126" Target="https%3A%2F%2Fwww.webofscience.com%2Fwos%2Fwoscc%2Ffull-record%2FWOS%3A001627259000001" TargetMode="External" Type="http://schemas.openxmlformats.org/officeDocument/2006/relationships/hyperlink"/><Relationship Id="rId127" Target="http%3A%2F%2Fdx.doi.org%2F10.1016%2Fj.ijmedinf.2026.106550" TargetMode="External" Type="http://schemas.openxmlformats.org/officeDocument/2006/relationships/hyperlink"/><Relationship Id="rId128" Target="https%3A%2F%2Fwww.webofscience.com%2Fwos%2Fwoscc%2Ffull-record%2FWOS%3A001808496900001" TargetMode="External" Type="http://schemas.openxmlformats.org/officeDocument/2006/relationships/hyperlink"/><Relationship Id="rId129" Target="http%3A%2F%2Fdx.doi.org%2F10.1007%2Fs12105-026-01929-9" TargetMode="External" Type="http://schemas.openxmlformats.org/officeDocument/2006/relationships/hyperlink"/><Relationship Id="rId13" Target="http%3A%2F%2Fdx.doi.org%2F10.1016%2Fj.tvjl.2025.106476" TargetMode="External" Type="http://schemas.openxmlformats.org/officeDocument/2006/relationships/hyperlink"/><Relationship Id="rId130" Target="https%3A%2F%2Fwww.webofscience.com%2Fwos%2Fwoscc%2Ffull-record%2FWOS%3A001790869800002" TargetMode="External" Type="http://schemas.openxmlformats.org/officeDocument/2006/relationships/hyperlink"/><Relationship Id="rId131" Target="http%3A%2F%2Fdx.doi.org%2F10.1016%2Fj.psychres.2025.116844" TargetMode="External" Type="http://schemas.openxmlformats.org/officeDocument/2006/relationships/hyperlink"/><Relationship Id="rId132" Target="https%3A%2F%2Fwww.webofscience.com%2Fwos%2Fwoscc%2Ffull-record%2FWOS%3A001628021900006" TargetMode="External" Type="http://schemas.openxmlformats.org/officeDocument/2006/relationships/hyperlink"/><Relationship Id="rId133" Target="http%3A%2F%2Fdx.doi.org%2F10.1038%2Fs41746-025-02139-3" TargetMode="External" Type="http://schemas.openxmlformats.org/officeDocument/2006/relationships/hyperlink"/><Relationship Id="rId134" Target="https%3A%2F%2Fwww.webofscience.com%2Fwos%2Fwoscc%2Ffull-record%2FWOS%3A001643634200001" TargetMode="External" Type="http://schemas.openxmlformats.org/officeDocument/2006/relationships/hyperlink"/><Relationship Id="rId135" Target="http%3A%2F%2Fdx.doi.org%2F10.1016%2Fj.jtha.2025.09.004" TargetMode="External" Type="http://schemas.openxmlformats.org/officeDocument/2006/relationships/hyperlink"/><Relationship Id="rId136" Target="https%3A%2F%2Fwww.webofscience.com%2Fwos%2Fwoscc%2Ffull-record%2FWOS%3A001709685400001" TargetMode="External" Type="http://schemas.openxmlformats.org/officeDocument/2006/relationships/hyperlink"/><Relationship Id="rId137" Target="http%3A%2F%2Fdx.doi.org%2F10.1038%2Fs41746-026-02537-1" TargetMode="External" Type="http://schemas.openxmlformats.org/officeDocument/2006/relationships/hyperlink"/><Relationship Id="rId138" Target="https%3A%2F%2Fwww.webofscience.com%2Fwos%2Fwoscc%2Ffull-record%2FWOS%3A001754451700001" TargetMode="External" Type="http://schemas.openxmlformats.org/officeDocument/2006/relationships/hyperlink"/><Relationship Id="rId139" Target="http%3A%2F%2Fdx.doi.org%2F10.1371%2Fjournal.pone.0340220" TargetMode="External" Type="http://schemas.openxmlformats.org/officeDocument/2006/relationships/hyperlink"/><Relationship Id="rId14" Target="https%3A%2F%2Fwww.webofscience.com%2Fwos%2Fwoscc%2Ffull-record%2FWOS%3A001615213200001" TargetMode="External" Type="http://schemas.openxmlformats.org/officeDocument/2006/relationships/hyperlink"/><Relationship Id="rId140" Target="https%3A%2F%2Fwww.webofscience.com%2Fwos%2Fwoscc%2Ffull-record%2FWOS%3A001651939400005" TargetMode="External" Type="http://schemas.openxmlformats.org/officeDocument/2006/relationships/hyperlink"/><Relationship Id="rId141" Target="http%3A%2F%2Fdx.doi.org%2F10.6018%2Fedumed.695571" TargetMode="External" Type="http://schemas.openxmlformats.org/officeDocument/2006/relationships/hyperlink"/><Relationship Id="rId142" Target="https%3A%2F%2Fwww.webofscience.com%2Fwos%2Fwoscc%2Ffull-record%2FWOS%3A001686056000004" TargetMode="External" Type="http://schemas.openxmlformats.org/officeDocument/2006/relationships/hyperlink"/><Relationship Id="rId143" Target="http%3A%2F%2Fdx.doi.org%2F10.1111%2Fbpa.13207" TargetMode="External" Type="http://schemas.openxmlformats.org/officeDocument/2006/relationships/hyperlink"/><Relationship Id="rId144" Target="https%3A%2F%2Fwww.webofscience.com%2Fwos%2Fwoscc%2Ffull-record%2FWOS%3A001044510300001" TargetMode="External" Type="http://schemas.openxmlformats.org/officeDocument/2006/relationships/hyperlink"/><Relationship Id="rId145" Target="http%3A%2F%2Fdx.doi.org%2F10.1016%2Fj.edumed.2026.101161" TargetMode="External" Type="http://schemas.openxmlformats.org/officeDocument/2006/relationships/hyperlink"/><Relationship Id="rId146" Target="https%3A%2F%2Fwww.webofscience.com%2Fwos%2Fwoscc%2Ffull-record%2FWOS%3A001697104400001" TargetMode="External" Type="http://schemas.openxmlformats.org/officeDocument/2006/relationships/hyperlink"/><Relationship Id="rId147" Target="http%3A%2F%2Fdx.doi.org%2F10.1016%2Fj.mcpdig.2024.03.003" TargetMode="External" Type="http://schemas.openxmlformats.org/officeDocument/2006/relationships/hyperlink"/><Relationship Id="rId148" Target="https%3A%2F%2Fwww.webofscience.com%2Fwos%2Fwoscc%2Ffull-record%2FWOS%3A001546328900003" TargetMode="External" Type="http://schemas.openxmlformats.org/officeDocument/2006/relationships/hyperlink"/><Relationship Id="rId149" Target="http%3A%2F%2Fdx.doi.org%2F10.1007%2Fs10912-026-10019-4" TargetMode="External" Type="http://schemas.openxmlformats.org/officeDocument/2006/relationships/hyperlink"/><Relationship Id="rId15" Target="http%3A%2F%2Fdx.doi.org%2F10.1001%2Fjamanetworkopen.2024.40969" TargetMode="External" Type="http://schemas.openxmlformats.org/officeDocument/2006/relationships/hyperlink"/><Relationship Id="rId150" Target="https%3A%2F%2Fwww.webofscience.com%2Fwos%2Fwoscc%2Ffull-record%2FWOS%3A001713978500001" TargetMode="External" Type="http://schemas.openxmlformats.org/officeDocument/2006/relationships/hyperlink"/><Relationship Id="rId151" Target="http%3A%2F%2Fdx.doi.org%2F10.1038%2Fs41746-025-01845-2" TargetMode="External" Type="http://schemas.openxmlformats.org/officeDocument/2006/relationships/hyperlink"/><Relationship Id="rId152" Target="https%3A%2F%2Fwww.webofscience.com%2Fwos%2Fwoscc%2Ffull-record%2FWOS%3A001532812700003" TargetMode="External" Type="http://schemas.openxmlformats.org/officeDocument/2006/relationships/hyperlink"/><Relationship Id="rId153" Target="http%3A%2F%2Fdx.doi.org%2F10.1007%2Fs41666-024-00178-1" TargetMode="External" Type="http://schemas.openxmlformats.org/officeDocument/2006/relationships/hyperlink"/><Relationship Id="rId154" Target="https%3A%2F%2Fwww.webofscience.com%2Fwos%2Fwoscc%2Ffull-record%2FWOS%3A001361419000001" TargetMode="External" Type="http://schemas.openxmlformats.org/officeDocument/2006/relationships/hyperlink"/><Relationship Id="rId155" Target="http%3A%2F%2Fdx.doi.org%2F10.1093%2Fjamiaopen%2Fooag080" TargetMode="External" Type="http://schemas.openxmlformats.org/officeDocument/2006/relationships/hyperlink"/><Relationship Id="rId156" Target="https%3A%2F%2Fwww.webofscience.com%2Fwos%2Fwoscc%2Ffull-record%2FWOS%3A001781669100001" TargetMode="External" Type="http://schemas.openxmlformats.org/officeDocument/2006/relationships/hyperlink"/><Relationship Id="rId157" Target="http%3A%2F%2Fdx.doi.org%2F10.1016%2Fj.identj.2025.103910" TargetMode="External" Type="http://schemas.openxmlformats.org/officeDocument/2006/relationships/hyperlink"/><Relationship Id="rId158" Target="https%3A%2F%2Fwww.webofscience.com%2Fwos%2Fwoscc%2Ffull-record%2FWOS%3A001575360000001" TargetMode="External" Type="http://schemas.openxmlformats.org/officeDocument/2006/relationships/hyperlink"/><Relationship Id="rId159" Target="http%3A%2F%2Fdx.doi.org%2F10.1038%2Fs44184-024-00114-6" TargetMode="External" Type="http://schemas.openxmlformats.org/officeDocument/2006/relationships/hyperlink"/><Relationship Id="rId16" Target="https%3A%2F%2Fwww.webofscience.com%2Fwos%2Fwoscc%2Ffull-record%2FWOS%3A001346416900001" TargetMode="External" Type="http://schemas.openxmlformats.org/officeDocument/2006/relationships/hyperlink"/><Relationship Id="rId160" Target="https%3A%2F%2Fwww.webofscience.com%2Fwos%2Fwoscc%2Ffull-record%2FWOS%3A001592611900001" TargetMode="External" Type="http://schemas.openxmlformats.org/officeDocument/2006/relationships/hyperlink"/><Relationship Id="rId161" Target="http%3A%2F%2Fdx.doi.org%2F10.1016%2Fj.engappai.2026.114480" TargetMode="External" Type="http://schemas.openxmlformats.org/officeDocument/2006/relationships/hyperlink"/><Relationship Id="rId162" Target="https%3A%2F%2Fwww.webofscience.com%2Fwos%2Fwoscc%2Ffull-record%2FWOS%3A001725071200001" TargetMode="External" Type="http://schemas.openxmlformats.org/officeDocument/2006/relationships/hyperlink"/><Relationship Id="rId163" Target="http%3A%2F%2Fdx.doi.org%2F10.3390%2Fdiagnostics16091258" TargetMode="External" Type="http://schemas.openxmlformats.org/officeDocument/2006/relationships/hyperlink"/><Relationship Id="rId164" Target="https%3A%2F%2Fwww.webofscience.com%2Fwos%2Fwoscc%2Ffull-record%2FWOS%3A001764073400001" TargetMode="External" Type="http://schemas.openxmlformats.org/officeDocument/2006/relationships/hyperlink"/><Relationship Id="rId165" Target="http%3A%2F%2Fdx.doi.org%2F10.1002%2Flio2.70433" TargetMode="External" Type="http://schemas.openxmlformats.org/officeDocument/2006/relationships/hyperlink"/><Relationship Id="rId166" Target="https%3A%2F%2Fwww.webofscience.com%2Fwos%2Fwoscc%2Ffull-record%2FWOS%3A001762083600001" TargetMode="External" Type="http://schemas.openxmlformats.org/officeDocument/2006/relationships/hyperlink"/><Relationship Id="rId167" Target="http%3A%2F%2Fdx.doi.org%2F10.1038%2Fs41591-024-03097-1" TargetMode="External" Type="http://schemas.openxmlformats.org/officeDocument/2006/relationships/hyperlink"/><Relationship Id="rId168" Target="https%3A%2F%2Fwww.webofscience.com%2Fwos%2Fwoscc%2Ffull-record%2FWOS%3A001262233500004" TargetMode="External" Type="http://schemas.openxmlformats.org/officeDocument/2006/relationships/hyperlink"/><Relationship Id="rId169" Target="http%3A%2F%2Fdx.doi.org%2F10.3390%2Fdiagnostics15101221" TargetMode="External" Type="http://schemas.openxmlformats.org/officeDocument/2006/relationships/hyperlink"/><Relationship Id="rId17" Target="http%3A%2F%2Fdx.doi.org%2F10.1038%2Fs41586-025-08869-4" TargetMode="External" Type="http://schemas.openxmlformats.org/officeDocument/2006/relationships/hyperlink"/><Relationship Id="rId170" Target="https%3A%2F%2Fwww.webofscience.com%2Fwos%2Fwoscc%2Ffull-record%2FWOS%3A001496633900001" TargetMode="External" Type="http://schemas.openxmlformats.org/officeDocument/2006/relationships/hyperlink"/><Relationship Id="rId171" Target="http%3A%2F%2Fdx.doi.org%2F10.1093%2Fjamiaopen%2Fooaf119" TargetMode="External" Type="http://schemas.openxmlformats.org/officeDocument/2006/relationships/hyperlink"/><Relationship Id="rId172" Target="https%3A%2F%2Fwww.webofscience.com%2Fwos%2Fwoscc%2Ffull-record%2FWOS%3A001597725600001" TargetMode="External" Type="http://schemas.openxmlformats.org/officeDocument/2006/relationships/hyperlink"/><Relationship Id="rId173" Target="http%3A%2F%2Fdx.doi.org%2F10.1038%2Fs41591-024-03328-5" TargetMode="External" Type="http://schemas.openxmlformats.org/officeDocument/2006/relationships/hyperlink"/><Relationship Id="rId174" Target="https%3A%2F%2Fwww.webofscience.com%2Fwos%2Fwoscc%2Ffull-record%2FWOS%3A001388208200001" TargetMode="External" Type="http://schemas.openxmlformats.org/officeDocument/2006/relationships/hyperlink"/><Relationship Id="rId175" Target="http%3A%2F%2Fdx.doi.org%2F10.1016%2Fj.humpath.2026.106156" TargetMode="External" Type="http://schemas.openxmlformats.org/officeDocument/2006/relationships/hyperlink"/><Relationship Id="rId176" Target="https%3A%2F%2Fwww.webofscience.com%2Fwos%2Fwoscc%2Ffull-record%2FWOS%3A001790434000001" TargetMode="External" Type="http://schemas.openxmlformats.org/officeDocument/2006/relationships/hyperlink"/><Relationship Id="rId177" Target="http%3A%2F%2Fdx.doi.org%2F10.3389%2Ffvets.2025.1660745" TargetMode="External" Type="http://schemas.openxmlformats.org/officeDocument/2006/relationships/hyperlink"/><Relationship Id="rId178" Target="https%3A%2F%2Fwww.webofscience.com%2Fwos%2Fwoscc%2Ffull-record%2FWOS%3A001573875000001" TargetMode="External" Type="http://schemas.openxmlformats.org/officeDocument/2006/relationships/hyperlink"/><Relationship Id="rId179" Target="http%3A%2F%2Fdx.doi.org%2F10.1016%2Fj.ijmedinf.2026.106466" TargetMode="External" Type="http://schemas.openxmlformats.org/officeDocument/2006/relationships/hyperlink"/><Relationship Id="rId18" Target="https%3A%2F%2Fwww.webofscience.com%2Fwos%2Fwoscc%2Ffull-record%2FWOS%3A001463961800001" TargetMode="External" Type="http://schemas.openxmlformats.org/officeDocument/2006/relationships/hyperlink"/><Relationship Id="rId180" Target="https%3A%2F%2Fwww.webofscience.com%2Fwos%2Fwoscc%2Ffull-record%2FWOS%3A001769154300001" TargetMode="External" Type="http://schemas.openxmlformats.org/officeDocument/2006/relationships/hyperlink"/><Relationship Id="rId181" Target="http%3A%2F%2Fdx.doi.org%2F10.2147%2FOPTH.S483024" TargetMode="External" Type="http://schemas.openxmlformats.org/officeDocument/2006/relationships/hyperlink"/><Relationship Id="rId182" Target="https%3A%2F%2Fwww.webofscience.com%2Fwos%2Fwoscc%2Ffull-record%2FWOS%3A001373157100001" TargetMode="External" Type="http://schemas.openxmlformats.org/officeDocument/2006/relationships/hyperlink"/><Relationship Id="rId183" Target="http%3A%2F%2Fdx.doi.org%2F10.1016%2Fj.bas.2026.105997" TargetMode="External" Type="http://schemas.openxmlformats.org/officeDocument/2006/relationships/hyperlink"/><Relationship Id="rId184" Target="https%3A%2F%2Fwww.webofscience.com%2Fwos%2Fwoscc%2Ffull-record%2FWOS%3A001718697300001" TargetMode="External" Type="http://schemas.openxmlformats.org/officeDocument/2006/relationships/hyperlink"/><Relationship Id="rId185" Target="http%3A%2F%2Fdx.doi.org%2F10.7860%2FJCDR%2F2026%2F85628.23103" TargetMode="External" Type="http://schemas.openxmlformats.org/officeDocument/2006/relationships/hyperlink"/><Relationship Id="rId186" Target="https%3A%2F%2Fwww.webofscience.com%2Fwos%2Fwoscc%2Ffull-record%2FWOS%3A001720895100037" TargetMode="External" Type="http://schemas.openxmlformats.org/officeDocument/2006/relationships/hyperlink"/><Relationship Id="rId187" Target="http%3A%2F%2Fdx.doi.org%2F10.1007%2Fs00417-026-07442-7" TargetMode="External" Type="http://schemas.openxmlformats.org/officeDocument/2006/relationships/hyperlink"/><Relationship Id="rId188" Target="https%3A%2F%2Fwww.webofscience.com%2Fwos%2Fwoscc%2Ffull-record%2FWOS%3A001841839700001" TargetMode="External" Type="http://schemas.openxmlformats.org/officeDocument/2006/relationships/hyperlink"/><Relationship Id="rId189" Target="http%3A%2F%2Fdx.doi.org%2F10.2196%2F75556" TargetMode="External" Type="http://schemas.openxmlformats.org/officeDocument/2006/relationships/hyperlink"/><Relationship Id="rId19" Target="http%3A%2F%2Fdx.doi.org%2F10.1038%2Fs41746-024-01010-1" TargetMode="External" Type="http://schemas.openxmlformats.org/officeDocument/2006/relationships/hyperlink"/><Relationship Id="rId190" Target="https%3A%2F%2Fwww.webofscience.com%2Fwos%2Fwoscc%2Ffull-record%2FWOS%3A001604476800001" TargetMode="External" Type="http://schemas.openxmlformats.org/officeDocument/2006/relationships/hyperlink"/><Relationship Id="rId191" Target="http%3A%2F%2Fdx.doi.org%2F10.36922%2FEJMO025120058" TargetMode="External" Type="http://schemas.openxmlformats.org/officeDocument/2006/relationships/hyperlink"/><Relationship Id="rId192" Target="https%3A%2F%2Fwww.webofscience.com%2Fwos%2Fwoscc%2Ffull-record%2FWOS%3A001651228400014" TargetMode="External" Type="http://schemas.openxmlformats.org/officeDocument/2006/relationships/hyperlink"/><Relationship Id="rId193" Target="http%3A%2F%2Fdx.doi.org%2F10.1016%2Fj.jdent.2026.106828" TargetMode="External" Type="http://schemas.openxmlformats.org/officeDocument/2006/relationships/hyperlink"/><Relationship Id="rId194" Target="https%3A%2F%2Fwww.webofscience.com%2Fwos%2Fwoscc%2Ffull-record%2FWOS%3A001843998200001" TargetMode="External" Type="http://schemas.openxmlformats.org/officeDocument/2006/relationships/hyperlink"/><Relationship Id="rId195" Target="http%3A%2F%2Fdx.doi.org%2F10.1038%2Fs43856-025-01348-x" TargetMode="External" Type="http://schemas.openxmlformats.org/officeDocument/2006/relationships/hyperlink"/><Relationship Id="rId196" Target="https%3A%2F%2Fwww.webofscience.com%2Fwos%2Fwoscc%2Ffull-record%2FWOS%3A001681270600001" TargetMode="External" Type="http://schemas.openxmlformats.org/officeDocument/2006/relationships/hyperlink"/><Relationship Id="rId197" Target="http%3A%2F%2Fdx.doi.org%2F10.1016%2Fj.xcrm.2025.102547" TargetMode="External" Type="http://schemas.openxmlformats.org/officeDocument/2006/relationships/hyperlink"/><Relationship Id="rId198" Target="https%3A%2F%2Fwww.webofscience.com%2Fwos%2Fwoscc%2Ffull-record%2FWOS%3A001676625200001" TargetMode="External" Type="http://schemas.openxmlformats.org/officeDocument/2006/relationships/hyperlink"/><Relationship Id="rId199" Target="http%3A%2F%2Fdx.doi.org%2F10.1080%2F17452007.2026.2647805" TargetMode="External" Type="http://schemas.openxmlformats.org/officeDocument/2006/relationships/hyperlink"/><Relationship Id="rId2" Target="https%3A%2F%2Fwww.webofscience.com%2Fwos%2Fwoscc%2Ffull-record%2FWOS%3A001556345500002" TargetMode="External" Type="http://schemas.openxmlformats.org/officeDocument/2006/relationships/hyperlink"/><Relationship Id="rId20" Target="https%3A%2F%2Fwww.webofscience.com%2Fwos%2Fwoscc%2Ffull-record%2FWOS%3A001148298600001" TargetMode="External" Type="http://schemas.openxmlformats.org/officeDocument/2006/relationships/hyperlink"/><Relationship Id="rId200" Target="https%3A%2F%2Fwww.webofscience.com%2Fwos%2Fwoscc%2Ffull-record%2FWOS%3A001720530900001" TargetMode="External" Type="http://schemas.openxmlformats.org/officeDocument/2006/relationships/hyperlink"/><Relationship Id="rId201" Target="http%3A%2F%2Fdx.doi.org%2F10.2196%2F77699" TargetMode="External" Type="http://schemas.openxmlformats.org/officeDocument/2006/relationships/hyperlink"/><Relationship Id="rId202" Target="https%3A%2F%2Fwww.webofscience.com%2Fwos%2Fwoscc%2Ffull-record%2FWOS%3A001669412900002" TargetMode="External" Type="http://schemas.openxmlformats.org/officeDocument/2006/relationships/hyperlink"/><Relationship Id="rId203" Target="http%3A%2F%2Fdx.doi.org%2F10.1093%2Fdmfr%2Ftwaf060" TargetMode="External" Type="http://schemas.openxmlformats.org/officeDocument/2006/relationships/hyperlink"/><Relationship Id="rId204" Target="https%3A%2F%2Fwww.webofscience.com%2Fwos%2Fwoscc%2Ffull-record%2FWOS%3A001564906600001" TargetMode="External" Type="http://schemas.openxmlformats.org/officeDocument/2006/relationships/hyperlink"/><Relationship Id="rId205" Target="http%3A%2F%2Fdx.doi.org%2F10.1038%2Fs41598-026-46333-z" TargetMode="External" Type="http://schemas.openxmlformats.org/officeDocument/2006/relationships/hyperlink"/><Relationship Id="rId206" Target="https%3A%2F%2Fwww.webofscience.com%2Fwos%2Fwoscc%2Ffull-record%2FWOS%3A001736167900017" TargetMode="External" Type="http://schemas.openxmlformats.org/officeDocument/2006/relationships/hyperlink"/><Relationship Id="rId207" Target="http%3A%2F%2Fdx.doi.org%2F10.14245%2Fns.2347310.655" TargetMode="External" Type="http://schemas.openxmlformats.org/officeDocument/2006/relationships/hyperlink"/><Relationship Id="rId208" Target="https%3A%2F%2Fwww.webofscience.com%2Fwos%2Fwoscc%2Ffull-record%2FWOS%3A001196883300002" TargetMode="External" Type="http://schemas.openxmlformats.org/officeDocument/2006/relationships/hyperlink"/><Relationship Id="rId209" Target="http%3A%2F%2Fdx.doi.org%2F10.3390%2Fdiagnostics16010169" TargetMode="External" Type="http://schemas.openxmlformats.org/officeDocument/2006/relationships/hyperlink"/><Relationship Id="rId21" Target="http%3A%2F%2Fdx.doi.org%2F10.1038%2Fs41746-026-02619-0" TargetMode="External" Type="http://schemas.openxmlformats.org/officeDocument/2006/relationships/hyperlink"/><Relationship Id="rId210" Target="https%3A%2F%2Fwww.webofscience.com%2Fwos%2Fwoscc%2Ffull-record%2FWOS%3A001658660800001" TargetMode="External" Type="http://schemas.openxmlformats.org/officeDocument/2006/relationships/hyperlink"/><Relationship Id="rId211" Target="http%3A%2F%2Fdx.doi.org%2F10.14744%2Fcpr.2026.37887" TargetMode="External" Type="http://schemas.openxmlformats.org/officeDocument/2006/relationships/hyperlink"/><Relationship Id="rId212" Target="https%3A%2F%2Fwww.webofscience.com%2Fwos%2Fwoscc%2Ffull-record%2FWOS%3A001768340000010" TargetMode="External" Type="http://schemas.openxmlformats.org/officeDocument/2006/relationships/hyperlink"/><Relationship Id="rId213" Target="http%3A%2F%2Fdx.doi.org%2F10.3390%2Felectronics15030555" TargetMode="External" Type="http://schemas.openxmlformats.org/officeDocument/2006/relationships/hyperlink"/><Relationship Id="rId214" Target="https%3A%2F%2Fwww.webofscience.com%2Fwos%2Fwoscc%2Ffull-record%2FWOS%3A001687687800001" TargetMode="External" Type="http://schemas.openxmlformats.org/officeDocument/2006/relationships/hyperlink"/><Relationship Id="rId215" Target="http%3A%2F%2Fdx.doi.org%2F10.3390%2Flife16040681" TargetMode="External" Type="http://schemas.openxmlformats.org/officeDocument/2006/relationships/hyperlink"/><Relationship Id="rId216" Target="https%3A%2F%2Fwww.webofscience.com%2Fwos%2Fwoscc%2Ffull-record%2FWOS%3A001750838300001" TargetMode="External" Type="http://schemas.openxmlformats.org/officeDocument/2006/relationships/hyperlink"/><Relationship Id="rId217" Target="http%3A%2F%2Fdx.doi.org%2F10.2196%2F73941" TargetMode="External" Type="http://schemas.openxmlformats.org/officeDocument/2006/relationships/hyperlink"/><Relationship Id="rId218" Target="https%3A%2F%2Fwww.webofscience.com%2Fwos%2Fwoscc%2Ffull-record%2FWOS%3A001560556800002" TargetMode="External" Type="http://schemas.openxmlformats.org/officeDocument/2006/relationships/hyperlink"/><Relationship Id="rId219" Target="http%3A%2F%2Fdx.doi.org%2F10.1038%2Fs41598-025-20210-7" TargetMode="External" Type="http://schemas.openxmlformats.org/officeDocument/2006/relationships/hyperlink"/><Relationship Id="rId22" Target="https%3A%2F%2Fwww.webofscience.com%2Fwos%2Fwoscc%2Ffull-record%2FWOS%3A001747014300001" TargetMode="External" Type="http://schemas.openxmlformats.org/officeDocument/2006/relationships/hyperlink"/><Relationship Id="rId220" Target="https%3A%2F%2Fwww.webofscience.com%2Fwos%2Fwoscc%2Ffull-record%2FWOS%3A001597100100038" TargetMode="External" Type="http://schemas.openxmlformats.org/officeDocument/2006/relationships/hyperlink"/><Relationship Id="rId221" Target="http%3A%2F%2Fdx.doi.org%2F10.1245%2Fs10434-026-19745-4" TargetMode="External" Type="http://schemas.openxmlformats.org/officeDocument/2006/relationships/hyperlink"/><Relationship Id="rId222" Target="https%3A%2F%2Fwww.webofscience.com%2Fwos%2Fwoscc%2Ffull-record%2FWOS%3A001792769200001" TargetMode="External" Type="http://schemas.openxmlformats.org/officeDocument/2006/relationships/hyperlink"/><Relationship Id="rId223" Target="http%3A%2F%2Fdx.doi.org%2F10.1093%2Fjamia%2Focag053" TargetMode="External" Type="http://schemas.openxmlformats.org/officeDocument/2006/relationships/hyperlink"/><Relationship Id="rId224" Target="https%3A%2F%2Fwww.webofscience.com%2Fwos%2Fwoscc%2Ffull-record%2FWOS%3A001792876900001" TargetMode="External" Type="http://schemas.openxmlformats.org/officeDocument/2006/relationships/hyperlink"/><Relationship Id="rId225" Target="http%3A%2F%2Fdx.doi.org%2F10.1016%2Fj.euros.2024.10.009" TargetMode="External" Type="http://schemas.openxmlformats.org/officeDocument/2006/relationships/hyperlink"/><Relationship Id="rId226" Target="https%3A%2F%2Fwww.webofscience.com%2Fwos%2Fwoscc%2Ffull-record%2FWOS%3A001344260300001" TargetMode="External" Type="http://schemas.openxmlformats.org/officeDocument/2006/relationships/hyperlink"/><Relationship Id="rId227" Target="http%3A%2F%2Fdx.doi.org%2F10.1016%2Fj.tvjl.2026.106611" TargetMode="External" Type="http://schemas.openxmlformats.org/officeDocument/2006/relationships/hyperlink"/><Relationship Id="rId228" Target="https%3A%2F%2Fwww.webofscience.com%2Fwos%2Fwoscc%2Ffull-record%2FWOS%3A001705078200001" TargetMode="External" Type="http://schemas.openxmlformats.org/officeDocument/2006/relationships/hyperlink"/><Relationship Id="rId229" Target="http%3A%2F%2Fdx.doi.org%2F10.1200%2FPO-24-00478" TargetMode="External" Type="http://schemas.openxmlformats.org/officeDocument/2006/relationships/hyperlink"/><Relationship Id="rId23" Target="http%3A%2F%2Fdx.doi.org%2F10.3748%2Fwjg.v31.i31.109948" TargetMode="External" Type="http://schemas.openxmlformats.org/officeDocument/2006/relationships/hyperlink"/><Relationship Id="rId230" Target="https%3A%2F%2Fwww.webofscience.com%2Fwos%2Fwoscc%2Ffull-record%2FWOS%3A001376907800001" TargetMode="External" Type="http://schemas.openxmlformats.org/officeDocument/2006/relationships/hyperlink"/><Relationship Id="rId231" Target="http%3A%2F%2Fdx.doi.org%2F10.3390%2Fcancers17132073" TargetMode="External" Type="http://schemas.openxmlformats.org/officeDocument/2006/relationships/hyperlink"/><Relationship Id="rId232" Target="https%3A%2F%2Fwww.webofscience.com%2Fwos%2Fwoscc%2Ffull-record%2FWOS%3A001528700900001" TargetMode="External" Type="http://schemas.openxmlformats.org/officeDocument/2006/relationships/hyperlink"/><Relationship Id="rId233" Target="http%3A%2F%2Fdx.doi.org%2F10.3389%2Ffmed.2025.1618222" TargetMode="External" Type="http://schemas.openxmlformats.org/officeDocument/2006/relationships/hyperlink"/><Relationship Id="rId234" Target="https%3A%2F%2Fwww.webofscience.com%2Fwos%2Fwoscc%2Ffull-record%2FWOS%3A001618597200001" TargetMode="External" Type="http://schemas.openxmlformats.org/officeDocument/2006/relationships/hyperlink"/><Relationship Id="rId235" Target="http%3A%2F%2Fdx.doi.org%2F10.1007%2Fs12020-024-03981-3" TargetMode="External" Type="http://schemas.openxmlformats.org/officeDocument/2006/relationships/hyperlink"/><Relationship Id="rId236" Target="https%3A%2F%2Fwww.webofscience.com%2Fwos%2Fwoscc%2Ffull-record%2FWOS%3A001281038100001" TargetMode="External" Type="http://schemas.openxmlformats.org/officeDocument/2006/relationships/hyperlink"/><Relationship Id="rId237" Target="http%3A%2F%2Fdx.doi.org%2F10.1016%2Fj.aei.2025.104078" TargetMode="External" Type="http://schemas.openxmlformats.org/officeDocument/2006/relationships/hyperlink"/><Relationship Id="rId238" Target="https%3A%2F%2Fwww.webofscience.com%2Fwos%2Fwoscc%2Ffull-record%2FWOS%3A001630964700002" TargetMode="External" Type="http://schemas.openxmlformats.org/officeDocument/2006/relationships/hyperlink"/><Relationship Id="rId239" Target="http%3A%2F%2Fdx.doi.org%2F10.1038%2Fs41598-025-32602-w" TargetMode="External" Type="http://schemas.openxmlformats.org/officeDocument/2006/relationships/hyperlink"/><Relationship Id="rId24" Target="https%3A%2F%2Fwww.webofscience.com%2Fwos%2Fwoscc%2Ffull-record%2FWOS%3A001558890600007" TargetMode="External" Type="http://schemas.openxmlformats.org/officeDocument/2006/relationships/hyperlink"/><Relationship Id="rId240" Target="https%3A%2F%2Fwww.webofscience.com%2Fwos%2Fwoscc%2Ffull-record%2FWOS%3A001667609400001" TargetMode="External" Type="http://schemas.openxmlformats.org/officeDocument/2006/relationships/hyperlink"/><Relationship Id="rId241" Target="http%3A%2F%2Fdx.doi.org%2F10.1186%2Fs12888-026-07988-0" TargetMode="External" Type="http://schemas.openxmlformats.org/officeDocument/2006/relationships/hyperlink"/><Relationship Id="rId242" Target="https%3A%2F%2Fwww.webofscience.com%2Fwos%2Fwoscc%2Ffull-record%2FWOS%3A001763364000002" TargetMode="External" Type="http://schemas.openxmlformats.org/officeDocument/2006/relationships/hyperlink"/><Relationship Id="rId243" Target="http%3A%2F%2Fdx.doi.org%2F10.1111%2Fcoin.70051" TargetMode="External" Type="http://schemas.openxmlformats.org/officeDocument/2006/relationships/hyperlink"/><Relationship Id="rId244" Target="https%3A%2F%2Fwww.webofscience.com%2Fwos%2Fwoscc%2Ffull-record%2FWOS%3A001463477800001" TargetMode="External" Type="http://schemas.openxmlformats.org/officeDocument/2006/relationships/hyperlink"/><Relationship Id="rId245" Target="http%3A%2F%2Fdx.doi.org%2F10.1136%2Fbjo-2025-328867" TargetMode="External" Type="http://schemas.openxmlformats.org/officeDocument/2006/relationships/hyperlink"/><Relationship Id="rId246" Target="https%3A%2F%2Fwww.webofscience.com%2Fwos%2Fwoscc%2Ffull-record%2FWOS%3A001736055100001" TargetMode="External" Type="http://schemas.openxmlformats.org/officeDocument/2006/relationships/hyperlink"/><Relationship Id="rId247" Target="http%3A%2F%2Fdx.doi.org%2F10.1007%2Fs00404-025-08145-w" TargetMode="External" Type="http://schemas.openxmlformats.org/officeDocument/2006/relationships/hyperlink"/><Relationship Id="rId248" Target="https%3A%2F%2Fwww.webofscience.com%2Fwos%2Fwoscc%2Ffull-record%2FWOS%3A001555866500001" TargetMode="External" Type="http://schemas.openxmlformats.org/officeDocument/2006/relationships/hyperlink"/><Relationship Id="rId249" Target="http%3A%2F%2Fdx.doi.org%2F10.1186%2Fs12903-025-06987-z" TargetMode="External" Type="http://schemas.openxmlformats.org/officeDocument/2006/relationships/hyperlink"/><Relationship Id="rId25" Target="http%3A%2F%2Fdx.doi.org%2F10.1088%2F1361-6560%2Fadcb17" TargetMode="External" Type="http://schemas.openxmlformats.org/officeDocument/2006/relationships/hyperlink"/><Relationship Id="rId250" Target="https%3A%2F%2Fwww.webofscience.com%2Fwos%2Fwoscc%2Ffull-record%2FWOS%3A001590971600001" TargetMode="External" Type="http://schemas.openxmlformats.org/officeDocument/2006/relationships/hyperlink"/><Relationship Id="rId251" Target="http%3A%2F%2Fdx.doi.org%2F10.3389%2Ffcell.2025.1704762" TargetMode="External" Type="http://schemas.openxmlformats.org/officeDocument/2006/relationships/hyperlink"/><Relationship Id="rId252" Target="https%3A%2F%2Fwww.webofscience.com%2Fwos%2Fwoscc%2Ffull-record%2FWOS%3A001639177000001" TargetMode="External" Type="http://schemas.openxmlformats.org/officeDocument/2006/relationships/hyperlink"/><Relationship Id="rId253" Target="http%3A%2F%2Fdx.doi.org%2F10.1002%2Fijgo.71240" TargetMode="External" Type="http://schemas.openxmlformats.org/officeDocument/2006/relationships/hyperlink"/><Relationship Id="rId254" Target="https%3A%2F%2Fwww.webofscience.com%2Fwos%2Fwoscc%2Ffull-record%2FWOS%3A001825522600001" TargetMode="External" Type="http://schemas.openxmlformats.org/officeDocument/2006/relationships/hyperlink"/><Relationship Id="rId255" Target="http%3A%2F%2Fdx.doi.org%2F10.1016%2Fj.arthro.2024.06.021" TargetMode="External" Type="http://schemas.openxmlformats.org/officeDocument/2006/relationships/hyperlink"/><Relationship Id="rId256" Target="https%3A%2F%2Fwww.webofscience.com%2Fwos%2Fwoscc%2Ffull-record%2FWOS%3A001493899100001" TargetMode="External" Type="http://schemas.openxmlformats.org/officeDocument/2006/relationships/hyperlink"/><Relationship Id="rId257" Target="http%3A%2F%2Fdx.doi.org%2F10.1097%2FIOP.0000000000002984" TargetMode="External" Type="http://schemas.openxmlformats.org/officeDocument/2006/relationships/hyperlink"/><Relationship Id="rId258" Target="https%3A%2F%2Fwww.webofscience.com%2Fwos%2Fwoscc%2Ffull-record%2FWOS%3A001660845800034" TargetMode="External" Type="http://schemas.openxmlformats.org/officeDocument/2006/relationships/hyperlink"/><Relationship Id="rId259" Target="http%3A%2F%2Fdx.doi.org%2F10.1186%2Fs12909-025-07872-7" TargetMode="External" Type="http://schemas.openxmlformats.org/officeDocument/2006/relationships/hyperlink"/><Relationship Id="rId26" Target="https%3A%2F%2Fwww.webofscience.com%2Fwos%2Fwoscc%2Ffull-record%2FWOS%3A001480266600001" TargetMode="External" Type="http://schemas.openxmlformats.org/officeDocument/2006/relationships/hyperlink"/><Relationship Id="rId260" Target="https%3A%2F%2Fwww.webofscience.com%2Fwos%2Fwoscc%2Ffull-record%2FWOS%3A001600907300004" TargetMode="External" Type="http://schemas.openxmlformats.org/officeDocument/2006/relationships/hyperlink"/><Relationship Id="rId261" Target="http%3A%2F%2Fdx.doi.org%2F10.1167%2Ftvst.14.10.13" TargetMode="External" Type="http://schemas.openxmlformats.org/officeDocument/2006/relationships/hyperlink"/><Relationship Id="rId262" Target="https%3A%2F%2Fwww.webofscience.com%2Fwos%2Fwoscc%2Ffull-record%2FWOS%3A001630844000004" TargetMode="External" Type="http://schemas.openxmlformats.org/officeDocument/2006/relationships/hyperlink"/><Relationship Id="rId263" Target="http%3A%2F%2Fdx.doi.org%2F10.1186%2Fs12913-026-14350-3" TargetMode="External" Type="http://schemas.openxmlformats.org/officeDocument/2006/relationships/hyperlink"/><Relationship Id="rId264" Target="https%3A%2F%2Fwww.webofscience.com%2Fwos%2Fwoscc%2Ffull-record%2FWOS%3A001745160700001" TargetMode="External" Type="http://schemas.openxmlformats.org/officeDocument/2006/relationships/hyperlink"/><Relationship Id="rId265" Target="http%3A%2F%2Fdx.doi.org%2F10.3390%2Fjcm15051730" TargetMode="External" Type="http://schemas.openxmlformats.org/officeDocument/2006/relationships/hyperlink"/><Relationship Id="rId266" Target="https%3A%2F%2Fwww.webofscience.com%2Fwos%2Fwoscc%2Ffull-record%2FWOS%3A001713679500001" TargetMode="External" Type="http://schemas.openxmlformats.org/officeDocument/2006/relationships/hyperlink"/><Relationship Id="rId267" Target="http%3A%2F%2Fdx.doi.org%2F10.2196%2F70017" TargetMode="External" Type="http://schemas.openxmlformats.org/officeDocument/2006/relationships/hyperlink"/><Relationship Id="rId268" Target="https%3A%2F%2Fwww.webofscience.com%2Fwos%2Fwoscc%2Ffull-record%2FWOS%3A001761845300001" TargetMode="External" Type="http://schemas.openxmlformats.org/officeDocument/2006/relationships/hyperlink"/><Relationship Id="rId269" Target="http%3A%2F%2Fdx.doi.org%2F10.2147%2FNSS.S536823" TargetMode="External" Type="http://schemas.openxmlformats.org/officeDocument/2006/relationships/hyperlink"/><Relationship Id="rId27" Target="http%3A%2F%2Fdx.doi.org%2F10.2196%2F77334" TargetMode="External" Type="http://schemas.openxmlformats.org/officeDocument/2006/relationships/hyperlink"/><Relationship Id="rId270" Target="https%3A%2F%2Fwww.webofscience.com%2Fwos%2Fwoscc%2Ffull-record%2FWOS%3A001528150200001" TargetMode="External" Type="http://schemas.openxmlformats.org/officeDocument/2006/relationships/hyperlink"/><Relationship Id="rId271" Target="http%3A%2F%2Fdx.doi.org%2F10.1016%2Fj.ejso.2025.111175" TargetMode="External" Type="http://schemas.openxmlformats.org/officeDocument/2006/relationships/hyperlink"/><Relationship Id="rId272" Target="https%3A%2F%2Fwww.webofscience.com%2Fwos%2Fwoscc%2Ffull-record%2FWOS%3A001619327200002" TargetMode="External" Type="http://schemas.openxmlformats.org/officeDocument/2006/relationships/hyperlink"/><Relationship Id="rId273" Target="http%3A%2F%2Fdx.doi.org%2F10.1038%2Fs41598-025-33342-7" TargetMode="External" Type="http://schemas.openxmlformats.org/officeDocument/2006/relationships/hyperlink"/><Relationship Id="rId274" Target="https%3A%2F%2Fwww.webofscience.com%2Fwos%2Fwoscc%2Ffull-record%2FWOS%3A001671802000005" TargetMode="External" Type="http://schemas.openxmlformats.org/officeDocument/2006/relationships/hyperlink"/><Relationship Id="rId275" Target="http%3A%2F%2Fdx.doi.org%2F10.1186%2Fs41927-025-00512-z" TargetMode="External" Type="http://schemas.openxmlformats.org/officeDocument/2006/relationships/hyperlink"/><Relationship Id="rId276" Target="https%3A%2F%2Fwww.webofscience.com%2Fwos%2Fwoscc%2Ffull-record%2FWOS%3A001489838200001" TargetMode="External" Type="http://schemas.openxmlformats.org/officeDocument/2006/relationships/hyperlink"/><Relationship Id="rId277" Target="http%3A%2F%2Fdx.doi.org%2F10.1016%2Fj.jhsa.2023.07.003" TargetMode="External" Type="http://schemas.openxmlformats.org/officeDocument/2006/relationships/hyperlink"/><Relationship Id="rId278" Target="https%3A%2F%2Fwww.webofscience.com%2Fwos%2Fwoscc%2Ffull-record%2FWOS%3A001086963800001" TargetMode="External" Type="http://schemas.openxmlformats.org/officeDocument/2006/relationships/hyperlink"/><Relationship Id="rId279" Target="http%3A%2F%2Fdx.doi.org%2F10.1038%2Fs41598-025-02601-y" TargetMode="External" Type="http://schemas.openxmlformats.org/officeDocument/2006/relationships/hyperlink"/><Relationship Id="rId28" Target="https%3A%2F%2Fwww.webofscience.com%2Fwos%2Fwoscc%2Ffull-record%2FWOS%3A001609266600003" TargetMode="External" Type="http://schemas.openxmlformats.org/officeDocument/2006/relationships/hyperlink"/><Relationship Id="rId280" Target="https%3A%2F%2Fwww.webofscience.com%2Fwos%2Fwoscc%2Ffull-record%2FWOS%3A001492819600040" TargetMode="External" Type="http://schemas.openxmlformats.org/officeDocument/2006/relationships/hyperlink"/><Relationship Id="rId281" Target="http%3A%2F%2Fdx.doi.org%2F10.1007%2Fs00590-026-04923-7" TargetMode="External" Type="http://schemas.openxmlformats.org/officeDocument/2006/relationships/hyperlink"/><Relationship Id="rId282" Target="https%3A%2F%2Fwww.webofscience.com%2Fwos%2Fwoscc%2Ffull-record%2FWOS%3A001849144400001" TargetMode="External" Type="http://schemas.openxmlformats.org/officeDocument/2006/relationships/hyperlink"/><Relationship Id="rId283" Target="http%3A%2F%2Fdx.doi.org%2F10.1016%2Fj.xops.2025.101050" TargetMode="External" Type="http://schemas.openxmlformats.org/officeDocument/2006/relationships/hyperlink"/><Relationship Id="rId284" Target="https%3A%2F%2Fwww.webofscience.com%2Fwos%2Fwoscc%2Ffull-record%2FWOS%3A001687456100001" TargetMode="External" Type="http://schemas.openxmlformats.org/officeDocument/2006/relationships/hyperlink"/><Relationship Id="rId285" Target="http%3A%2F%2Fdx.doi.org%2F10.34133%2Fhds.0256" TargetMode="External" Type="http://schemas.openxmlformats.org/officeDocument/2006/relationships/hyperlink"/><Relationship Id="rId286" Target="https%3A%2F%2Fwww.webofscience.com%2Fwos%2Fwoscc%2Ffull-record%2FWOS%3A001547513100001" TargetMode="External" Type="http://schemas.openxmlformats.org/officeDocument/2006/relationships/hyperlink"/><Relationship Id="rId287" Target="http%3A%2F%2Fdx.doi.org%2F10.1111%2F1756-185x.70713" TargetMode="External" Type="http://schemas.openxmlformats.org/officeDocument/2006/relationships/hyperlink"/><Relationship Id="rId288" Target="https%3A%2F%2Fwww.webofscience.com%2Fwos%2Fwoscc%2Ffull-record%2FWOS%3A001772999600001" TargetMode="External" Type="http://schemas.openxmlformats.org/officeDocument/2006/relationships/hyperlink"/><Relationship Id="rId289" Target="http%3A%2F%2Fdx.doi.org%2F10.1371%2Fjournal.pone.0325803" TargetMode="External" Type="http://schemas.openxmlformats.org/officeDocument/2006/relationships/hyperlink"/><Relationship Id="rId29" Target="http%3A%2F%2Fdx.doi.org%2F10.1002%2Fjhm.70390" TargetMode="External" Type="http://schemas.openxmlformats.org/officeDocument/2006/relationships/hyperlink"/><Relationship Id="rId290" Target="https%3A%2F%2Fwww.webofscience.com%2Fwos%2Fwoscc%2Ffull-record%2FWOS%3A001542584800004" TargetMode="External" Type="http://schemas.openxmlformats.org/officeDocument/2006/relationships/hyperlink"/><Relationship Id="rId291" Target="http%3A%2F%2Fdx.doi.org%2F10.1016%2Fj.acra.2025.12.020" TargetMode="External" Type="http://schemas.openxmlformats.org/officeDocument/2006/relationships/hyperlink"/><Relationship Id="rId292" Target="https%3A%2F%2Fwww.webofscience.com%2Fwos%2Fwoscc%2Ffull-record%2FWOS%3A001745611900001" TargetMode="External" Type="http://schemas.openxmlformats.org/officeDocument/2006/relationships/hyperlink"/><Relationship Id="rId293" Target="http%3A%2F%2Fdx.doi.org%2F10.3389%2Ffdgth.2025.1552746" TargetMode="External" Type="http://schemas.openxmlformats.org/officeDocument/2006/relationships/hyperlink"/><Relationship Id="rId294" Target="https%3A%2F%2Fwww.webofscience.com%2Fwos%2Fwoscc%2Ffull-record%2FWOS%3A001463366000001" TargetMode="External" Type="http://schemas.openxmlformats.org/officeDocument/2006/relationships/hyperlink"/><Relationship Id="rId295" Target="http%3A%2F%2Fdx.doi.org%2F10.1186%2Fs12911-024-02838-z" TargetMode="External" Type="http://schemas.openxmlformats.org/officeDocument/2006/relationships/hyperlink"/><Relationship Id="rId296" Target="https%3A%2F%2Fwww.webofscience.com%2Fwos%2Fwoscc%2Ffull-record%2FWOS%3A001405089400003" TargetMode="External" Type="http://schemas.openxmlformats.org/officeDocument/2006/relationships/hyperlink"/><Relationship Id="rId297" Target="http%3A%2F%2Fdx.doi.org%2F10.1038%2Fs41598-026-65667-2" TargetMode="External" Type="http://schemas.openxmlformats.org/officeDocument/2006/relationships/hyperlink"/><Relationship Id="rId298" Target="https%3A%2F%2Fwww.webofscience.com%2Fwos%2Fwoscc%2Ffull-record%2FWOS%3A001850002300009" TargetMode="External" Type="http://schemas.openxmlformats.org/officeDocument/2006/relationships/hyperlink"/><Relationship Id="rId299" Target="http%3A%2F%2Fdx.doi.org%2F10.1007%2Fs10916-025-02207-x" TargetMode="External" Type="http://schemas.openxmlformats.org/officeDocument/2006/relationships/hyperlink"/><Relationship Id="rId3" Target="http%3A%2F%2Fdx.doi.org%2F10.1002%2Fmus.70280" TargetMode="External" Type="http://schemas.openxmlformats.org/officeDocument/2006/relationships/hyperlink"/><Relationship Id="rId30" Target="https%3A%2F%2Fwww.webofscience.com%2Fwos%2Fwoscc%2Ffull-record%2FWOS%3A001810254100001" TargetMode="External" Type="http://schemas.openxmlformats.org/officeDocument/2006/relationships/hyperlink"/><Relationship Id="rId300" Target="https%3A%2F%2Fwww.webofscience.com%2Fwos%2Fwoscc%2Ffull-record%2FWOS%3A001501706500001" TargetMode="External" Type="http://schemas.openxmlformats.org/officeDocument/2006/relationships/hyperlink"/><Relationship Id="rId301" Target="http%3A%2F%2Fdx.doi.org%2F10.3390%2Fapp15137134" TargetMode="External" Type="http://schemas.openxmlformats.org/officeDocument/2006/relationships/hyperlink"/><Relationship Id="rId302" Target="https%3A%2F%2Fwww.webofscience.com%2Fwos%2Fwoscc%2Ffull-record%2FWOS%3A001526204800001" TargetMode="External" Type="http://schemas.openxmlformats.org/officeDocument/2006/relationships/hyperlink"/><Relationship Id="rId303" Target="http%3A%2F%2Fdx.doi.org%2F10.1145%2F3659604" TargetMode="External" Type="http://schemas.openxmlformats.org/officeDocument/2006/relationships/hyperlink"/><Relationship Id="rId304" Target="https%3A%2F%2Fwww.webofscience.com%2Fwos%2Fwoscc%2Ffull-record%2FWOS%3A001229316000015" TargetMode="External" Type="http://schemas.openxmlformats.org/officeDocument/2006/relationships/hyperlink"/><Relationship Id="rId305" Target="http%3A%2F%2Fdx.doi.org%2F10.1007%2Fs00296-026-06103-6" TargetMode="External" Type="http://schemas.openxmlformats.org/officeDocument/2006/relationships/hyperlink"/><Relationship Id="rId306" Target="https%3A%2F%2Fwww.webofscience.com%2Fwos%2Fwoscc%2Ffull-record%2FWOS%3A001733081600004" TargetMode="External" Type="http://schemas.openxmlformats.org/officeDocument/2006/relationships/hyperlink"/><Relationship Id="rId307" Target="http%3A%2F%2Fdx.doi.org%2F10.1016%2Fj.buildenv.2025.114056" TargetMode="External" Type="http://schemas.openxmlformats.org/officeDocument/2006/relationships/hyperlink"/><Relationship Id="rId308" Target="https%3A%2F%2Fwww.webofscience.com%2Fwos%2Fwoscc%2Ffull-record%2FWOS%3A001635231800001" TargetMode="External" Type="http://schemas.openxmlformats.org/officeDocument/2006/relationships/hyperlink"/><Relationship Id="rId309" Target="http%3A%2F%2Fdx.doi.org%2F10.1097%2FJS9.0000000000004022" TargetMode="External" Type="http://schemas.openxmlformats.org/officeDocument/2006/relationships/hyperlink"/><Relationship Id="rId31" Target="http%3A%2F%2Fdx.doi.org%2F10.1007%2Fs10554-026-03689-7" TargetMode="External" Type="http://schemas.openxmlformats.org/officeDocument/2006/relationships/hyperlink"/><Relationship Id="rId310" Target="https%3A%2F%2Fwww.webofscience.com%2Fwos%2Fwoscc%2Ffull-record%2FWOS%3A001711369700014" TargetMode="External" Type="http://schemas.openxmlformats.org/officeDocument/2006/relationships/hyperlink"/><Relationship Id="rId311" Target="http%3A%2F%2Fdx.doi.org%2F10.3390%2Felectronics15112359" TargetMode="External" Type="http://schemas.openxmlformats.org/officeDocument/2006/relationships/hyperlink"/><Relationship Id="rId312" Target="https%3A%2F%2Fwww.webofscience.com%2Fwos%2Fwoscc%2Ffull-record%2FWOS%3A001789904500001" TargetMode="External" Type="http://schemas.openxmlformats.org/officeDocument/2006/relationships/hyperlink"/><Relationship Id="rId313" Target="http%3A%2F%2Fdx.doi.org%2F10.2196%2F79868" TargetMode="External" Type="http://schemas.openxmlformats.org/officeDocument/2006/relationships/hyperlink"/><Relationship Id="rId314" Target="https%3A%2F%2Fwww.webofscience.com%2Fwos%2Fwoscc%2Ffull-record%2FWOS%3A001643156800001" TargetMode="External" Type="http://schemas.openxmlformats.org/officeDocument/2006/relationships/hyperlink"/><Relationship Id="rId315" Target="http%3A%2F%2Fdx.doi.org%2F10.3390%2Fjcm14217482" TargetMode="External" Type="http://schemas.openxmlformats.org/officeDocument/2006/relationships/hyperlink"/><Relationship Id="rId316" Target="https%3A%2F%2Fwww.webofscience.com%2Fwos%2Fwoscc%2Ffull-record%2FWOS%3A001615174400001" TargetMode="External" Type="http://schemas.openxmlformats.org/officeDocument/2006/relationships/hyperlink"/><Relationship Id="rId317" Target="http%3A%2F%2Fdx.doi.org%2F10.1038%2Fs43856-026-01631-5" TargetMode="External" Type="http://schemas.openxmlformats.org/officeDocument/2006/relationships/hyperlink"/><Relationship Id="rId318" Target="https%3A%2F%2Fwww.webofscience.com%2Fwos%2Fwoscc%2Ffull-record%2FWOS%3A001828683600001" TargetMode="External" Type="http://schemas.openxmlformats.org/officeDocument/2006/relationships/hyperlink"/><Relationship Id="rId319" Target="http%3A%2F%2Fdx.doi.org%2F10.1177%2F20552076261433073" TargetMode="External" Type="http://schemas.openxmlformats.org/officeDocument/2006/relationships/hyperlink"/><Relationship Id="rId32" Target="https%3A%2F%2Fwww.webofscience.com%2Fwos%2Fwoscc%2Ffull-record%2FWOS%3A001720585400001" TargetMode="External" Type="http://schemas.openxmlformats.org/officeDocument/2006/relationships/hyperlink"/><Relationship Id="rId320" Target="https%3A%2F%2Fwww.webofscience.com%2Fwos%2Fwoscc%2Ffull-record%2FWOS%3A001723291700001" TargetMode="External" Type="http://schemas.openxmlformats.org/officeDocument/2006/relationships/hyperlink"/><Relationship Id="rId321" Target="http%3A%2F%2Fdx.doi.org%2F10.1093%2Finfdis%2Fjiag258" TargetMode="External" Type="http://schemas.openxmlformats.org/officeDocument/2006/relationships/hyperlink"/><Relationship Id="rId322" Target="https%3A%2F%2Fwww.webofscience.com%2Fwos%2Fwoscc%2Ffull-record%2FWOS%3A001769776800001" TargetMode="External" Type="http://schemas.openxmlformats.org/officeDocument/2006/relationships/hyperlink"/><Relationship Id="rId323" Target="http%3A%2F%2Fdx.doi.org%2F10.1007%2Fs11548-025-03524-9" TargetMode="External" Type="http://schemas.openxmlformats.org/officeDocument/2006/relationships/hyperlink"/><Relationship Id="rId324" Target="https%3A%2F%2Fwww.webofscience.com%2Fwos%2Fwoscc%2Ffull-record%2FWOS%3A001606171400001" TargetMode="External" Type="http://schemas.openxmlformats.org/officeDocument/2006/relationships/hyperlink"/><Relationship Id="rId325" Target="http%3A%2F%2Fdx.doi.org%2F10.1016%2Fj.jaci.2025.02.004" TargetMode="External" Type="http://schemas.openxmlformats.org/officeDocument/2006/relationships/hyperlink"/><Relationship Id="rId326" Target="https%3A%2F%2Fwww.webofscience.com%2Fwos%2Fwoscc%2Ffull-record%2FWOS%3A001533794300007" TargetMode="External" Type="http://schemas.openxmlformats.org/officeDocument/2006/relationships/hyperlink"/><Relationship Id="rId327" Target="http%3A%2F%2Fdx.doi.org%2F10.2196%2F68182" TargetMode="External" Type="http://schemas.openxmlformats.org/officeDocument/2006/relationships/hyperlink"/><Relationship Id="rId328" Target="https%3A%2F%2Fwww.webofscience.com%2Fwos%2Fwoscc%2Ffull-record%2FWOS%3A001687102700001" TargetMode="External" Type="http://schemas.openxmlformats.org/officeDocument/2006/relationships/hyperlink"/><Relationship Id="rId329" Target="http%3A%2F%2Fdx.doi.org%2F10.1186%2Fs12909-025-08315-z" TargetMode="External" Type="http://schemas.openxmlformats.org/officeDocument/2006/relationships/hyperlink"/><Relationship Id="rId33" Target="http%3A%2F%2Fdx.doi.org%2F10.1111%2Faej.70046" TargetMode="External" Type="http://schemas.openxmlformats.org/officeDocument/2006/relationships/hyperlink"/><Relationship Id="rId330" Target="https%3A%2F%2Fwww.webofscience.com%2Fwos%2Fwoscc%2Ffull-record%2FWOS%3A001651129200012" TargetMode="External" Type="http://schemas.openxmlformats.org/officeDocument/2006/relationships/hyperlink"/><Relationship Id="rId331" Target="http%3A%2F%2Fdx.doi.org%2F10.2196%2F57001" TargetMode="External" Type="http://schemas.openxmlformats.org/officeDocument/2006/relationships/hyperlink"/><Relationship Id="rId332" Target="https%3A%2F%2Fwww.webofscience.com%2Fwos%2Fwoscc%2Ffull-record%2FWOS%3A001239443600003" TargetMode="External" Type="http://schemas.openxmlformats.org/officeDocument/2006/relationships/hyperlink"/><Relationship Id="rId333" Target="http%3A%2F%2Fdx.doi.org%2F10.3390%2Fjcm15124837" TargetMode="External" Type="http://schemas.openxmlformats.org/officeDocument/2006/relationships/hyperlink"/><Relationship Id="rId334" Target="https%3A%2F%2Fwww.webofscience.com%2Fwos%2Fwoscc%2Ffull-record%2FWOS%3A001804060700001" TargetMode="External" Type="http://schemas.openxmlformats.org/officeDocument/2006/relationships/hyperlink"/><Relationship Id="rId335" Target="http%3A%2F%2Fdx.doi.org%2F10.1016%2Fj.identj.2025.109357" TargetMode="External" Type="http://schemas.openxmlformats.org/officeDocument/2006/relationships/hyperlink"/><Relationship Id="rId336" Target="https%3A%2F%2Fwww.webofscience.com%2Fwos%2Fwoscc%2Ffull-record%2FWOS%3A001658687900001" TargetMode="External" Type="http://schemas.openxmlformats.org/officeDocument/2006/relationships/hyperlink"/><Relationship Id="rId337" Target="http%3A%2F%2Fdx.doi.org%2F10.1016%2Fj.jocn.2025.111477" TargetMode="External" Type="http://schemas.openxmlformats.org/officeDocument/2006/relationships/hyperlink"/><Relationship Id="rId338" Target="https%3A%2F%2Fwww.webofscience.com%2Fwos%2Fwoscc%2Ffull-record%2FWOS%3A001536863300001" TargetMode="External" Type="http://schemas.openxmlformats.org/officeDocument/2006/relationships/hyperlink"/><Relationship Id="rId339" Target="http%3A%2F%2Fdx.doi.org%2F10.1177%2F20552076251395449" TargetMode="External" Type="http://schemas.openxmlformats.org/officeDocument/2006/relationships/hyperlink"/><Relationship Id="rId34" Target="https%3A%2F%2Fwww.webofscience.com%2Fwos%2Fwoscc%2Ffull-record%2FWOS%3A001648216000001" TargetMode="External" Type="http://schemas.openxmlformats.org/officeDocument/2006/relationships/hyperlink"/><Relationship Id="rId340" Target="https%3A%2F%2Fwww.webofscience.com%2Fwos%2Fwoscc%2Ffull-record%2FWOS%3A001619215800001" TargetMode="External" Type="http://schemas.openxmlformats.org/officeDocument/2006/relationships/hyperlink"/><Relationship Id="rId341" Target="http%3A%2F%2Fdx.doi.org%2F10.1007%2Fs11096-026-02122-2" TargetMode="External" Type="http://schemas.openxmlformats.org/officeDocument/2006/relationships/hyperlink"/><Relationship Id="rId342" Target="https%3A%2F%2Fwww.webofscience.com%2Fwos%2Fwoscc%2Ffull-record%2FWOS%3A001722992900001" TargetMode="External" Type="http://schemas.openxmlformats.org/officeDocument/2006/relationships/hyperlink"/><Relationship Id="rId343" Target="http%3A%2F%2Fdx.doi.org%2F10.1186%2Fs12911-025-03258-3" TargetMode="External" Type="http://schemas.openxmlformats.org/officeDocument/2006/relationships/hyperlink"/><Relationship Id="rId344" Target="https%3A%2F%2Fwww.webofscience.com%2Fwos%2Fwoscc%2Ffull-record%2FWOS%3A001616344200001" TargetMode="External" Type="http://schemas.openxmlformats.org/officeDocument/2006/relationships/hyperlink"/><Relationship Id="rId345" Target="http%3A%2F%2Fdx.doi.org%2F10.1007%2Fs00261-026-05706-8" TargetMode="External" Type="http://schemas.openxmlformats.org/officeDocument/2006/relationships/hyperlink"/><Relationship Id="rId346" Target="https%3A%2F%2Fwww.webofscience.com%2Fwos%2Fwoscc%2Ffull-record%2FWOS%3A001828578200001" TargetMode="External" Type="http://schemas.openxmlformats.org/officeDocument/2006/relationships/hyperlink"/><Relationship Id="rId347" Target="http%3A%2F%2Fdx.doi.org%2F10.1002%2Fima.70409" TargetMode="External" Type="http://schemas.openxmlformats.org/officeDocument/2006/relationships/hyperlink"/><Relationship Id="rId348" Target="https%3A%2F%2Fwww.webofscience.com%2Fwos%2Fwoscc%2Ffull-record%2FWOS%3A001816530400001" TargetMode="External" Type="http://schemas.openxmlformats.org/officeDocument/2006/relationships/hyperlink"/><Relationship Id="rId349" Target="http%3A%2F%2Fdx.doi.org%2F10.2196%2F69752" TargetMode="External" Type="http://schemas.openxmlformats.org/officeDocument/2006/relationships/hyperlink"/><Relationship Id="rId35" Target="http%3A%2F%2Fdx.doi.org%2F10.1186%2Fs12245-026-01324-9" TargetMode="External" Type="http://schemas.openxmlformats.org/officeDocument/2006/relationships/hyperlink"/><Relationship Id="rId350" Target="https%3A%2F%2Fwww.webofscience.com%2Fwos%2Fwoscc%2Ffull-record%2FWOS%3A001590316200011" TargetMode="External" Type="http://schemas.openxmlformats.org/officeDocument/2006/relationships/hyperlink"/><Relationship Id="rId351" Target="http%3A%2F%2Fdx.doi.org%2F10.1016%2Fj.metrad.2025.100186" TargetMode="External" Type="http://schemas.openxmlformats.org/officeDocument/2006/relationships/hyperlink"/><Relationship Id="rId352" Target="https%3A%2F%2Fwww.webofscience.com%2Fwos%2Fwoscc%2Ffull-record%2FWOS%3A001692611900001" TargetMode="External" Type="http://schemas.openxmlformats.org/officeDocument/2006/relationships/hyperlink"/><Relationship Id="rId353" Target="http%3A%2F%2Fdx.doi.org%2F10.1245%2Fs10434-025-18492-2" TargetMode="External" Type="http://schemas.openxmlformats.org/officeDocument/2006/relationships/hyperlink"/><Relationship Id="rId354" Target="https%3A%2F%2Fwww.webofscience.com%2Fwos%2Fwoscc%2Ffull-record%2FWOS%3A001595116500001" TargetMode="External" Type="http://schemas.openxmlformats.org/officeDocument/2006/relationships/hyperlink"/><Relationship Id="rId355" Target="http%3A%2F%2Fdx.doi.org%2F10.1177%2F20420986261460173" TargetMode="External" Type="http://schemas.openxmlformats.org/officeDocument/2006/relationships/hyperlink"/><Relationship Id="rId356" Target="https%3A%2F%2Fwww.webofscience.com%2Fwos%2Fwoscc%2Ffull-record%2FWOS%3A001804242400001" TargetMode="External" Type="http://schemas.openxmlformats.org/officeDocument/2006/relationships/hyperlink"/><Relationship Id="rId357" Target="http%3A%2F%2Fdx.doi.org%2F10.1186%2Fs12911-026-03415-2" TargetMode="External" Type="http://schemas.openxmlformats.org/officeDocument/2006/relationships/hyperlink"/><Relationship Id="rId358" Target="https%3A%2F%2Fwww.webofscience.com%2Fwos%2Fwoscc%2Ffull-record%2FWOS%3A001735586800001" TargetMode="External" Type="http://schemas.openxmlformats.org/officeDocument/2006/relationships/hyperlink"/><Relationship Id="rId359" Target="http%3A%2F%2Fdx.doi.org%2F10.1007%2Fs12098-025-05884-1" TargetMode="External" Type="http://schemas.openxmlformats.org/officeDocument/2006/relationships/hyperlink"/><Relationship Id="rId36" Target="https%3A%2F%2Fwww.webofscience.com%2Fwos%2Fwoscc%2Ffull-record%2FWOS%3A001837020800001" TargetMode="External" Type="http://schemas.openxmlformats.org/officeDocument/2006/relationships/hyperlink"/><Relationship Id="rId360" Target="https%3A%2F%2Fwww.webofscience.com%2Fwos%2Fwoscc%2Ffull-record%2FWOS%3A001660528900001" TargetMode="External" Type="http://schemas.openxmlformats.org/officeDocument/2006/relationships/hyperlink"/><Relationship Id="rId361" Target="http%3A%2F%2Fdx.doi.org%2F10.3390%2Fgenes16070762" TargetMode="External" Type="http://schemas.openxmlformats.org/officeDocument/2006/relationships/hyperlink"/><Relationship Id="rId362" Target="https%3A%2F%2Fwww.webofscience.com%2Fwos%2Fwoscc%2Ffull-record%2FWOS%3A001535332500001" TargetMode="External" Type="http://schemas.openxmlformats.org/officeDocument/2006/relationships/hyperlink"/><Relationship Id="rId363" Target="http%3A%2F%2Fdx.doi.org%2F10.1213%2FANE.0000000000007864" TargetMode="External" Type="http://schemas.openxmlformats.org/officeDocument/2006/relationships/hyperlink"/><Relationship Id="rId364" Target="https%3A%2F%2Fwww.webofscience.com%2Fwos%2Fwoscc%2Ffull-record%2FWOS%3A001739945900007" TargetMode="External" Type="http://schemas.openxmlformats.org/officeDocument/2006/relationships/hyperlink"/><Relationship Id="rId365" Target="http%3A%2F%2Fdx.doi.org%2F10.1080%2F12460125.2024.2430731" TargetMode="External" Type="http://schemas.openxmlformats.org/officeDocument/2006/relationships/hyperlink"/><Relationship Id="rId366" Target="https%3A%2F%2Fwww.webofscience.com%2Fwos%2Fwoscc%2Ffull-record%2FWOS%3A001377694400001" TargetMode="External" Type="http://schemas.openxmlformats.org/officeDocument/2006/relationships/hyperlink"/><Relationship Id="rId367" Target="http%3A%2F%2Fdx.doi.org%2F10.3389%2Ffmed.2026.1821639" TargetMode="External" Type="http://schemas.openxmlformats.org/officeDocument/2006/relationships/hyperlink"/><Relationship Id="rId368" Target="https%3A%2F%2Fwww.webofscience.com%2Fwos%2Fwoscc%2Ffull-record%2FWOS%3A001768370100001" TargetMode="External" Type="http://schemas.openxmlformats.org/officeDocument/2006/relationships/hyperlink"/><Relationship Id="rId369" Target="http%3A%2F%2Fdx.doi.org%2F10.1186%2Fs12911-026-03555-5" TargetMode="External" Type="http://schemas.openxmlformats.org/officeDocument/2006/relationships/hyperlink"/><Relationship Id="rId37" Target="http%3A%2F%2Fdx.doi.org%2F10.1016%2Fj.ajem.2026.01.029" TargetMode="External" Type="http://schemas.openxmlformats.org/officeDocument/2006/relationships/hyperlink"/><Relationship Id="rId370" Target="https%3A%2F%2Fwww.webofscience.com%2Fwos%2Fwoscc%2Ffull-record%2FWOS%3A001810128400001" TargetMode="External" Type="http://schemas.openxmlformats.org/officeDocument/2006/relationships/hyperlink"/><Relationship Id="rId371" Target="http%3A%2F%2Fdx.doi.org%2F10.1002%2Fjmri.70140" TargetMode="External" Type="http://schemas.openxmlformats.org/officeDocument/2006/relationships/hyperlink"/><Relationship Id="rId372" Target="https%3A%2F%2Fwww.webofscience.com%2Fwos%2Fwoscc%2Ffull-record%2FWOS%3A001587448700001" TargetMode="External" Type="http://schemas.openxmlformats.org/officeDocument/2006/relationships/hyperlink"/><Relationship Id="rId373" Target="http%3A%2F%2Fdx.doi.org%2F10.1080%2F0144929X.2026.2662400" TargetMode="External" Type="http://schemas.openxmlformats.org/officeDocument/2006/relationships/hyperlink"/><Relationship Id="rId374" Target="https%3A%2F%2Fwww.webofscience.com%2Fwos%2Fwoscc%2Ffull-record%2FWOS%3A001747275800001" TargetMode="External" Type="http://schemas.openxmlformats.org/officeDocument/2006/relationships/hyperlink"/><Relationship Id="rId375" Target="http%3A%2F%2Fdx.doi.org%2F10.3390%2Fhealthcare13121394" TargetMode="External" Type="http://schemas.openxmlformats.org/officeDocument/2006/relationships/hyperlink"/><Relationship Id="rId376" Target="https%3A%2F%2Fwww.webofscience.com%2Fwos%2Fwoscc%2Ffull-record%2FWOS%3A001514837500001" TargetMode="External" Type="http://schemas.openxmlformats.org/officeDocument/2006/relationships/hyperlink"/><Relationship Id="rId377" Target="http%3A%2F%2Fdx.doi.org%2F10.1186%2Fs13012-024-01357-9" TargetMode="External" Type="http://schemas.openxmlformats.org/officeDocument/2006/relationships/hyperlink"/><Relationship Id="rId378" Target="https%3A%2F%2Fwww.webofscience.com%2Fwos%2Fwoscc%2Ffull-record%2FWOS%3A001185562300001" TargetMode="External" Type="http://schemas.openxmlformats.org/officeDocument/2006/relationships/hyperlink"/><Relationship Id="rId379" Target="http%3A%2F%2Fdx.doi.org%2F10.1093%2Fbib%2Fbbae640" TargetMode="External" Type="http://schemas.openxmlformats.org/officeDocument/2006/relationships/hyperlink"/><Relationship Id="rId38" Target="https%3A%2F%2Fwww.webofscience.com%2Fwos%2Fwoscc%2Ffull-record%2FWOS%3A001677327600001" TargetMode="External" Type="http://schemas.openxmlformats.org/officeDocument/2006/relationships/hyperlink"/><Relationship Id="rId380" Target="https%3A%2F%2Fwww.webofscience.com%2Fwos%2Fwoscc%2Ffull-record%2FWOS%3A001373520000001" TargetMode="External" Type="http://schemas.openxmlformats.org/officeDocument/2006/relationships/hyperlink"/><Relationship Id="rId381" Target="http%3A%2F%2Fdx.doi.org%2F10.1186%2Fs10195-023-00740-4" TargetMode="External" Type="http://schemas.openxmlformats.org/officeDocument/2006/relationships/hyperlink"/><Relationship Id="rId382" Target="https%3A%2F%2Fwww.webofscience.com%2Fwos%2Fwoscc%2Ffull-record%2FWOS%3A001110492100001" TargetMode="External" Type="http://schemas.openxmlformats.org/officeDocument/2006/relationships/hyperlink"/><Relationship Id="rId383" Target="http%3A%2F%2Fdx.doi.org%2F10.1177%2F02683555261467340" TargetMode="External" Type="http://schemas.openxmlformats.org/officeDocument/2006/relationships/hyperlink"/><Relationship Id="rId384" Target="https%3A%2F%2Fwww.webofscience.com%2Fwos%2Fwoscc%2Ffull-record%2FWOS%3A001809176000001" TargetMode="External" Type="http://schemas.openxmlformats.org/officeDocument/2006/relationships/hyperlink"/><Relationship Id="rId385" Target="http%3A%2F%2Fdx.doi.org%2F10.1016%2Fj.apjo.2024.100090" TargetMode="External" Type="http://schemas.openxmlformats.org/officeDocument/2006/relationships/hyperlink"/><Relationship Id="rId386" Target="https%3A%2F%2Fwww.webofscience.com%2Fwos%2Fwoscc%2Ffull-record%2FWOS%3A001309018400001" TargetMode="External" Type="http://schemas.openxmlformats.org/officeDocument/2006/relationships/hyperlink"/><Relationship Id="rId387" Target="http%3A%2F%2Fdx.doi.org%2F10.1148%2Fryct.240272" TargetMode="External" Type="http://schemas.openxmlformats.org/officeDocument/2006/relationships/hyperlink"/><Relationship Id="rId388" Target="https%3A%2F%2Fwww.webofscience.com%2Fwos%2Fwoscc%2Ffull-record%2FWOS%3A001491236600005" TargetMode="External" Type="http://schemas.openxmlformats.org/officeDocument/2006/relationships/hyperlink"/><Relationship Id="rId389" Target="http%3A%2F%2Fdx.doi.org%2F10.1007%2Fs00266-026-05895-z" TargetMode="External" Type="http://schemas.openxmlformats.org/officeDocument/2006/relationships/hyperlink"/><Relationship Id="rId39" Target="http%3A%2F%2Fdx.doi.org%2F10.1038%2Fs41746-026-02509-5" TargetMode="External" Type="http://schemas.openxmlformats.org/officeDocument/2006/relationships/hyperlink"/><Relationship Id="rId390" Target="https%3A%2F%2Fwww.webofscience.com%2Fwos%2Fwoscc%2Ffull-record%2FWOS%3A001772996300001" TargetMode="External" Type="http://schemas.openxmlformats.org/officeDocument/2006/relationships/hyperlink"/><Relationship Id="rId391" Target="http%3A%2F%2Fdx.doi.org%2F10.1177%2F21501319251326663" TargetMode="External" Type="http://schemas.openxmlformats.org/officeDocument/2006/relationships/hyperlink"/><Relationship Id="rId392" Target="https%3A%2F%2Fwww.webofscience.com%2Fwos%2Fwoscc%2Ffull-record%2FWOS%3A001451567000001" TargetMode="External" Type="http://schemas.openxmlformats.org/officeDocument/2006/relationships/hyperlink"/><Relationship Id="rId393" Target="http%3A%2F%2Fdx.doi.org%2F10.1007%2Fs00405-026-10040-2" TargetMode="External" Type="http://schemas.openxmlformats.org/officeDocument/2006/relationships/hyperlink"/><Relationship Id="rId394" Target="https%3A%2F%2Fwww.webofscience.com%2Fwos%2Fwoscc%2Ffull-record%2FWOS%3A001716304200001" TargetMode="External" Type="http://schemas.openxmlformats.org/officeDocument/2006/relationships/hyperlink"/><Relationship Id="rId395" Target="http%3A%2F%2Fdx.doi.org%2F10.1109%2FTASE.2024.3425949" TargetMode="External" Type="http://schemas.openxmlformats.org/officeDocument/2006/relationships/hyperlink"/><Relationship Id="rId396" Target="https%3A%2F%2Fwww.webofscience.com%2Fwos%2Fwoscc%2Ffull-record%2FWOS%3A001273067400001" TargetMode="External" Type="http://schemas.openxmlformats.org/officeDocument/2006/relationships/hyperlink"/><Relationship Id="rId397" Target="http%3A%2F%2Fdx.doi.org%2F10.3390%2Fhealthcare14081098" TargetMode="External" Type="http://schemas.openxmlformats.org/officeDocument/2006/relationships/hyperlink"/><Relationship Id="rId398" Target="https%3A%2F%2Fwww.webofscience.com%2Fwos%2Fwoscc%2Ffull-record%2FWOS%3A001751021900001" TargetMode="External" Type="http://schemas.openxmlformats.org/officeDocument/2006/relationships/hyperlink"/><Relationship Id="rId399" Target="http%3A%2F%2Fdx.doi.org%2F10.1016%2Fj.msard.2024.105791" TargetMode="External" Type="http://schemas.openxmlformats.org/officeDocument/2006/relationships/hyperlink"/><Relationship Id="rId4" Target="https%3A%2F%2Fwww.webofscience.com%2Fwos%2Fwoscc%2Ffull-record%2FWOS%3A001781860400001" TargetMode="External" Type="http://schemas.openxmlformats.org/officeDocument/2006/relationships/hyperlink"/><Relationship Id="rId40" Target="https%3A%2F%2Fwww.webofscience.com%2Fwos%2Fwoscc%2Ffull-record%2FWOS%3A001812890000001" TargetMode="External" Type="http://schemas.openxmlformats.org/officeDocument/2006/relationships/hyperlink"/><Relationship Id="rId400" Target="https%3A%2F%2Fwww.webofscience.com%2Fwos%2Fwoscc%2Ffull-record%2FWOS%3A001298615300001" TargetMode="External" Type="http://schemas.openxmlformats.org/officeDocument/2006/relationships/hyperlink"/><Relationship Id="rId401" Target="http%3A%2F%2Fdx.doi.org%2F10.1002%2Fueg2.70249" TargetMode="External" Type="http://schemas.openxmlformats.org/officeDocument/2006/relationships/hyperlink"/><Relationship Id="rId402" Target="https%3A%2F%2Fwww.webofscience.com%2Fwos%2Fwoscc%2Ffull-record%2FWOS%3A001799596700001" TargetMode="External" Type="http://schemas.openxmlformats.org/officeDocument/2006/relationships/hyperlink"/><Relationship Id="rId403" Target="http%3A%2F%2Fdx.doi.org%2F10.3389%2Ffpubh.2026.1801829" TargetMode="External" Type="http://schemas.openxmlformats.org/officeDocument/2006/relationships/hyperlink"/><Relationship Id="rId404" Target="https%3A%2F%2Fwww.webofscience.com%2Fwos%2Fwoscc%2Ffull-record%2FWOS%3A001718482800001" TargetMode="External" Type="http://schemas.openxmlformats.org/officeDocument/2006/relationships/hyperlink"/><Relationship Id="rId405" Target="http%3A%2F%2Fdx.doi.org%2F10.1093%2Fpostmj%2Fqgag068" TargetMode="External" Type="http://schemas.openxmlformats.org/officeDocument/2006/relationships/hyperlink"/><Relationship Id="rId406" Target="https%3A%2F%2Fwww.webofscience.com%2Fwos%2Fwoscc%2Ffull-record%2FWOS%3A001779804700001" TargetMode="External" Type="http://schemas.openxmlformats.org/officeDocument/2006/relationships/hyperlink"/><Relationship Id="rId407" Target="http%3A%2F%2Fdx.doi.org%2F10.1007%2Fs00586-025-09052-z" TargetMode="External" Type="http://schemas.openxmlformats.org/officeDocument/2006/relationships/hyperlink"/><Relationship Id="rId408" Target="https%3A%2F%2Fwww.webofscience.com%2Fwos%2Fwoscc%2Ffull-record%2FWOS%3A001516521200001" TargetMode="External" Type="http://schemas.openxmlformats.org/officeDocument/2006/relationships/hyperlink"/><Relationship Id="rId409" Target="http%3A%2F%2Fdx.doi.org%2F10.4103%2Fjioh.jioh_233_25" TargetMode="External" Type="http://schemas.openxmlformats.org/officeDocument/2006/relationships/hyperlink"/><Relationship Id="rId41" Target="http%3A%2F%2Fdx.doi.org%2F10.1109%2FJBHI.2025.3569361" TargetMode="External" Type="http://schemas.openxmlformats.org/officeDocument/2006/relationships/hyperlink"/><Relationship Id="rId410" Target="https%3A%2F%2Fwww.webofscience.com%2Fwos%2Fwoscc%2Ffull-record%2FWOS%3A001701523200003" TargetMode="External" Type="http://schemas.openxmlformats.org/officeDocument/2006/relationships/hyperlink"/><Relationship Id="rId411" Target="http%3A%2F%2Fdx.doi.org%2F10.1111%2Fjan.16101" TargetMode="External" Type="http://schemas.openxmlformats.org/officeDocument/2006/relationships/hyperlink"/><Relationship Id="rId412" Target="https%3A%2F%2Fwww.webofscience.com%2Fwos%2Fwoscc%2Ffull-record%2FWOS%3A001163673100001" TargetMode="External" Type="http://schemas.openxmlformats.org/officeDocument/2006/relationships/hyperlink"/><Relationship Id="rId413" Target="http%3A%2F%2Fdx.doi.org%2F10.2196%2F93720" TargetMode="External" Type="http://schemas.openxmlformats.org/officeDocument/2006/relationships/hyperlink"/><Relationship Id="rId414" Target="https%3A%2F%2Fwww.webofscience.com%2Fwos%2Fwoscc%2Ffull-record%2FWOS%3A001853583100001" TargetMode="External" Type="http://schemas.openxmlformats.org/officeDocument/2006/relationships/hyperlink"/><Relationship Id="rId42" Target="https%3A%2F%2Fwww.webofscience.com%2Fwos%2Fwoscc%2Ffull-record%2FWOS%3A001570204100015" TargetMode="External" Type="http://schemas.openxmlformats.org/officeDocument/2006/relationships/hyperlink"/><Relationship Id="rId43" Target="http%3A%2F%2Fdx.doi.org%2F10.3389%2Ffdgth.2025.1624786" TargetMode="External" Type="http://schemas.openxmlformats.org/officeDocument/2006/relationships/hyperlink"/><Relationship Id="rId44" Target="https%3A%2F%2Fwww.webofscience.com%2Fwos%2Fwoscc%2Ffull-record%2FWOS%3A001528955900001" TargetMode="External" Type="http://schemas.openxmlformats.org/officeDocument/2006/relationships/hyperlink"/><Relationship Id="rId45" Target="http%3A%2F%2Fdx.doi.org%2F10.1007%2Fs00330-025-11924-3" TargetMode="External" Type="http://schemas.openxmlformats.org/officeDocument/2006/relationships/hyperlink"/><Relationship Id="rId46" Target="https%3A%2F%2Fwww.webofscience.com%2Fwos%2Fwoscc%2Ffull-record%2FWOS%3A001555501100001" TargetMode="External" Type="http://schemas.openxmlformats.org/officeDocument/2006/relationships/hyperlink"/><Relationship Id="rId47" Target="http%3A%2F%2Fdx.doi.org%2F10.1038%2Fs41746-024-01356-6" TargetMode="External" Type="http://schemas.openxmlformats.org/officeDocument/2006/relationships/hyperlink"/><Relationship Id="rId48" Target="https%3A%2F%2Fwww.webofscience.com%2Fwos%2Fwoscc%2Ffull-record%2FWOS%3A001376043900001" TargetMode="External" Type="http://schemas.openxmlformats.org/officeDocument/2006/relationships/hyperlink"/><Relationship Id="rId49" Target="http%3A%2F%2Fdx.doi.org%2F10.1001%2Fjamanetworkopen.2025.12994" TargetMode="External" Type="http://schemas.openxmlformats.org/officeDocument/2006/relationships/hyperlink"/><Relationship Id="rId5" Target="http%3A%2F%2Fdx.doi.org%2F10.3390%2Fdiagnostics15212808" TargetMode="External" Type="http://schemas.openxmlformats.org/officeDocument/2006/relationships/hyperlink"/><Relationship Id="rId50" Target="https%3A%2F%2Fwww.webofscience.com%2Fwos%2Fwoscc%2Ffull-record%2FWOS%3A001499415200009" TargetMode="External" Type="http://schemas.openxmlformats.org/officeDocument/2006/relationships/hyperlink"/><Relationship Id="rId51" Target="http%3A%2F%2Fdx.doi.org%2F10.1002%2Fped4.70053" TargetMode="External" Type="http://schemas.openxmlformats.org/officeDocument/2006/relationships/hyperlink"/><Relationship Id="rId52" Target="https%3A%2F%2Fwww.webofscience.com%2Fwos%2Fwoscc%2Ffull-record%2FWOS%3A001722883100001" TargetMode="External" Type="http://schemas.openxmlformats.org/officeDocument/2006/relationships/hyperlink"/><Relationship Id="rId53" Target="http%3A%2F%2Fdx.doi.org%2F10.1038%2Fs41467-026-71928-5" TargetMode="External" Type="http://schemas.openxmlformats.org/officeDocument/2006/relationships/hyperlink"/><Relationship Id="rId54" Target="https%3A%2F%2Fwww.webofscience.com%2Fwos%2Fwoscc%2Ffull-record%2FWOS%3A001808838900026" TargetMode="External" Type="http://schemas.openxmlformats.org/officeDocument/2006/relationships/hyperlink"/><Relationship Id="rId55" Target="http%3A%2F%2Fdx.doi.org%2F10.1038%2Fs41598-025-88948-8" TargetMode="External" Type="http://schemas.openxmlformats.org/officeDocument/2006/relationships/hyperlink"/><Relationship Id="rId56" Target="https%3A%2F%2Fwww.webofscience.com%2Fwos%2Fwoscc%2Ffull-record%2FWOS%3A001418722300017" TargetMode="External" Type="http://schemas.openxmlformats.org/officeDocument/2006/relationships/hyperlink"/><Relationship Id="rId57" Target="http%3A%2F%2Fdx.doi.org%2F10.3389%2Ffmed.2026.1864498" TargetMode="External" Type="http://schemas.openxmlformats.org/officeDocument/2006/relationships/hyperlink"/><Relationship Id="rId58" Target="https%3A%2F%2Fwww.webofscience.com%2Fwos%2Fwoscc%2Ffull-record%2FWOS%3A001850000500001" TargetMode="External" Type="http://schemas.openxmlformats.org/officeDocument/2006/relationships/hyperlink"/><Relationship Id="rId59" Target="http%3A%2F%2Fdx.doi.org%2F10.1038%2Fs41746-026-02733-z" TargetMode="External" Type="http://schemas.openxmlformats.org/officeDocument/2006/relationships/hyperlink"/><Relationship Id="rId6" Target="https%3A%2F%2Fwww.webofscience.com%2Fwos%2Fwoscc%2Ffull-record%2FWOS%3A001615360000001" TargetMode="External" Type="http://schemas.openxmlformats.org/officeDocument/2006/relationships/hyperlink"/><Relationship Id="rId60" Target="https%3A%2F%2Fwww.webofscience.com%2Fwos%2Fwoscc%2Ffull-record%2FWOS%3A001842964100001" TargetMode="External" Type="http://schemas.openxmlformats.org/officeDocument/2006/relationships/hyperlink"/><Relationship Id="rId61" Target="http%3A%2F%2Fdx.doi.org%2F10.1038%2Fs41467-026-70274-w" TargetMode="External" Type="http://schemas.openxmlformats.org/officeDocument/2006/relationships/hyperlink"/><Relationship Id="rId62" Target="https%3A%2F%2Fwww.webofscience.com%2Fwos%2Fwoscc%2Ffull-record%2FWOS%3A001768283400016" TargetMode="External" Type="http://schemas.openxmlformats.org/officeDocument/2006/relationships/hyperlink"/><Relationship Id="rId63" Target="http%3A%2F%2Fdx.doi.org%2F10.1038%2Fs41746-025-01684-1" TargetMode="External" Type="http://schemas.openxmlformats.org/officeDocument/2006/relationships/hyperlink"/><Relationship Id="rId64" Target="https%3A%2F%2Fwww.webofscience.com%2Fwos%2Fwoscc%2Ffull-record%2FWOS%3A001485848400003" TargetMode="External" Type="http://schemas.openxmlformats.org/officeDocument/2006/relationships/hyperlink"/><Relationship Id="rId65" Target="http%3A%2F%2Fdx.doi.org%2F10.3389%2Ffrai.2024.1379297" TargetMode="External" Type="http://schemas.openxmlformats.org/officeDocument/2006/relationships/hyperlink"/><Relationship Id="rId66" Target="https%3A%2F%2Fwww.webofscience.com%2Fwos%2Fwoscc%2Ffull-record%2FWOS%3A001292883600001" TargetMode="External" Type="http://schemas.openxmlformats.org/officeDocument/2006/relationships/hyperlink"/><Relationship Id="rId67" Target="http%3A%2F%2Fdx.doi.org%2F10.4274%2Feajem.galenos.2025.60320" TargetMode="External" Type="http://schemas.openxmlformats.org/officeDocument/2006/relationships/hyperlink"/><Relationship Id="rId68" Target="https%3A%2F%2Fwww.webofscience.com%2Fwos%2Fwoscc%2Ffull-record%2FWOS%3A001569268200001" TargetMode="External" Type="http://schemas.openxmlformats.org/officeDocument/2006/relationships/hyperlink"/><Relationship Id="rId69" Target="http%3A%2F%2Fdx.doi.org%2F10.1016%2Fj.eswa.2025.127833" TargetMode="External" Type="http://schemas.openxmlformats.org/officeDocument/2006/relationships/hyperlink"/><Relationship Id="rId7" Target="http%3A%2F%2Fdx.doi.org%2F10.2196%2F92931" TargetMode="External" Type="http://schemas.openxmlformats.org/officeDocument/2006/relationships/hyperlink"/><Relationship Id="rId70" Target="https%3A%2F%2Fwww.webofscience.com%2Fwos%2Fwoscc%2Ffull-record%2FWOS%3A001501990500003" TargetMode="External" Type="http://schemas.openxmlformats.org/officeDocument/2006/relationships/hyperlink"/><Relationship Id="rId71" Target="http%3A%2F%2Fdx.doi.org%2F10.2196%2F76326" TargetMode="External" Type="http://schemas.openxmlformats.org/officeDocument/2006/relationships/hyperlink"/><Relationship Id="rId72" Target="https%3A%2F%2Fwww.webofscience.com%2Fwos%2Fwoscc%2Ffull-record%2FWOS%3A001634505900001" TargetMode="External" Type="http://schemas.openxmlformats.org/officeDocument/2006/relationships/hyperlink"/><Relationship Id="rId73" Target="http%3A%2F%2Fdx.doi.org%2F10.1016%2Fj.mcpdig.2025.100230" TargetMode="External" Type="http://schemas.openxmlformats.org/officeDocument/2006/relationships/hyperlink"/><Relationship Id="rId74" Target="https%3A%2F%2Fwww.webofscience.com%2Fwos%2Fwoscc%2Ffull-record%2FWOS%3A001545378000001" TargetMode="External" Type="http://schemas.openxmlformats.org/officeDocument/2006/relationships/hyperlink"/><Relationship Id="rId75" Target="http%3A%2F%2Fdx.doi.org%2F10.1038%2Fs41598-024-65645-6" TargetMode="External" Type="http://schemas.openxmlformats.org/officeDocument/2006/relationships/hyperlink"/><Relationship Id="rId76" Target="https%3A%2F%2Fwww.webofscience.com%2Fwos%2Fwoscc%2Ffull-record%2FWOS%3A001272466300035" TargetMode="External" Type="http://schemas.openxmlformats.org/officeDocument/2006/relationships/hyperlink"/><Relationship Id="rId77" Target="http%3A%2F%2Fdx.doi.org%2F10.1016%2Fj.jbi.2025.104885" TargetMode="External" Type="http://schemas.openxmlformats.org/officeDocument/2006/relationships/hyperlink"/><Relationship Id="rId78" Target="https%3A%2F%2Fwww.webofscience.com%2Fwos%2Fwoscc%2Ffull-record%2FWOS%3A001541577200001" TargetMode="External" Type="http://schemas.openxmlformats.org/officeDocument/2006/relationships/hyperlink"/><Relationship Id="rId79" Target="http%3A%2F%2Fdx.doi.org%2F10.3389%2Ffmed.2025.1583514" TargetMode="External" Type="http://schemas.openxmlformats.org/officeDocument/2006/relationships/hyperlink"/><Relationship Id="rId8" Target="https%3A%2F%2Fwww.webofscience.com%2Fwos%2Fwoscc%2Ffull-record%2FWOS%3A001837234800004" TargetMode="External" Type="http://schemas.openxmlformats.org/officeDocument/2006/relationships/hyperlink"/><Relationship Id="rId80" Target="https%3A%2F%2Fwww.webofscience.com%2Fwos%2Fwoscc%2Ffull-record%2FWOS%3A001503726400001" TargetMode="External" Type="http://schemas.openxmlformats.org/officeDocument/2006/relationships/hyperlink"/><Relationship Id="rId81" Target="http%3A%2F%2Fdx.doi.org%2F10.1007%2Fs00330-025-12065-3" TargetMode="External" Type="http://schemas.openxmlformats.org/officeDocument/2006/relationships/hyperlink"/><Relationship Id="rId82" Target="https%3A%2F%2Fwww.webofscience.com%2Fwos%2Fwoscc%2Ffull-record%2FWOS%3A001598957300001" TargetMode="External" Type="http://schemas.openxmlformats.org/officeDocument/2006/relationships/hyperlink"/><Relationship Id="rId83" Target="http%3A%2F%2Fdx.doi.org%2F10.17245%2Fjdapm.2026.26.2.155" TargetMode="External" Type="http://schemas.openxmlformats.org/officeDocument/2006/relationships/hyperlink"/><Relationship Id="rId84" Target="https%3A%2F%2Fwww.webofscience.com%2Fwos%2Fwoscc%2Ffull-record%2FWOS%3A001779035500006" TargetMode="External" Type="http://schemas.openxmlformats.org/officeDocument/2006/relationships/hyperlink"/><Relationship Id="rId85" Target="http%3A%2F%2Fdx.doi.org%2F10.2147%2FIDR.S593763" TargetMode="External" Type="http://schemas.openxmlformats.org/officeDocument/2006/relationships/hyperlink"/><Relationship Id="rId86" Target="https%3A%2F%2Fwww.webofscience.com%2Fwos%2Fwoscc%2Ffull-record%2FWOS%3A001793831700001" TargetMode="External" Type="http://schemas.openxmlformats.org/officeDocument/2006/relationships/hyperlink"/><Relationship Id="rId87" Target="http%3A%2F%2Fdx.doi.org%2F10.3390%2Fs25123822" TargetMode="External" Type="http://schemas.openxmlformats.org/officeDocument/2006/relationships/hyperlink"/><Relationship Id="rId88" Target="https%3A%2F%2Fwww.webofscience.com%2Fwos%2Fwoscc%2Ffull-record%2FWOS%3A001516375600001" TargetMode="External" Type="http://schemas.openxmlformats.org/officeDocument/2006/relationships/hyperlink"/><Relationship Id="rId89" Target="http%3A%2F%2Fdx.doi.org%2F10.1002%2Fnau.70160" TargetMode="External" Type="http://schemas.openxmlformats.org/officeDocument/2006/relationships/hyperlink"/><Relationship Id="rId9" Target="http%3A%2F%2Fdx.doi.org%2F10.1177%2F08850666251368270" TargetMode="External" Type="http://schemas.openxmlformats.org/officeDocument/2006/relationships/hyperlink"/><Relationship Id="rId90" Target="https%3A%2F%2Fwww.webofscience.com%2Fwos%2Fwoscc%2Ffull-record%2FWOS%3A001594143800001" TargetMode="External" Type="http://schemas.openxmlformats.org/officeDocument/2006/relationships/hyperlink"/><Relationship Id="rId91" Target="http%3A%2F%2Fdx.doi.org%2F10.1038%2Fs41746-025-01486-5" TargetMode="External" Type="http://schemas.openxmlformats.org/officeDocument/2006/relationships/hyperlink"/><Relationship Id="rId92" Target="https%3A%2F%2Fwww.webofscience.com%2Fwos%2Fwoscc%2Ffull-record%2FWOS%3A001415277900002" TargetMode="External" Type="http://schemas.openxmlformats.org/officeDocument/2006/relationships/hyperlink"/><Relationship Id="rId93" Target="http%3A%2F%2Fdx.doi.org%2F10.4274%2FThoracResPract.2025.2025-6-3" TargetMode="External" Type="http://schemas.openxmlformats.org/officeDocument/2006/relationships/hyperlink"/><Relationship Id="rId94" Target="https%3A%2F%2Fwww.webofscience.com%2Fwos%2Fwoscc%2Ffull-record%2FWOS%3A001682846800001" TargetMode="External" Type="http://schemas.openxmlformats.org/officeDocument/2006/relationships/hyperlink"/><Relationship Id="rId95" Target="http%3A%2F%2Fdx.doi.org%2F10.1038%2Fs41746-026-02645-y" TargetMode="External" Type="http://schemas.openxmlformats.org/officeDocument/2006/relationships/hyperlink"/><Relationship Id="rId96" Target="https%3A%2F%2Fwww.webofscience.com%2Fwos%2Fwoscc%2Ffull-record%2FWOS%3A001814708500001" TargetMode="External" Type="http://schemas.openxmlformats.org/officeDocument/2006/relationships/hyperlink"/><Relationship Id="rId97" Target="http%3A%2F%2Fdx.doi.org%2F10.1186%2Fs13054-025-05468-7" TargetMode="External" Type="http://schemas.openxmlformats.org/officeDocument/2006/relationships/hyperlink"/><Relationship Id="rId98" Target="https%3A%2F%2Fwww.webofscience.com%2Fwos%2Fwoscc%2Ffull-record%2FWOS%3A001504272000001" TargetMode="External" Type="http://schemas.openxmlformats.org/officeDocument/2006/relationships/hyperlink"/><Relationship Id="rId99" Target="http%3A%2F%2Fdx.doi.org%2F10.4330%2Fwjc.v17.i8.11048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209"/>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78</v>
      </c>
      <c r="D2" t="s" s="0">
        <v>77</v>
      </c>
      <c r="E2" t="s" s="0">
        <v>79</v>
      </c>
      <c r="F2" t="s" s="0">
        <v>80</v>
      </c>
      <c r="G2" t="s" s="0">
        <v>81</v>
      </c>
      <c r="H2" t="s" s="0">
        <v>82</v>
      </c>
      <c r="I2" t="s" s="0">
        <v>83</v>
      </c>
      <c r="J2" t="s" s="0">
        <v>84</v>
      </c>
      <c r="K2" t="s" s="0">
        <v>85</v>
      </c>
      <c r="L2" t="s" s="0">
        <v>82</v>
      </c>
      <c r="M2" t="s" s="0">
        <v>82</v>
      </c>
      <c r="N2" t="s" s="0">
        <v>82</v>
      </c>
      <c r="O2" t="s" s="0">
        <v>86</v>
      </c>
      <c r="P2" t="s" s="0">
        <v>87</v>
      </c>
      <c r="Q2" t="s" s="0">
        <v>88</v>
      </c>
      <c r="R2" t="s" s="0">
        <v>82</v>
      </c>
      <c r="S2" t="s" s="0">
        <v>82</v>
      </c>
      <c r="T2" t="s" s="0">
        <v>82</v>
      </c>
      <c r="U2" t="s" s="0">
        <v>82</v>
      </c>
      <c r="V2" t="s" s="0">
        <v>89</v>
      </c>
      <c r="W2" t="s" s="0">
        <v>90</v>
      </c>
      <c r="X2" t="s" s="0">
        <v>82</v>
      </c>
      <c r="Y2" t="s" s="0">
        <v>82</v>
      </c>
      <c r="Z2" t="s" s="0">
        <v>91</v>
      </c>
      <c r="AA2" t="s" s="0">
        <v>92</v>
      </c>
      <c r="AB2" t="s" s="0">
        <v>82</v>
      </c>
      <c r="AC2" t="s" s="0">
        <v>82</v>
      </c>
      <c r="AD2" t="s" s="0">
        <v>82</v>
      </c>
      <c r="AE2" t="s" s="0">
        <v>82</v>
      </c>
      <c r="AF2" t="s" s="0">
        <v>82</v>
      </c>
      <c r="AG2" t="s" s="0">
        <v>93</v>
      </c>
      <c r="AH2" t="s" s="0">
        <v>94</v>
      </c>
      <c r="AI2" t="s" s="0">
        <v>95</v>
      </c>
      <c r="AJ2" t="s" s="0">
        <v>96</v>
      </c>
      <c r="AK2" t="s" s="0">
        <v>82</v>
      </c>
      <c r="AL2" t="s" s="0">
        <v>97</v>
      </c>
      <c r="AM2" t="s" s="0">
        <v>98</v>
      </c>
      <c r="AN2" t="s" s="0">
        <v>98</v>
      </c>
      <c r="AO2" t="s" s="0">
        <v>78</v>
      </c>
      <c r="AP2" t="s" s="0">
        <v>98</v>
      </c>
      <c r="AQ2" t="s" s="0">
        <v>99</v>
      </c>
      <c r="AR2" t="s" s="0">
        <v>100</v>
      </c>
      <c r="AS2" t="s" s="0">
        <v>101</v>
      </c>
      <c r="AT2" t="s" s="0">
        <v>102</v>
      </c>
      <c r="AU2" t="s" s="0">
        <v>103</v>
      </c>
      <c r="AV2" t="s" s="0">
        <v>82</v>
      </c>
      <c r="AW2" t="s" s="0">
        <v>104</v>
      </c>
      <c r="AX2" t="s" s="0">
        <v>105</v>
      </c>
      <c r="AY2" t="s" s="0">
        <v>106</v>
      </c>
      <c r="AZ2" t="s" s="0">
        <v>107</v>
      </c>
      <c r="BA2" t="s" s="0">
        <v>108</v>
      </c>
      <c r="BB2" t="s" s="0">
        <v>82</v>
      </c>
      <c r="BC2" t="s" s="0">
        <v>82</v>
      </c>
      <c r="BD2" t="s" s="0">
        <v>82</v>
      </c>
      <c r="BE2" t="s" s="0">
        <v>82</v>
      </c>
      <c r="BF2" t="s" s="0">
        <v>82</v>
      </c>
      <c r="BG2" t="s" s="0">
        <v>82</v>
      </c>
      <c r="BH2" t="s" s="0">
        <v>82</v>
      </c>
      <c r="BI2" t="s" s="0">
        <v>109</v>
      </c>
      <c r="BJ2" t="s" s="0">
        <v>110</v>
      </c>
      <c r="BK2" t="s" s="1">
        <f>HYPERLINK("http://dx.doi.org/10.1016/j.sleep.2025.106677","http://dx.doi.org/10.1016/j.sleep.2025.106677")</f>
        <v>111</v>
      </c>
      <c r="BL2" t="s" s="0">
        <v>82</v>
      </c>
      <c r="BM2" t="s" s="0">
        <v>112</v>
      </c>
      <c r="BN2" t="s" s="0">
        <v>98</v>
      </c>
      <c r="BO2" t="s" s="0">
        <v>113</v>
      </c>
      <c r="BP2" t="s" s="0">
        <v>114</v>
      </c>
      <c r="BQ2" t="s" s="0">
        <v>115</v>
      </c>
      <c r="BR2" t="s" s="0">
        <v>116</v>
      </c>
      <c r="BS2" t="s" s="0">
        <v>117</v>
      </c>
      <c r="BT2" t="s" s="2">
        <f>HYPERLINK("https://www.webofscience.com/wos/woscc/full-record/WOS:001556345500002","View Record in Web of Science")</f>
        <v>118</v>
      </c>
      <c r="BU2" t="s" s="0">
        <v>82</v>
      </c>
      <c r="BV2" t="s" s="0">
        <v>82</v>
      </c>
      <c r="BW2" t="s" s="0">
        <v>82</v>
      </c>
      <c r="BX2" t="s" s="0">
        <v>119</v>
      </c>
    </row>
    <row r="3">
      <c r="A3" t="s" s="0">
        <v>77</v>
      </c>
      <c r="B3" t="s" s="0">
        <v>77</v>
      </c>
      <c r="C3" t="s" s="0">
        <v>77</v>
      </c>
      <c r="D3" t="s" s="0">
        <v>77</v>
      </c>
      <c r="E3" t="s" s="0">
        <v>120</v>
      </c>
      <c r="F3" t="s" s="0">
        <v>121</v>
      </c>
      <c r="G3" t="s" s="0">
        <v>122</v>
      </c>
      <c r="H3" t="s" s="0">
        <v>82</v>
      </c>
      <c r="I3" t="s" s="0">
        <v>83</v>
      </c>
      <c r="J3" t="s" s="0">
        <v>123</v>
      </c>
      <c r="K3" t="s" s="0">
        <v>124</v>
      </c>
      <c r="L3" t="s" s="0">
        <v>82</v>
      </c>
      <c r="M3" t="s" s="0">
        <v>82</v>
      </c>
      <c r="N3" t="s" s="0">
        <v>82</v>
      </c>
      <c r="O3" t="s" s="0">
        <v>125</v>
      </c>
      <c r="P3" t="s" s="0">
        <v>126</v>
      </c>
      <c r="Q3" t="s" s="0">
        <v>88</v>
      </c>
      <c r="R3" t="s" s="0">
        <v>82</v>
      </c>
      <c r="S3" t="s" s="0">
        <v>82</v>
      </c>
      <c r="T3" t="s" s="0">
        <v>82</v>
      </c>
      <c r="U3" t="s" s="0">
        <v>82</v>
      </c>
      <c r="V3" t="s" s="0">
        <v>127</v>
      </c>
      <c r="W3" t="s" s="0">
        <v>128</v>
      </c>
      <c r="X3" t="s" s="0">
        <v>82</v>
      </c>
      <c r="Y3" t="s" s="0">
        <v>82</v>
      </c>
      <c r="Z3" t="s" s="0">
        <v>91</v>
      </c>
      <c r="AA3" t="s" s="0">
        <v>92</v>
      </c>
      <c r="AB3" t="s" s="0">
        <v>82</v>
      </c>
      <c r="AC3" t="s" s="0">
        <v>82</v>
      </c>
      <c r="AD3" t="s" s="0">
        <v>82</v>
      </c>
      <c r="AE3" t="s" s="0">
        <v>82</v>
      </c>
      <c r="AF3" t="s" s="0">
        <v>82</v>
      </c>
      <c r="AG3" t="s" s="0">
        <v>129</v>
      </c>
      <c r="AH3" t="s" s="0">
        <v>130</v>
      </c>
      <c r="AI3" t="s" s="0">
        <v>82</v>
      </c>
      <c r="AJ3" t="s" s="0">
        <v>131</v>
      </c>
      <c r="AK3" t="s" s="0">
        <v>82</v>
      </c>
      <c r="AL3" t="s" s="0">
        <v>132</v>
      </c>
      <c r="AM3" t="s" s="0">
        <v>77</v>
      </c>
      <c r="AN3" t="s" s="0">
        <v>77</v>
      </c>
      <c r="AO3" t="s" s="0">
        <v>78</v>
      </c>
      <c r="AP3" t="s" s="0">
        <v>78</v>
      </c>
      <c r="AQ3" t="s" s="0">
        <v>133</v>
      </c>
      <c r="AR3" t="s" s="0">
        <v>134</v>
      </c>
      <c r="AS3" t="s" s="0">
        <v>135</v>
      </c>
      <c r="AT3" t="s" s="0">
        <v>136</v>
      </c>
      <c r="AU3" t="s" s="0">
        <v>137</v>
      </c>
      <c r="AV3" t="s" s="0">
        <v>82</v>
      </c>
      <c r="AW3" t="s" s="0">
        <v>138</v>
      </c>
      <c r="AX3" t="s" s="0">
        <v>139</v>
      </c>
      <c r="AY3" t="s" s="0">
        <v>140</v>
      </c>
      <c r="AZ3" t="s" s="0">
        <v>141</v>
      </c>
      <c r="BA3" t="s" s="0">
        <v>142</v>
      </c>
      <c r="BB3" t="s" s="0">
        <v>78</v>
      </c>
      <c r="BC3" t="s" s="0">
        <v>82</v>
      </c>
      <c r="BD3" t="s" s="0">
        <v>82</v>
      </c>
      <c r="BE3" t="s" s="0">
        <v>82</v>
      </c>
      <c r="BF3" t="s" s="0">
        <v>82</v>
      </c>
      <c r="BG3" t="s" s="0">
        <v>143</v>
      </c>
      <c r="BH3" t="s" s="0">
        <v>144</v>
      </c>
      <c r="BI3" t="s" s="0">
        <v>82</v>
      </c>
      <c r="BJ3" t="s" s="0">
        <v>145</v>
      </c>
      <c r="BK3" t="s" s="3">
        <f>HYPERLINK("http://dx.doi.org/10.1002/mus.70280","http://dx.doi.org/10.1002/mus.70280")</f>
        <v>146</v>
      </c>
      <c r="BL3" t="s" s="0">
        <v>82</v>
      </c>
      <c r="BM3" t="s" s="0">
        <v>147</v>
      </c>
      <c r="BN3" t="s" s="0">
        <v>98</v>
      </c>
      <c r="BO3" t="s" s="0">
        <v>148</v>
      </c>
      <c r="BP3" t="s" s="0">
        <v>114</v>
      </c>
      <c r="BQ3" t="s" s="0">
        <v>149</v>
      </c>
      <c r="BR3" t="s" s="0">
        <v>150</v>
      </c>
      <c r="BS3" t="s" s="0">
        <v>151</v>
      </c>
      <c r="BT3" t="s" s="4">
        <f>HYPERLINK("https://www.webofscience.com/wos/woscc/full-record/WOS:001781860400001","View Record in Web of Science")</f>
        <v>118</v>
      </c>
      <c r="BU3" t="s" s="0">
        <v>152</v>
      </c>
      <c r="BV3" t="s" s="0">
        <v>82</v>
      </c>
      <c r="BW3" t="s" s="0">
        <v>82</v>
      </c>
      <c r="BX3" t="s" s="0">
        <v>119</v>
      </c>
    </row>
    <row r="4">
      <c r="A4" t="s" s="0">
        <v>77</v>
      </c>
      <c r="B4" t="s" s="0">
        <v>77</v>
      </c>
      <c r="C4" t="s" s="0">
        <v>77</v>
      </c>
      <c r="D4" t="s" s="0">
        <v>77</v>
      </c>
      <c r="E4" t="s" s="0">
        <v>153</v>
      </c>
      <c r="F4" t="s" s="0">
        <v>154</v>
      </c>
      <c r="G4" t="s" s="0">
        <v>155</v>
      </c>
      <c r="H4" t="s" s="0">
        <v>82</v>
      </c>
      <c r="I4" t="s" s="0">
        <v>83</v>
      </c>
      <c r="J4" t="s" s="0">
        <v>156</v>
      </c>
      <c r="K4" t="s" s="0">
        <v>157</v>
      </c>
      <c r="L4" t="s" s="0">
        <v>158</v>
      </c>
      <c r="M4" t="s" s="0">
        <v>159</v>
      </c>
      <c r="N4" t="s" s="0">
        <v>160</v>
      </c>
      <c r="O4" t="s" s="0">
        <v>161</v>
      </c>
      <c r="P4" t="s" s="0">
        <v>162</v>
      </c>
      <c r="Q4" t="s" s="0">
        <v>88</v>
      </c>
      <c r="R4" t="s" s="0">
        <v>82</v>
      </c>
      <c r="S4" t="s" s="0">
        <v>82</v>
      </c>
      <c r="T4" t="s" s="0">
        <v>82</v>
      </c>
      <c r="U4" t="s" s="0">
        <v>82</v>
      </c>
      <c r="V4" t="s" s="0">
        <v>163</v>
      </c>
      <c r="W4" t="s" s="0">
        <v>164</v>
      </c>
      <c r="X4" t="s" s="0">
        <v>82</v>
      </c>
      <c r="Y4" t="s" s="0">
        <v>82</v>
      </c>
      <c r="Z4" t="s" s="0">
        <v>91</v>
      </c>
      <c r="AA4" t="s" s="0">
        <v>92</v>
      </c>
      <c r="AB4" t="s" s="0">
        <v>82</v>
      </c>
      <c r="AC4" t="s" s="0">
        <v>82</v>
      </c>
      <c r="AD4" t="s" s="0">
        <v>82</v>
      </c>
      <c r="AE4" t="s" s="0">
        <v>82</v>
      </c>
      <c r="AF4" t="s" s="0">
        <v>82</v>
      </c>
      <c r="AG4" t="s" s="0">
        <v>165</v>
      </c>
      <c r="AH4" t="s" s="0">
        <v>166</v>
      </c>
      <c r="AI4" t="s" s="0">
        <v>82</v>
      </c>
      <c r="AJ4" t="s" s="0">
        <v>167</v>
      </c>
      <c r="AK4" t="s" s="0">
        <v>82</v>
      </c>
      <c r="AL4" t="s" s="0">
        <v>168</v>
      </c>
      <c r="AM4" t="s" s="0">
        <v>77</v>
      </c>
      <c r="AN4" t="s" s="0">
        <v>77</v>
      </c>
      <c r="AO4" t="s" s="0">
        <v>169</v>
      </c>
      <c r="AP4" t="s" s="0">
        <v>169</v>
      </c>
      <c r="AQ4" t="s" s="0">
        <v>170</v>
      </c>
      <c r="AR4" t="s" s="0">
        <v>171</v>
      </c>
      <c r="AS4" t="s" s="0">
        <v>172</v>
      </c>
      <c r="AT4" t="s" s="0">
        <v>82</v>
      </c>
      <c r="AU4" t="s" s="0">
        <v>173</v>
      </c>
      <c r="AV4" t="s" s="0">
        <v>82</v>
      </c>
      <c r="AW4" t="s" s="0">
        <v>164</v>
      </c>
      <c r="AX4" t="s" s="0">
        <v>174</v>
      </c>
      <c r="AY4" t="s" s="0">
        <v>175</v>
      </c>
      <c r="AZ4" t="s" s="0">
        <v>107</v>
      </c>
      <c r="BA4" t="s" s="0">
        <v>176</v>
      </c>
      <c r="BB4" t="s" s="0">
        <v>177</v>
      </c>
      <c r="BC4" t="s" s="0">
        <v>82</v>
      </c>
      <c r="BD4" t="s" s="0">
        <v>82</v>
      </c>
      <c r="BE4" t="s" s="0">
        <v>82</v>
      </c>
      <c r="BF4" t="s" s="0">
        <v>82</v>
      </c>
      <c r="BG4" t="s" s="0">
        <v>82</v>
      </c>
      <c r="BH4" t="s" s="0">
        <v>82</v>
      </c>
      <c r="BI4" t="s" s="0">
        <v>178</v>
      </c>
      <c r="BJ4" t="s" s="0">
        <v>179</v>
      </c>
      <c r="BK4" t="s" s="5">
        <f>HYPERLINK("http://dx.doi.org/10.3390/diagnostics15212808","http://dx.doi.org/10.3390/diagnostics15212808")</f>
        <v>180</v>
      </c>
      <c r="BL4" t="s" s="0">
        <v>82</v>
      </c>
      <c r="BM4" t="s" s="0">
        <v>82</v>
      </c>
      <c r="BN4" t="s" s="0">
        <v>181</v>
      </c>
      <c r="BO4" t="s" s="0">
        <v>182</v>
      </c>
      <c r="BP4" t="s" s="0">
        <v>183</v>
      </c>
      <c r="BQ4" t="s" s="0">
        <v>184</v>
      </c>
      <c r="BR4" t="s" s="0">
        <v>185</v>
      </c>
      <c r="BS4" t="s" s="0">
        <v>186</v>
      </c>
      <c r="BT4" t="s" s="6">
        <f>HYPERLINK("https://www.webofscience.com/wos/woscc/full-record/WOS:001615360000001","View Record in Web of Science")</f>
        <v>118</v>
      </c>
      <c r="BU4" t="s" s="0">
        <v>187</v>
      </c>
      <c r="BV4" t="s" s="0">
        <v>82</v>
      </c>
      <c r="BW4" t="s" s="0">
        <v>82</v>
      </c>
      <c r="BX4" t="s" s="0">
        <v>119</v>
      </c>
    </row>
    <row r="5">
      <c r="A5" t="s" s="0">
        <v>77</v>
      </c>
      <c r="B5" t="s" s="0">
        <v>77</v>
      </c>
      <c r="C5" t="s" s="0">
        <v>77</v>
      </c>
      <c r="D5" t="s" s="0">
        <v>77</v>
      </c>
      <c r="E5" t="s" s="0">
        <v>188</v>
      </c>
      <c r="F5" t="s" s="0">
        <v>189</v>
      </c>
      <c r="G5" t="s" s="0">
        <v>190</v>
      </c>
      <c r="H5" t="s" s="0">
        <v>82</v>
      </c>
      <c r="I5" t="s" s="0">
        <v>83</v>
      </c>
      <c r="J5" t="s" s="0">
        <v>191</v>
      </c>
      <c r="K5" t="s" s="0">
        <v>192</v>
      </c>
      <c r="L5" t="s" s="0">
        <v>82</v>
      </c>
      <c r="M5" t="s" s="0">
        <v>82</v>
      </c>
      <c r="N5" t="s" s="0">
        <v>82</v>
      </c>
      <c r="O5" t="s" s="0">
        <v>193</v>
      </c>
      <c r="P5" t="s" s="0">
        <v>194</v>
      </c>
      <c r="Q5" t="s" s="0">
        <v>88</v>
      </c>
      <c r="R5" t="s" s="0">
        <v>82</v>
      </c>
      <c r="S5" t="s" s="0">
        <v>82</v>
      </c>
      <c r="T5" t="s" s="0">
        <v>82</v>
      </c>
      <c r="U5" t="s" s="0">
        <v>82</v>
      </c>
      <c r="V5" t="s" s="0">
        <v>195</v>
      </c>
      <c r="W5" t="s" s="0">
        <v>196</v>
      </c>
      <c r="X5" t="s" s="0">
        <v>82</v>
      </c>
      <c r="Y5" t="s" s="0">
        <v>82</v>
      </c>
      <c r="Z5" t="s" s="0">
        <v>91</v>
      </c>
      <c r="AA5" t="s" s="0">
        <v>92</v>
      </c>
      <c r="AB5" t="s" s="0">
        <v>82</v>
      </c>
      <c r="AC5" t="s" s="0">
        <v>82</v>
      </c>
      <c r="AD5" t="s" s="0">
        <v>82</v>
      </c>
      <c r="AE5" t="s" s="0">
        <v>82</v>
      </c>
      <c r="AF5" t="s" s="0">
        <v>82</v>
      </c>
      <c r="AG5" t="s" s="0">
        <v>197</v>
      </c>
      <c r="AH5" t="s" s="0">
        <v>198</v>
      </c>
      <c r="AI5" t="s" s="0">
        <v>82</v>
      </c>
      <c r="AJ5" t="s" s="0">
        <v>82</v>
      </c>
      <c r="AK5" t="s" s="0">
        <v>82</v>
      </c>
      <c r="AL5" t="s" s="0">
        <v>199</v>
      </c>
      <c r="AM5" t="s" s="0">
        <v>77</v>
      </c>
      <c r="AN5" t="s" s="0">
        <v>77</v>
      </c>
      <c r="AO5" t="s" s="0">
        <v>77</v>
      </c>
      <c r="AP5" t="s" s="0">
        <v>77</v>
      </c>
      <c r="AQ5" t="s" s="0">
        <v>200</v>
      </c>
      <c r="AR5" t="s" s="0">
        <v>201</v>
      </c>
      <c r="AS5" t="s" s="0">
        <v>202</v>
      </c>
      <c r="AT5" t="s" s="0">
        <v>203</v>
      </c>
      <c r="AU5" t="s" s="0">
        <v>204</v>
      </c>
      <c r="AV5" t="s" s="0">
        <v>82</v>
      </c>
      <c r="AW5" t="s" s="0">
        <v>205</v>
      </c>
      <c r="AX5" t="s" s="0">
        <v>206</v>
      </c>
      <c r="AY5" t="s" s="0">
        <v>207</v>
      </c>
      <c r="AZ5" t="s" s="0">
        <v>141</v>
      </c>
      <c r="BA5" t="s" s="0">
        <v>208</v>
      </c>
      <c r="BB5" t="s" s="0">
        <v>82</v>
      </c>
      <c r="BC5" t="s" s="0">
        <v>82</v>
      </c>
      <c r="BD5" t="s" s="0">
        <v>82</v>
      </c>
      <c r="BE5" t="s" s="0">
        <v>82</v>
      </c>
      <c r="BF5" t="s" s="0">
        <v>82</v>
      </c>
      <c r="BG5" t="s" s="0">
        <v>82</v>
      </c>
      <c r="BH5" t="s" s="0">
        <v>82</v>
      </c>
      <c r="BI5" t="s" s="0">
        <v>209</v>
      </c>
      <c r="BJ5" t="s" s="0">
        <v>210</v>
      </c>
      <c r="BK5" t="s" s="7">
        <f>HYPERLINK("http://dx.doi.org/10.2196/92931","http://dx.doi.org/10.2196/92931")</f>
        <v>211</v>
      </c>
      <c r="BL5" t="s" s="0">
        <v>82</v>
      </c>
      <c r="BM5" t="s" s="0">
        <v>82</v>
      </c>
      <c r="BN5" t="s" s="0">
        <v>212</v>
      </c>
      <c r="BO5" t="s" s="0">
        <v>213</v>
      </c>
      <c r="BP5" t="s" s="0">
        <v>213</v>
      </c>
      <c r="BQ5" t="s" s="0">
        <v>214</v>
      </c>
      <c r="BR5" t="s" s="0">
        <v>215</v>
      </c>
      <c r="BS5" t="s" s="0">
        <v>216</v>
      </c>
      <c r="BT5" t="s" s="8">
        <f>HYPERLINK("https://www.webofscience.com/wos/woscc/full-record/WOS:001837234800004","View Record in Web of Science")</f>
        <v>118</v>
      </c>
      <c r="BU5" t="s" s="0">
        <v>187</v>
      </c>
      <c r="BV5" t="s" s="0">
        <v>82</v>
      </c>
      <c r="BW5" t="s" s="0">
        <v>82</v>
      </c>
      <c r="BX5" t="s" s="0">
        <v>119</v>
      </c>
    </row>
    <row r="6">
      <c r="A6" t="s" s="0">
        <v>77</v>
      </c>
      <c r="B6" t="s" s="0">
        <v>77</v>
      </c>
      <c r="C6" t="s" s="0">
        <v>77</v>
      </c>
      <c r="D6" t="s" s="0">
        <v>77</v>
      </c>
      <c r="E6" t="s" s="0">
        <v>217</v>
      </c>
      <c r="F6" t="s" s="0">
        <v>218</v>
      </c>
      <c r="G6" t="s" s="0">
        <v>219</v>
      </c>
      <c r="H6" t="s" s="0">
        <v>82</v>
      </c>
      <c r="I6" t="s" s="0">
        <v>83</v>
      </c>
      <c r="J6" t="s" s="0">
        <v>220</v>
      </c>
      <c r="K6" t="s" s="0">
        <v>221</v>
      </c>
      <c r="L6" t="s" s="0">
        <v>82</v>
      </c>
      <c r="M6" t="s" s="0">
        <v>82</v>
      </c>
      <c r="N6" t="s" s="0">
        <v>82</v>
      </c>
      <c r="O6" t="s" s="0">
        <v>222</v>
      </c>
      <c r="P6" t="s" s="0">
        <v>223</v>
      </c>
      <c r="Q6" t="s" s="0">
        <v>88</v>
      </c>
      <c r="R6" t="s" s="0">
        <v>82</v>
      </c>
      <c r="S6" t="s" s="0">
        <v>82</v>
      </c>
      <c r="T6" t="s" s="0">
        <v>82</v>
      </c>
      <c r="U6" t="s" s="0">
        <v>82</v>
      </c>
      <c r="V6" t="s" s="0">
        <v>224</v>
      </c>
      <c r="W6" t="s" s="0">
        <v>225</v>
      </c>
      <c r="X6" t="s" s="0">
        <v>82</v>
      </c>
      <c r="Y6" t="s" s="0">
        <v>82</v>
      </c>
      <c r="Z6" t="s" s="0">
        <v>91</v>
      </c>
      <c r="AA6" t="s" s="0">
        <v>92</v>
      </c>
      <c r="AB6" t="s" s="0">
        <v>82</v>
      </c>
      <c r="AC6" t="s" s="0">
        <v>82</v>
      </c>
      <c r="AD6" t="s" s="0">
        <v>82</v>
      </c>
      <c r="AE6" t="s" s="0">
        <v>82</v>
      </c>
      <c r="AF6" t="s" s="0">
        <v>82</v>
      </c>
      <c r="AG6" t="s" s="0">
        <v>226</v>
      </c>
      <c r="AH6" t="s" s="0">
        <v>227</v>
      </c>
      <c r="AI6" t="s" s="0">
        <v>82</v>
      </c>
      <c r="AJ6" t="s" s="0">
        <v>228</v>
      </c>
      <c r="AK6" t="s" s="0">
        <v>82</v>
      </c>
      <c r="AL6" t="s" s="0">
        <v>177</v>
      </c>
      <c r="AM6" t="s" s="0">
        <v>229</v>
      </c>
      <c r="AN6" t="s" s="0">
        <v>229</v>
      </c>
      <c r="AO6" t="s" s="0">
        <v>77</v>
      </c>
      <c r="AP6" t="s" s="0">
        <v>77</v>
      </c>
      <c r="AQ6" t="s" s="0">
        <v>230</v>
      </c>
      <c r="AR6" t="s" s="0">
        <v>231</v>
      </c>
      <c r="AS6" t="s" s="0">
        <v>232</v>
      </c>
      <c r="AT6" t="s" s="0">
        <v>233</v>
      </c>
      <c r="AU6" t="s" s="0">
        <v>234</v>
      </c>
      <c r="AV6" t="s" s="0">
        <v>82</v>
      </c>
      <c r="AW6" t="s" s="0">
        <v>235</v>
      </c>
      <c r="AX6" t="s" s="0">
        <v>236</v>
      </c>
      <c r="AY6" t="s" s="0">
        <v>237</v>
      </c>
      <c r="AZ6" t="s" s="0">
        <v>141</v>
      </c>
      <c r="BA6" t="s" s="0">
        <v>238</v>
      </c>
      <c r="BB6" t="s" s="0">
        <v>239</v>
      </c>
      <c r="BC6" t="s" s="0">
        <v>82</v>
      </c>
      <c r="BD6" t="s" s="0">
        <v>82</v>
      </c>
      <c r="BE6" t="s" s="0">
        <v>82</v>
      </c>
      <c r="BF6" t="s" s="0">
        <v>82</v>
      </c>
      <c r="BG6" t="s" s="0">
        <v>240</v>
      </c>
      <c r="BH6" t="s" s="0">
        <v>241</v>
      </c>
      <c r="BI6" t="s" s="0">
        <v>82</v>
      </c>
      <c r="BJ6" t="s" s="0">
        <v>242</v>
      </c>
      <c r="BK6" t="s" s="9">
        <f>HYPERLINK("http://dx.doi.org/10.1177/08850666251368270","http://dx.doi.org/10.1177/08850666251368270")</f>
        <v>243</v>
      </c>
      <c r="BL6" t="s" s="0">
        <v>82</v>
      </c>
      <c r="BM6" t="s" s="0">
        <v>237</v>
      </c>
      <c r="BN6" t="s" s="0">
        <v>244</v>
      </c>
      <c r="BO6" t="s" s="0">
        <v>245</v>
      </c>
      <c r="BP6" t="s" s="0">
        <v>183</v>
      </c>
      <c r="BQ6" t="s" s="0">
        <v>246</v>
      </c>
      <c r="BR6" t="s" s="0">
        <v>247</v>
      </c>
      <c r="BS6" t="s" s="0">
        <v>248</v>
      </c>
      <c r="BT6" t="s" s="10">
        <f>HYPERLINK("https://www.webofscience.com/wos/woscc/full-record/WOS:001551333600001","View Record in Web of Science")</f>
        <v>118</v>
      </c>
      <c r="BU6" t="s" s="0">
        <v>249</v>
      </c>
      <c r="BV6" t="s" s="0">
        <v>82</v>
      </c>
      <c r="BW6" t="s" s="0">
        <v>82</v>
      </c>
      <c r="BX6" t="s" s="0">
        <v>119</v>
      </c>
    </row>
    <row r="7">
      <c r="A7" t="s" s="0">
        <v>77</v>
      </c>
      <c r="B7" t="s" s="0">
        <v>77</v>
      </c>
      <c r="C7" t="s" s="0">
        <v>77</v>
      </c>
      <c r="D7" t="s" s="0">
        <v>77</v>
      </c>
      <c r="E7" t="s" s="0">
        <v>250</v>
      </c>
      <c r="F7" t="s" s="0">
        <v>251</v>
      </c>
      <c r="G7" t="s" s="0">
        <v>252</v>
      </c>
      <c r="H7" t="s" s="0">
        <v>82</v>
      </c>
      <c r="I7" t="s" s="0">
        <v>83</v>
      </c>
      <c r="J7" t="s" s="0">
        <v>253</v>
      </c>
      <c r="K7" t="s" s="0">
        <v>254</v>
      </c>
      <c r="L7" t="s" s="0">
        <v>255</v>
      </c>
      <c r="M7" t="s" s="0">
        <v>256</v>
      </c>
      <c r="N7" t="s" s="0">
        <v>257</v>
      </c>
      <c r="O7" t="s" s="0">
        <v>258</v>
      </c>
      <c r="P7" t="s" s="0">
        <v>259</v>
      </c>
      <c r="Q7" t="s" s="0">
        <v>88</v>
      </c>
      <c r="R7" t="s" s="0">
        <v>82</v>
      </c>
      <c r="S7" t="s" s="0">
        <v>82</v>
      </c>
      <c r="T7" t="s" s="0">
        <v>82</v>
      </c>
      <c r="U7" t="s" s="0">
        <v>82</v>
      </c>
      <c r="V7" t="s" s="0">
        <v>260</v>
      </c>
      <c r="W7" t="s" s="0">
        <v>261</v>
      </c>
      <c r="X7" t="s" s="0">
        <v>82</v>
      </c>
      <c r="Y7" t="s" s="0">
        <v>82</v>
      </c>
      <c r="Z7" t="s" s="0">
        <v>91</v>
      </c>
      <c r="AA7" t="s" s="0">
        <v>92</v>
      </c>
      <c r="AB7" t="s" s="0">
        <v>82</v>
      </c>
      <c r="AC7" t="s" s="0">
        <v>82</v>
      </c>
      <c r="AD7" t="s" s="0">
        <v>82</v>
      </c>
      <c r="AE7" t="s" s="0">
        <v>82</v>
      </c>
      <c r="AF7" t="s" s="0">
        <v>82</v>
      </c>
      <c r="AG7" t="s" s="0">
        <v>82</v>
      </c>
      <c r="AH7" t="s" s="0">
        <v>262</v>
      </c>
      <c r="AI7" t="s" s="0">
        <v>263</v>
      </c>
      <c r="AJ7" t="s" s="0">
        <v>82</v>
      </c>
      <c r="AK7" t="s" s="0">
        <v>82</v>
      </c>
      <c r="AL7" t="s" s="0">
        <v>238</v>
      </c>
      <c r="AM7" t="s" s="0">
        <v>77</v>
      </c>
      <c r="AN7" t="s" s="0">
        <v>77</v>
      </c>
      <c r="AO7" t="s" s="0">
        <v>264</v>
      </c>
      <c r="AP7" t="s" s="0">
        <v>264</v>
      </c>
      <c r="AQ7" t="s" s="0">
        <v>265</v>
      </c>
      <c r="AR7" t="s" s="0">
        <v>266</v>
      </c>
      <c r="AS7" t="s" s="0">
        <v>267</v>
      </c>
      <c r="AT7" t="s" s="0">
        <v>268</v>
      </c>
      <c r="AU7" t="s" s="0">
        <v>82</v>
      </c>
      <c r="AV7" t="s" s="0">
        <v>82</v>
      </c>
      <c r="AW7" t="s" s="0">
        <v>269</v>
      </c>
      <c r="AX7" t="s" s="0">
        <v>270</v>
      </c>
      <c r="AY7" t="s" s="0">
        <v>271</v>
      </c>
      <c r="AZ7" t="s" s="0">
        <v>141</v>
      </c>
      <c r="BA7" t="s" s="0">
        <v>272</v>
      </c>
      <c r="BB7" t="s" s="0">
        <v>229</v>
      </c>
      <c r="BC7" t="s" s="0">
        <v>82</v>
      </c>
      <c r="BD7" t="s" s="0">
        <v>82</v>
      </c>
      <c r="BE7" t="s" s="0">
        <v>82</v>
      </c>
      <c r="BF7" t="s" s="0">
        <v>82</v>
      </c>
      <c r="BG7" t="s" s="0">
        <v>82</v>
      </c>
      <c r="BH7" t="s" s="0">
        <v>82</v>
      </c>
      <c r="BI7" t="s" s="0">
        <v>273</v>
      </c>
      <c r="BJ7" t="s" s="0">
        <v>274</v>
      </c>
      <c r="BK7" t="s" s="11">
        <f>HYPERLINK("http://dx.doi.org/10.1038/s41746-026-02644-z","http://dx.doi.org/10.1038/s41746-026-02644-z")</f>
        <v>275</v>
      </c>
      <c r="BL7" t="s" s="0">
        <v>82</v>
      </c>
      <c r="BM7" t="s" s="0">
        <v>276</v>
      </c>
      <c r="BN7" t="s" s="0">
        <v>277</v>
      </c>
      <c r="BO7" t="s" s="0">
        <v>213</v>
      </c>
      <c r="BP7" t="s" s="0">
        <v>213</v>
      </c>
      <c r="BQ7" t="s" s="0">
        <v>278</v>
      </c>
      <c r="BR7" t="s" s="0">
        <v>279</v>
      </c>
      <c r="BS7" t="s" s="0">
        <v>280</v>
      </c>
      <c r="BT7" t="s" s="12">
        <f>HYPERLINK("https://www.webofscience.com/wos/woscc/full-record/WOS:001796344900003","View Record in Web of Science")</f>
        <v>118</v>
      </c>
      <c r="BU7" t="s" s="0">
        <v>187</v>
      </c>
      <c r="BV7" t="s" s="0">
        <v>82</v>
      </c>
      <c r="BW7" t="s" s="0">
        <v>82</v>
      </c>
      <c r="BX7" t="s" s="0">
        <v>119</v>
      </c>
    </row>
    <row r="8">
      <c r="A8" t="s" s="0">
        <v>77</v>
      </c>
      <c r="B8" t="s" s="0">
        <v>77</v>
      </c>
      <c r="C8" t="s" s="0">
        <v>78</v>
      </c>
      <c r="D8" t="s" s="0">
        <v>77</v>
      </c>
      <c r="E8" t="s" s="0">
        <v>281</v>
      </c>
      <c r="F8" t="s" s="0">
        <v>282</v>
      </c>
      <c r="G8" t="s" s="0">
        <v>283</v>
      </c>
      <c r="H8" t="s" s="0">
        <v>82</v>
      </c>
      <c r="I8" t="s" s="0">
        <v>83</v>
      </c>
      <c r="J8" t="s" s="0">
        <v>284</v>
      </c>
      <c r="K8" t="s" s="0">
        <v>285</v>
      </c>
      <c r="L8" t="s" s="0">
        <v>82</v>
      </c>
      <c r="M8" t="s" s="0">
        <v>82</v>
      </c>
      <c r="N8" t="s" s="0">
        <v>82</v>
      </c>
      <c r="O8" t="s" s="0">
        <v>286</v>
      </c>
      <c r="P8" t="s" s="0">
        <v>287</v>
      </c>
      <c r="Q8" t="s" s="0">
        <v>88</v>
      </c>
      <c r="R8" t="s" s="0">
        <v>82</v>
      </c>
      <c r="S8" t="s" s="0">
        <v>82</v>
      </c>
      <c r="T8" t="s" s="0">
        <v>82</v>
      </c>
      <c r="U8" t="s" s="0">
        <v>82</v>
      </c>
      <c r="V8" t="s" s="0">
        <v>288</v>
      </c>
      <c r="W8" t="s" s="0">
        <v>289</v>
      </c>
      <c r="X8" t="s" s="0">
        <v>82</v>
      </c>
      <c r="Y8" t="s" s="0">
        <v>82</v>
      </c>
      <c r="Z8" t="s" s="0">
        <v>91</v>
      </c>
      <c r="AA8" t="s" s="0">
        <v>92</v>
      </c>
      <c r="AB8" t="s" s="0">
        <v>82</v>
      </c>
      <c r="AC8" t="s" s="0">
        <v>82</v>
      </c>
      <c r="AD8" t="s" s="0">
        <v>82</v>
      </c>
      <c r="AE8" t="s" s="0">
        <v>82</v>
      </c>
      <c r="AF8" t="s" s="0">
        <v>82</v>
      </c>
      <c r="AG8" t="s" s="0">
        <v>290</v>
      </c>
      <c r="AH8" t="s" s="0">
        <v>291</v>
      </c>
      <c r="AI8" t="s" s="0">
        <v>292</v>
      </c>
      <c r="AJ8" t="s" s="0">
        <v>293</v>
      </c>
      <c r="AK8" t="s" s="0">
        <v>82</v>
      </c>
      <c r="AL8" t="s" s="0">
        <v>294</v>
      </c>
      <c r="AM8" t="s" s="0">
        <v>264</v>
      </c>
      <c r="AN8" t="s" s="0">
        <v>264</v>
      </c>
      <c r="AO8" t="s" s="0">
        <v>78</v>
      </c>
      <c r="AP8" t="s" s="0">
        <v>264</v>
      </c>
      <c r="AQ8" t="s" s="0">
        <v>295</v>
      </c>
      <c r="AR8" t="s" s="0">
        <v>296</v>
      </c>
      <c r="AS8" t="s" s="0">
        <v>297</v>
      </c>
      <c r="AT8" t="s" s="0">
        <v>298</v>
      </c>
      <c r="AU8" t="s" s="0">
        <v>299</v>
      </c>
      <c r="AV8" t="s" s="0">
        <v>82</v>
      </c>
      <c r="AW8" t="s" s="0">
        <v>300</v>
      </c>
      <c r="AX8" t="s" s="0">
        <v>301</v>
      </c>
      <c r="AY8" t="s" s="0">
        <v>302</v>
      </c>
      <c r="AZ8" t="s" s="0">
        <v>107</v>
      </c>
      <c r="BA8" t="s" s="0">
        <v>303</v>
      </c>
      <c r="BB8" t="s" s="0">
        <v>82</v>
      </c>
      <c r="BC8" t="s" s="0">
        <v>82</v>
      </c>
      <c r="BD8" t="s" s="0">
        <v>82</v>
      </c>
      <c r="BE8" t="s" s="0">
        <v>82</v>
      </c>
      <c r="BF8" t="s" s="0">
        <v>82</v>
      </c>
      <c r="BG8" t="s" s="0">
        <v>82</v>
      </c>
      <c r="BH8" t="s" s="0">
        <v>82</v>
      </c>
      <c r="BI8" t="s" s="0">
        <v>304</v>
      </c>
      <c r="BJ8" t="s" s="0">
        <v>305</v>
      </c>
      <c r="BK8" t="s" s="13">
        <f>HYPERLINK("http://dx.doi.org/10.1016/j.tvjl.2025.106476","http://dx.doi.org/10.1016/j.tvjl.2025.106476")</f>
        <v>306</v>
      </c>
      <c r="BL8" t="s" s="0">
        <v>82</v>
      </c>
      <c r="BM8" t="s" s="0">
        <v>307</v>
      </c>
      <c r="BN8" t="s" s="0">
        <v>308</v>
      </c>
      <c r="BO8" t="s" s="0">
        <v>309</v>
      </c>
      <c r="BP8" t="s" s="0">
        <v>309</v>
      </c>
      <c r="BQ8" t="s" s="0">
        <v>310</v>
      </c>
      <c r="BR8" t="s" s="0">
        <v>311</v>
      </c>
      <c r="BS8" t="s" s="0">
        <v>312</v>
      </c>
      <c r="BT8" t="s" s="14">
        <f>HYPERLINK("https://www.webofscience.com/wos/woscc/full-record/WOS:001615213200001","View Record in Web of Science")</f>
        <v>118</v>
      </c>
      <c r="BU8" t="s" s="0">
        <v>82</v>
      </c>
      <c r="BV8" t="s" s="0">
        <v>82</v>
      </c>
      <c r="BW8" t="s" s="0">
        <v>82</v>
      </c>
      <c r="BX8" t="s" s="0">
        <v>119</v>
      </c>
    </row>
    <row r="9">
      <c r="A9" t="s" s="0">
        <v>244</v>
      </c>
      <c r="B9" t="s" s="0">
        <v>77</v>
      </c>
      <c r="C9" t="s" s="0">
        <v>313</v>
      </c>
      <c r="D9" t="s" s="0">
        <v>229</v>
      </c>
      <c r="E9" t="s" s="0">
        <v>314</v>
      </c>
      <c r="F9" t="s" s="0">
        <v>315</v>
      </c>
      <c r="G9" t="s" s="0">
        <v>316</v>
      </c>
      <c r="H9" t="s" s="0">
        <v>82</v>
      </c>
      <c r="I9" t="s" s="0">
        <v>83</v>
      </c>
      <c r="J9" t="s" s="0">
        <v>317</v>
      </c>
      <c r="K9" t="s" s="0">
        <v>318</v>
      </c>
      <c r="L9" t="s" s="0">
        <v>319</v>
      </c>
      <c r="M9" t="s" s="0">
        <v>320</v>
      </c>
      <c r="N9" t="s" s="0">
        <v>321</v>
      </c>
      <c r="O9" t="s" s="0">
        <v>322</v>
      </c>
      <c r="P9" t="s" s="0">
        <v>323</v>
      </c>
      <c r="Q9" t="s" s="0">
        <v>88</v>
      </c>
      <c r="R9" t="s" s="0">
        <v>82</v>
      </c>
      <c r="S9" t="s" s="0">
        <v>82</v>
      </c>
      <c r="T9" t="s" s="0">
        <v>82</v>
      </c>
      <c r="U9" t="s" s="0">
        <v>82</v>
      </c>
      <c r="V9" t="s" s="0">
        <v>324</v>
      </c>
      <c r="W9" t="s" s="0">
        <v>325</v>
      </c>
      <c r="X9" t="s" s="0">
        <v>82</v>
      </c>
      <c r="Y9" t="s" s="0">
        <v>82</v>
      </c>
      <c r="Z9" t="s" s="0">
        <v>91</v>
      </c>
      <c r="AA9" t="s" s="0">
        <v>92</v>
      </c>
      <c r="AB9" t="s" s="0">
        <v>82</v>
      </c>
      <c r="AC9" t="s" s="0">
        <v>82</v>
      </c>
      <c r="AD9" t="s" s="0">
        <v>82</v>
      </c>
      <c r="AE9" t="s" s="0">
        <v>82</v>
      </c>
      <c r="AF9" t="s" s="0">
        <v>82</v>
      </c>
      <c r="AG9" t="s" s="0">
        <v>82</v>
      </c>
      <c r="AH9" t="s" s="0">
        <v>326</v>
      </c>
      <c r="AI9" t="s" s="0">
        <v>327</v>
      </c>
      <c r="AJ9" t="s" s="0">
        <v>328</v>
      </c>
      <c r="AK9" t="s" s="0">
        <v>82</v>
      </c>
      <c r="AL9" t="s" s="0">
        <v>329</v>
      </c>
      <c r="AM9" t="s" s="0">
        <v>330</v>
      </c>
      <c r="AN9" t="s" s="0">
        <v>331</v>
      </c>
      <c r="AO9" t="s" s="0">
        <v>332</v>
      </c>
      <c r="AP9" t="s" s="0">
        <v>333</v>
      </c>
      <c r="AQ9" t="s" s="0">
        <v>334</v>
      </c>
      <c r="AR9" t="s" s="0">
        <v>335</v>
      </c>
      <c r="AS9" t="s" s="0">
        <v>336</v>
      </c>
      <c r="AT9" t="s" s="0">
        <v>337</v>
      </c>
      <c r="AU9" t="s" s="0">
        <v>82</v>
      </c>
      <c r="AV9" t="s" s="0">
        <v>82</v>
      </c>
      <c r="AW9" t="s" s="0">
        <v>338</v>
      </c>
      <c r="AX9" t="s" s="0">
        <v>339</v>
      </c>
      <c r="AY9" t="s" s="0">
        <v>340</v>
      </c>
      <c r="AZ9" t="s" s="0">
        <v>341</v>
      </c>
      <c r="BA9" t="s" s="0">
        <v>98</v>
      </c>
      <c r="BB9" t="s" s="0">
        <v>342</v>
      </c>
      <c r="BC9" t="s" s="0">
        <v>82</v>
      </c>
      <c r="BD9" t="s" s="0">
        <v>82</v>
      </c>
      <c r="BE9" t="s" s="0">
        <v>82</v>
      </c>
      <c r="BF9" t="s" s="0">
        <v>82</v>
      </c>
      <c r="BG9" t="s" s="0">
        <v>82</v>
      </c>
      <c r="BH9" t="s" s="0">
        <v>82</v>
      </c>
      <c r="BI9" t="s" s="0">
        <v>343</v>
      </c>
      <c r="BJ9" t="s" s="0">
        <v>344</v>
      </c>
      <c r="BK9" t="s" s="15">
        <f>HYPERLINK("http://dx.doi.org/10.1001/jamanetworkopen.2024.40969","http://dx.doi.org/10.1001/jamanetworkopen.2024.40969")</f>
        <v>345</v>
      </c>
      <c r="BL9" t="s" s="0">
        <v>82</v>
      </c>
      <c r="BM9" t="s" s="0">
        <v>82</v>
      </c>
      <c r="BN9" t="s" s="0">
        <v>346</v>
      </c>
      <c r="BO9" t="s" s="0">
        <v>182</v>
      </c>
      <c r="BP9" t="s" s="0">
        <v>183</v>
      </c>
      <c r="BQ9" t="s" s="0">
        <v>347</v>
      </c>
      <c r="BR9" t="s" s="0">
        <v>348</v>
      </c>
      <c r="BS9" t="s" s="0">
        <v>349</v>
      </c>
      <c r="BT9" t="s" s="16">
        <f>HYPERLINK("https://www.webofscience.com/wos/woscc/full-record/WOS:001346416900001","View Record in Web of Science")</f>
        <v>118</v>
      </c>
      <c r="BU9" t="s" s="0">
        <v>187</v>
      </c>
      <c r="BV9" t="s" s="0">
        <v>350</v>
      </c>
      <c r="BW9" t="s" s="0">
        <v>350</v>
      </c>
      <c r="BX9" t="s" s="0">
        <v>119</v>
      </c>
    </row>
    <row r="10">
      <c r="A10" t="s" s="0">
        <v>239</v>
      </c>
      <c r="B10" t="s" s="0">
        <v>77</v>
      </c>
      <c r="C10" t="s" s="0">
        <v>97</v>
      </c>
      <c r="D10" t="s" s="0">
        <v>77</v>
      </c>
      <c r="E10" t="s" s="0">
        <v>351</v>
      </c>
      <c r="F10" t="s" s="0">
        <v>352</v>
      </c>
      <c r="G10" t="s" s="0">
        <v>353</v>
      </c>
      <c r="H10" t="s" s="0">
        <v>82</v>
      </c>
      <c r="I10" t="s" s="0">
        <v>83</v>
      </c>
      <c r="J10" t="s" s="0">
        <v>354</v>
      </c>
      <c r="K10" t="s" s="0">
        <v>355</v>
      </c>
      <c r="L10" t="s" s="0">
        <v>356</v>
      </c>
      <c r="M10" t="s" s="0">
        <v>357</v>
      </c>
      <c r="N10" t="s" s="0">
        <v>358</v>
      </c>
      <c r="O10" t="s" s="0">
        <v>359</v>
      </c>
      <c r="P10" t="s" s="0">
        <v>360</v>
      </c>
      <c r="Q10" t="s" s="0">
        <v>88</v>
      </c>
      <c r="R10" t="s" s="0">
        <v>82</v>
      </c>
      <c r="S10" t="s" s="0">
        <v>82</v>
      </c>
      <c r="T10" t="s" s="0">
        <v>82</v>
      </c>
      <c r="U10" t="s" s="0">
        <v>82</v>
      </c>
      <c r="V10" t="s" s="0">
        <v>361</v>
      </c>
      <c r="W10" t="s" s="0">
        <v>362</v>
      </c>
      <c r="X10" t="s" s="0">
        <v>82</v>
      </c>
      <c r="Y10" t="s" s="0">
        <v>82</v>
      </c>
      <c r="Z10" t="s" s="0">
        <v>91</v>
      </c>
      <c r="AA10" t="s" s="0">
        <v>92</v>
      </c>
      <c r="AB10" t="s" s="0">
        <v>82</v>
      </c>
      <c r="AC10" t="s" s="0">
        <v>82</v>
      </c>
      <c r="AD10" t="s" s="0">
        <v>82</v>
      </c>
      <c r="AE10" t="s" s="0">
        <v>82</v>
      </c>
      <c r="AF10" t="s" s="0">
        <v>82</v>
      </c>
      <c r="AG10" t="s" s="0">
        <v>82</v>
      </c>
      <c r="AH10" t="s" s="0">
        <v>363</v>
      </c>
      <c r="AI10" t="s" s="0">
        <v>364</v>
      </c>
      <c r="AJ10" t="s" s="0">
        <v>365</v>
      </c>
      <c r="AK10" t="s" s="0">
        <v>82</v>
      </c>
      <c r="AL10" t="s" s="0">
        <v>168</v>
      </c>
      <c r="AM10" t="s" s="0">
        <v>366</v>
      </c>
      <c r="AN10" t="s" s="0">
        <v>367</v>
      </c>
      <c r="AO10" t="s" s="0">
        <v>368</v>
      </c>
      <c r="AP10" t="s" s="0">
        <v>369</v>
      </c>
      <c r="AQ10" t="s" s="0">
        <v>265</v>
      </c>
      <c r="AR10" t="s" s="0">
        <v>266</v>
      </c>
      <c r="AS10" t="s" s="0">
        <v>267</v>
      </c>
      <c r="AT10" t="s" s="0">
        <v>370</v>
      </c>
      <c r="AU10" t="s" s="0">
        <v>371</v>
      </c>
      <c r="AV10" t="s" s="0">
        <v>82</v>
      </c>
      <c r="AW10" t="s" s="0">
        <v>362</v>
      </c>
      <c r="AX10" t="s" s="0">
        <v>372</v>
      </c>
      <c r="AY10" t="s" s="0">
        <v>373</v>
      </c>
      <c r="AZ10" t="s" s="0">
        <v>107</v>
      </c>
      <c r="BA10" t="s" s="0">
        <v>374</v>
      </c>
      <c r="BB10" t="s" s="0">
        <v>375</v>
      </c>
      <c r="BC10" t="s" s="0">
        <v>82</v>
      </c>
      <c r="BD10" t="s" s="0">
        <v>82</v>
      </c>
      <c r="BE10" t="s" s="0">
        <v>82</v>
      </c>
      <c r="BF10" t="s" s="0">
        <v>82</v>
      </c>
      <c r="BG10" t="s" s="0">
        <v>82</v>
      </c>
      <c r="BH10" t="s" s="0">
        <v>82</v>
      </c>
      <c r="BI10" t="s" s="0">
        <v>82</v>
      </c>
      <c r="BJ10" t="s" s="0">
        <v>376</v>
      </c>
      <c r="BK10" t="s" s="17">
        <f>HYPERLINK("http://dx.doi.org/10.1038/s41586-025-08869-4","http://dx.doi.org/10.1038/s41586-025-08869-4")</f>
        <v>377</v>
      </c>
      <c r="BL10" t="s" s="0">
        <v>82</v>
      </c>
      <c r="BM10" t="s" s="0">
        <v>378</v>
      </c>
      <c r="BN10" t="s" s="0">
        <v>379</v>
      </c>
      <c r="BO10" t="s" s="0">
        <v>380</v>
      </c>
      <c r="BP10" t="s" s="0">
        <v>381</v>
      </c>
      <c r="BQ10" t="s" s="0">
        <v>382</v>
      </c>
      <c r="BR10" t="s" s="0">
        <v>383</v>
      </c>
      <c r="BS10" t="s" s="0">
        <v>384</v>
      </c>
      <c r="BT10" t="s" s="18">
        <f>HYPERLINK("https://www.webofscience.com/wos/woscc/full-record/WOS:001463961800001","View Record in Web of Science")</f>
        <v>118</v>
      </c>
      <c r="BU10" t="s" s="0">
        <v>152</v>
      </c>
      <c r="BV10" t="s" s="0">
        <v>385</v>
      </c>
      <c r="BW10" t="s" s="0">
        <v>350</v>
      </c>
      <c r="BX10" t="s" s="0">
        <v>119</v>
      </c>
    </row>
    <row r="11">
      <c r="A11" t="s" s="0">
        <v>98</v>
      </c>
      <c r="B11" t="s" s="0">
        <v>77</v>
      </c>
      <c r="C11" t="s" s="0">
        <v>238</v>
      </c>
      <c r="D11" t="s" s="0">
        <v>77</v>
      </c>
      <c r="E11" t="s" s="0">
        <v>386</v>
      </c>
      <c r="F11" t="s" s="0">
        <v>387</v>
      </c>
      <c r="G11" t="s" s="0">
        <v>388</v>
      </c>
      <c r="H11" t="s" s="0">
        <v>82</v>
      </c>
      <c r="I11" t="s" s="0">
        <v>83</v>
      </c>
      <c r="J11" t="s" s="0">
        <v>389</v>
      </c>
      <c r="K11" t="s" s="0">
        <v>390</v>
      </c>
      <c r="L11" t="s" s="0">
        <v>391</v>
      </c>
      <c r="M11" t="s" s="0">
        <v>392</v>
      </c>
      <c r="N11" t="s" s="0">
        <v>393</v>
      </c>
      <c r="O11" t="s" s="0">
        <v>394</v>
      </c>
      <c r="P11" t="s" s="0">
        <v>395</v>
      </c>
      <c r="Q11" t="s" s="0">
        <v>88</v>
      </c>
      <c r="R11" t="s" s="0">
        <v>82</v>
      </c>
      <c r="S11" t="s" s="0">
        <v>82</v>
      </c>
      <c r="T11" t="s" s="0">
        <v>82</v>
      </c>
      <c r="U11" t="s" s="0">
        <v>82</v>
      </c>
      <c r="V11" t="s" s="0">
        <v>396</v>
      </c>
      <c r="W11" t="s" s="0">
        <v>261</v>
      </c>
      <c r="X11" t="s" s="0">
        <v>82</v>
      </c>
      <c r="Y11" t="s" s="0">
        <v>82</v>
      </c>
      <c r="Z11" t="s" s="0">
        <v>91</v>
      </c>
      <c r="AA11" t="s" s="0">
        <v>92</v>
      </c>
      <c r="AB11" t="s" s="0">
        <v>82</v>
      </c>
      <c r="AC11" t="s" s="0">
        <v>82</v>
      </c>
      <c r="AD11" t="s" s="0">
        <v>82</v>
      </c>
      <c r="AE11" t="s" s="0">
        <v>82</v>
      </c>
      <c r="AF11" t="s" s="0">
        <v>82</v>
      </c>
      <c r="AG11" t="s" s="0">
        <v>82</v>
      </c>
      <c r="AH11" t="s" s="0">
        <v>82</v>
      </c>
      <c r="AI11" t="s" s="0">
        <v>82</v>
      </c>
      <c r="AJ11" t="s" s="0">
        <v>397</v>
      </c>
      <c r="AK11" t="s" s="0">
        <v>82</v>
      </c>
      <c r="AL11" t="s" s="0">
        <v>208</v>
      </c>
      <c r="AM11" t="s" s="0">
        <v>398</v>
      </c>
      <c r="AN11" t="s" s="0">
        <v>399</v>
      </c>
      <c r="AO11" t="s" s="0">
        <v>272</v>
      </c>
      <c r="AP11" t="s" s="0">
        <v>400</v>
      </c>
      <c r="AQ11" t="s" s="0">
        <v>265</v>
      </c>
      <c r="AR11" t="s" s="0">
        <v>266</v>
      </c>
      <c r="AS11" t="s" s="0">
        <v>267</v>
      </c>
      <c r="AT11" t="s" s="0">
        <v>268</v>
      </c>
      <c r="AU11" t="s" s="0">
        <v>82</v>
      </c>
      <c r="AV11" t="s" s="0">
        <v>82</v>
      </c>
      <c r="AW11" t="s" s="0">
        <v>269</v>
      </c>
      <c r="AX11" t="s" s="0">
        <v>270</v>
      </c>
      <c r="AY11" t="s" s="0">
        <v>401</v>
      </c>
      <c r="AZ11" t="s" s="0">
        <v>341</v>
      </c>
      <c r="BA11" t="s" s="0">
        <v>98</v>
      </c>
      <c r="BB11" t="s" s="0">
        <v>229</v>
      </c>
      <c r="BC11" t="s" s="0">
        <v>82</v>
      </c>
      <c r="BD11" t="s" s="0">
        <v>82</v>
      </c>
      <c r="BE11" t="s" s="0">
        <v>82</v>
      </c>
      <c r="BF11" t="s" s="0">
        <v>82</v>
      </c>
      <c r="BG11" t="s" s="0">
        <v>82</v>
      </c>
      <c r="BH11" t="s" s="0">
        <v>82</v>
      </c>
      <c r="BI11" t="s" s="0">
        <v>212</v>
      </c>
      <c r="BJ11" t="s" s="0">
        <v>402</v>
      </c>
      <c r="BK11" t="s" s="19">
        <f>HYPERLINK("http://dx.doi.org/10.1038/s41746-024-01010-1","http://dx.doi.org/10.1038/s41746-024-01010-1")</f>
        <v>403</v>
      </c>
      <c r="BL11" t="s" s="0">
        <v>82</v>
      </c>
      <c r="BM11" t="s" s="0">
        <v>82</v>
      </c>
      <c r="BN11" t="s" s="0">
        <v>98</v>
      </c>
      <c r="BO11" t="s" s="0">
        <v>213</v>
      </c>
      <c r="BP11" t="s" s="0">
        <v>213</v>
      </c>
      <c r="BQ11" t="s" s="0">
        <v>404</v>
      </c>
      <c r="BR11" t="s" s="0">
        <v>405</v>
      </c>
      <c r="BS11" t="s" s="0">
        <v>406</v>
      </c>
      <c r="BT11" t="s" s="20">
        <f>HYPERLINK("https://www.webofscience.com/wos/woscc/full-record/WOS:001148298600001","View Record in Web of Science")</f>
        <v>118</v>
      </c>
      <c r="BU11" t="s" s="0">
        <v>187</v>
      </c>
      <c r="BV11" t="s" s="0">
        <v>385</v>
      </c>
      <c r="BW11" t="s" s="0">
        <v>350</v>
      </c>
      <c r="BX11" t="s" s="0">
        <v>119</v>
      </c>
    </row>
    <row r="12">
      <c r="A12" t="s" s="0">
        <v>77</v>
      </c>
      <c r="B12" t="s" s="0">
        <v>77</v>
      </c>
      <c r="C12" t="s" s="0">
        <v>77</v>
      </c>
      <c r="D12" t="s" s="0">
        <v>77</v>
      </c>
      <c r="E12" t="s" s="0">
        <v>407</v>
      </c>
      <c r="F12" t="s" s="0">
        <v>408</v>
      </c>
      <c r="G12" t="s" s="0">
        <v>409</v>
      </c>
      <c r="H12" t="s" s="0">
        <v>82</v>
      </c>
      <c r="I12" t="s" s="0">
        <v>83</v>
      </c>
      <c r="J12" t="s" s="0">
        <v>410</v>
      </c>
      <c r="K12" t="s" s="0">
        <v>411</v>
      </c>
      <c r="L12" t="s" s="0">
        <v>412</v>
      </c>
      <c r="M12" t="s" s="0">
        <v>413</v>
      </c>
      <c r="N12" t="s" s="0">
        <v>414</v>
      </c>
      <c r="O12" t="s" s="0">
        <v>415</v>
      </c>
      <c r="P12" t="s" s="0">
        <v>416</v>
      </c>
      <c r="Q12" t="s" s="0">
        <v>88</v>
      </c>
      <c r="R12" t="s" s="0">
        <v>82</v>
      </c>
      <c r="S12" t="s" s="0">
        <v>82</v>
      </c>
      <c r="T12" t="s" s="0">
        <v>82</v>
      </c>
      <c r="U12" t="s" s="0">
        <v>82</v>
      </c>
      <c r="V12" t="s" s="0">
        <v>417</v>
      </c>
      <c r="W12" t="s" s="0">
        <v>261</v>
      </c>
      <c r="X12" t="s" s="0">
        <v>82</v>
      </c>
      <c r="Y12" t="s" s="0">
        <v>82</v>
      </c>
      <c r="Z12" t="s" s="0">
        <v>91</v>
      </c>
      <c r="AA12" t="s" s="0">
        <v>92</v>
      </c>
      <c r="AB12" t="s" s="0">
        <v>82</v>
      </c>
      <c r="AC12" t="s" s="0">
        <v>82</v>
      </c>
      <c r="AD12" t="s" s="0">
        <v>82</v>
      </c>
      <c r="AE12" t="s" s="0">
        <v>82</v>
      </c>
      <c r="AF12" t="s" s="0">
        <v>82</v>
      </c>
      <c r="AG12" t="s" s="0">
        <v>82</v>
      </c>
      <c r="AH12" t="s" s="0">
        <v>418</v>
      </c>
      <c r="AI12" t="s" s="0">
        <v>419</v>
      </c>
      <c r="AJ12" t="s" s="0">
        <v>82</v>
      </c>
      <c r="AK12" t="s" s="0">
        <v>82</v>
      </c>
      <c r="AL12" t="s" s="0">
        <v>420</v>
      </c>
      <c r="AM12" t="s" s="0">
        <v>229</v>
      </c>
      <c r="AN12" t="s" s="0">
        <v>78</v>
      </c>
      <c r="AO12" t="s" s="0">
        <v>78</v>
      </c>
      <c r="AP12" t="s" s="0">
        <v>78</v>
      </c>
      <c r="AQ12" t="s" s="0">
        <v>265</v>
      </c>
      <c r="AR12" t="s" s="0">
        <v>266</v>
      </c>
      <c r="AS12" t="s" s="0">
        <v>267</v>
      </c>
      <c r="AT12" t="s" s="0">
        <v>268</v>
      </c>
      <c r="AU12" t="s" s="0">
        <v>82</v>
      </c>
      <c r="AV12" t="s" s="0">
        <v>82</v>
      </c>
      <c r="AW12" t="s" s="0">
        <v>269</v>
      </c>
      <c r="AX12" t="s" s="0">
        <v>270</v>
      </c>
      <c r="AY12" t="s" s="0">
        <v>421</v>
      </c>
      <c r="AZ12" t="s" s="0">
        <v>141</v>
      </c>
      <c r="BA12" t="s" s="0">
        <v>272</v>
      </c>
      <c r="BB12" t="s" s="0">
        <v>229</v>
      </c>
      <c r="BC12" t="s" s="0">
        <v>82</v>
      </c>
      <c r="BD12" t="s" s="0">
        <v>82</v>
      </c>
      <c r="BE12" t="s" s="0">
        <v>82</v>
      </c>
      <c r="BF12" t="s" s="0">
        <v>82</v>
      </c>
      <c r="BG12" t="s" s="0">
        <v>82</v>
      </c>
      <c r="BH12" t="s" s="0">
        <v>82</v>
      </c>
      <c r="BI12" t="s" s="0">
        <v>422</v>
      </c>
      <c r="BJ12" t="s" s="0">
        <v>423</v>
      </c>
      <c r="BK12" t="s" s="21">
        <f>HYPERLINK("http://dx.doi.org/10.1038/s41746-026-02619-0","http://dx.doi.org/10.1038/s41746-026-02619-0")</f>
        <v>424</v>
      </c>
      <c r="BL12" t="s" s="0">
        <v>82</v>
      </c>
      <c r="BM12" t="s" s="0">
        <v>276</v>
      </c>
      <c r="BN12" t="s" s="0">
        <v>425</v>
      </c>
      <c r="BO12" t="s" s="0">
        <v>213</v>
      </c>
      <c r="BP12" t="s" s="0">
        <v>213</v>
      </c>
      <c r="BQ12" t="s" s="0">
        <v>426</v>
      </c>
      <c r="BR12" t="s" s="0">
        <v>427</v>
      </c>
      <c r="BS12" t="s" s="0">
        <v>428</v>
      </c>
      <c r="BT12" t="s" s="22">
        <f>HYPERLINK("https://www.webofscience.com/wos/woscc/full-record/WOS:001747014300001","View Record in Web of Science")</f>
        <v>118</v>
      </c>
      <c r="BU12" t="s" s="0">
        <v>187</v>
      </c>
      <c r="BV12" t="s" s="0">
        <v>82</v>
      </c>
      <c r="BW12" t="s" s="0">
        <v>82</v>
      </c>
      <c r="BX12" t="s" s="0">
        <v>119</v>
      </c>
    </row>
    <row r="13">
      <c r="A13" t="s" s="0">
        <v>77</v>
      </c>
      <c r="B13" t="s" s="0">
        <v>77</v>
      </c>
      <c r="C13" t="s" s="0">
        <v>77</v>
      </c>
      <c r="D13" t="s" s="0">
        <v>77</v>
      </c>
      <c r="E13" t="s" s="0">
        <v>429</v>
      </c>
      <c r="F13" t="s" s="0">
        <v>430</v>
      </c>
      <c r="G13" t="s" s="0">
        <v>431</v>
      </c>
      <c r="H13" t="s" s="0">
        <v>82</v>
      </c>
      <c r="I13" t="s" s="0">
        <v>83</v>
      </c>
      <c r="J13" t="s" s="0">
        <v>432</v>
      </c>
      <c r="K13" t="s" s="0">
        <v>433</v>
      </c>
      <c r="L13" t="s" s="0">
        <v>434</v>
      </c>
      <c r="M13" t="s" s="0">
        <v>435</v>
      </c>
      <c r="N13" t="s" s="0">
        <v>436</v>
      </c>
      <c r="O13" t="s" s="0">
        <v>437</v>
      </c>
      <c r="P13" t="s" s="0">
        <v>438</v>
      </c>
      <c r="Q13" t="s" s="0">
        <v>88</v>
      </c>
      <c r="R13" t="s" s="0">
        <v>82</v>
      </c>
      <c r="S13" t="s" s="0">
        <v>82</v>
      </c>
      <c r="T13" t="s" s="0">
        <v>82</v>
      </c>
      <c r="U13" t="s" s="0">
        <v>82</v>
      </c>
      <c r="V13" t="s" s="0">
        <v>439</v>
      </c>
      <c r="W13" t="s" s="0">
        <v>440</v>
      </c>
      <c r="X13" t="s" s="0">
        <v>82</v>
      </c>
      <c r="Y13" t="s" s="0">
        <v>82</v>
      </c>
      <c r="Z13" t="s" s="0">
        <v>91</v>
      </c>
      <c r="AA13" t="s" s="0">
        <v>92</v>
      </c>
      <c r="AB13" t="s" s="0">
        <v>82</v>
      </c>
      <c r="AC13" t="s" s="0">
        <v>82</v>
      </c>
      <c r="AD13" t="s" s="0">
        <v>82</v>
      </c>
      <c r="AE13" t="s" s="0">
        <v>82</v>
      </c>
      <c r="AF13" t="s" s="0">
        <v>82</v>
      </c>
      <c r="AG13" t="s" s="0">
        <v>441</v>
      </c>
      <c r="AH13" t="s" s="0">
        <v>82</v>
      </c>
      <c r="AI13" t="s" s="0">
        <v>442</v>
      </c>
      <c r="AJ13" t="s" s="0">
        <v>443</v>
      </c>
      <c r="AK13" t="s" s="0">
        <v>82</v>
      </c>
      <c r="AL13" t="s" s="0">
        <v>177</v>
      </c>
      <c r="AM13" t="s" s="0">
        <v>264</v>
      </c>
      <c r="AN13" t="s" s="0">
        <v>169</v>
      </c>
      <c r="AO13" t="s" s="0">
        <v>98</v>
      </c>
      <c r="AP13" t="s" s="0">
        <v>294</v>
      </c>
      <c r="AQ13" t="s" s="0">
        <v>444</v>
      </c>
      <c r="AR13" t="s" s="0">
        <v>445</v>
      </c>
      <c r="AS13" t="s" s="0">
        <v>446</v>
      </c>
      <c r="AT13" t="s" s="0">
        <v>447</v>
      </c>
      <c r="AU13" t="s" s="0">
        <v>448</v>
      </c>
      <c r="AV13" t="s" s="0">
        <v>82</v>
      </c>
      <c r="AW13" t="s" s="0">
        <v>449</v>
      </c>
      <c r="AX13" t="s" s="0">
        <v>450</v>
      </c>
      <c r="AY13" t="s" s="0">
        <v>451</v>
      </c>
      <c r="AZ13" t="s" s="0">
        <v>107</v>
      </c>
      <c r="BA13" t="s" s="0">
        <v>452</v>
      </c>
      <c r="BB13" t="s" s="0">
        <v>452</v>
      </c>
      <c r="BC13" t="s" s="0">
        <v>82</v>
      </c>
      <c r="BD13" t="s" s="0">
        <v>82</v>
      </c>
      <c r="BE13" t="s" s="0">
        <v>82</v>
      </c>
      <c r="BF13" t="s" s="0">
        <v>82</v>
      </c>
      <c r="BG13" t="s" s="0">
        <v>82</v>
      </c>
      <c r="BH13" t="s" s="0">
        <v>82</v>
      </c>
      <c r="BI13" t="s" s="0">
        <v>453</v>
      </c>
      <c r="BJ13" t="s" s="0">
        <v>454</v>
      </c>
      <c r="BK13" t="s" s="23">
        <f>HYPERLINK("http://dx.doi.org/10.3748/wjg.v31.i31.109948","http://dx.doi.org/10.3748/wjg.v31.i31.109948")</f>
        <v>455</v>
      </c>
      <c r="BL13" t="s" s="0">
        <v>82</v>
      </c>
      <c r="BM13" t="s" s="0">
        <v>82</v>
      </c>
      <c r="BN13" t="s" s="0">
        <v>342</v>
      </c>
      <c r="BO13" t="s" s="0">
        <v>456</v>
      </c>
      <c r="BP13" t="s" s="0">
        <v>456</v>
      </c>
      <c r="BQ13" t="s" s="0">
        <v>457</v>
      </c>
      <c r="BR13" t="s" s="0">
        <v>458</v>
      </c>
      <c r="BS13" t="s" s="0">
        <v>459</v>
      </c>
      <c r="BT13" t="s" s="24">
        <f>HYPERLINK("https://www.webofscience.com/wos/woscc/full-record/WOS:001558890600007","View Record in Web of Science")</f>
        <v>118</v>
      </c>
      <c r="BU13" t="s" s="0">
        <v>460</v>
      </c>
      <c r="BV13" t="s" s="0">
        <v>82</v>
      </c>
      <c r="BW13" t="s" s="0">
        <v>82</v>
      </c>
      <c r="BX13" t="s" s="0">
        <v>119</v>
      </c>
    </row>
    <row r="14">
      <c r="A14" t="s" s="0">
        <v>77</v>
      </c>
      <c r="B14" t="s" s="0">
        <v>77</v>
      </c>
      <c r="C14" t="s" s="0">
        <v>77</v>
      </c>
      <c r="D14" t="s" s="0">
        <v>77</v>
      </c>
      <c r="E14" t="s" s="0">
        <v>461</v>
      </c>
      <c r="F14" t="s" s="0">
        <v>462</v>
      </c>
      <c r="G14" t="s" s="0">
        <v>463</v>
      </c>
      <c r="H14" t="s" s="0">
        <v>82</v>
      </c>
      <c r="I14" t="s" s="0">
        <v>83</v>
      </c>
      <c r="J14" t="s" s="0">
        <v>82</v>
      </c>
      <c r="K14" t="s" s="0">
        <v>464</v>
      </c>
      <c r="L14" t="s" s="0">
        <v>465</v>
      </c>
      <c r="M14" t="s" s="0">
        <v>466</v>
      </c>
      <c r="N14" t="s" s="0">
        <v>467</v>
      </c>
      <c r="O14" t="s" s="0">
        <v>468</v>
      </c>
      <c r="P14" t="s" s="0">
        <v>469</v>
      </c>
      <c r="Q14" t="s" s="0">
        <v>88</v>
      </c>
      <c r="R14" t="s" s="0">
        <v>82</v>
      </c>
      <c r="S14" t="s" s="0">
        <v>82</v>
      </c>
      <c r="T14" t="s" s="0">
        <v>82</v>
      </c>
      <c r="U14" t="s" s="0">
        <v>82</v>
      </c>
      <c r="V14" t="s" s="0">
        <v>470</v>
      </c>
      <c r="W14" t="s" s="0">
        <v>471</v>
      </c>
      <c r="X14" t="s" s="0">
        <v>82</v>
      </c>
      <c r="Y14" t="s" s="0">
        <v>82</v>
      </c>
      <c r="Z14" t="s" s="0">
        <v>91</v>
      </c>
      <c r="AA14" t="s" s="0">
        <v>92</v>
      </c>
      <c r="AB14" t="s" s="0">
        <v>82</v>
      </c>
      <c r="AC14" t="s" s="0">
        <v>82</v>
      </c>
      <c r="AD14" t="s" s="0">
        <v>82</v>
      </c>
      <c r="AE14" t="s" s="0">
        <v>82</v>
      </c>
      <c r="AF14" t="s" s="0">
        <v>82</v>
      </c>
      <c r="AG14" t="s" s="0">
        <v>472</v>
      </c>
      <c r="AH14" t="s" s="0">
        <v>473</v>
      </c>
      <c r="AI14" t="s" s="0">
        <v>474</v>
      </c>
      <c r="AJ14" t="s" s="0">
        <v>475</v>
      </c>
      <c r="AK14" t="s" s="0">
        <v>82</v>
      </c>
      <c r="AL14" t="s" s="0">
        <v>476</v>
      </c>
      <c r="AM14" t="s" s="0">
        <v>264</v>
      </c>
      <c r="AN14" t="s" s="0">
        <v>264</v>
      </c>
      <c r="AO14" t="s" s="0">
        <v>78</v>
      </c>
      <c r="AP14" t="s" s="0">
        <v>294</v>
      </c>
      <c r="AQ14" t="s" s="0">
        <v>477</v>
      </c>
      <c r="AR14" t="s" s="0">
        <v>478</v>
      </c>
      <c r="AS14" t="s" s="0">
        <v>479</v>
      </c>
      <c r="AT14" t="s" s="0">
        <v>480</v>
      </c>
      <c r="AU14" t="s" s="0">
        <v>481</v>
      </c>
      <c r="AV14" t="s" s="0">
        <v>82</v>
      </c>
      <c r="AW14" t="s" s="0">
        <v>482</v>
      </c>
      <c r="AX14" t="s" s="0">
        <v>483</v>
      </c>
      <c r="AY14" t="s" s="0">
        <v>484</v>
      </c>
      <c r="AZ14" t="s" s="0">
        <v>107</v>
      </c>
      <c r="BA14" t="s" s="0">
        <v>485</v>
      </c>
      <c r="BB14" t="s" s="0">
        <v>272</v>
      </c>
      <c r="BC14" t="s" s="0">
        <v>82</v>
      </c>
      <c r="BD14" t="s" s="0">
        <v>82</v>
      </c>
      <c r="BE14" t="s" s="0">
        <v>82</v>
      </c>
      <c r="BF14" t="s" s="0">
        <v>82</v>
      </c>
      <c r="BG14" t="s" s="0">
        <v>82</v>
      </c>
      <c r="BH14" t="s" s="0">
        <v>82</v>
      </c>
      <c r="BI14" t="s" s="0">
        <v>486</v>
      </c>
      <c r="BJ14" t="s" s="0">
        <v>487</v>
      </c>
      <c r="BK14" t="s" s="25">
        <f>HYPERLINK("http://dx.doi.org/10.1088/1361-6560/adcb17","http://dx.doi.org/10.1088/1361-6560/adcb17")</f>
        <v>488</v>
      </c>
      <c r="BL14" t="s" s="0">
        <v>82</v>
      </c>
      <c r="BM14" t="s" s="0">
        <v>82</v>
      </c>
      <c r="BN14" t="s" s="0">
        <v>181</v>
      </c>
      <c r="BO14" t="s" s="0">
        <v>489</v>
      </c>
      <c r="BP14" t="s" s="0">
        <v>490</v>
      </c>
      <c r="BQ14" t="s" s="0">
        <v>491</v>
      </c>
      <c r="BR14" t="s" s="0">
        <v>492</v>
      </c>
      <c r="BS14" t="s" s="0">
        <v>493</v>
      </c>
      <c r="BT14" t="s" s="26">
        <f>HYPERLINK("https://www.webofscience.com/wos/woscc/full-record/WOS:001480266600001","View Record in Web of Science")</f>
        <v>118</v>
      </c>
      <c r="BU14" t="s" s="0">
        <v>82</v>
      </c>
      <c r="BV14" t="s" s="0">
        <v>82</v>
      </c>
      <c r="BW14" t="s" s="0">
        <v>82</v>
      </c>
      <c r="BX14" t="s" s="0">
        <v>119</v>
      </c>
    </row>
    <row r="15">
      <c r="A15" t="s" s="0">
        <v>77</v>
      </c>
      <c r="B15" t="s" s="0">
        <v>77</v>
      </c>
      <c r="C15" t="s" s="0">
        <v>77</v>
      </c>
      <c r="D15" t="s" s="0">
        <v>77</v>
      </c>
      <c r="E15" t="s" s="0">
        <v>494</v>
      </c>
      <c r="F15" t="s" s="0">
        <v>495</v>
      </c>
      <c r="G15" t="s" s="0">
        <v>496</v>
      </c>
      <c r="H15" t="s" s="0">
        <v>82</v>
      </c>
      <c r="I15" t="s" s="0">
        <v>83</v>
      </c>
      <c r="J15" t="s" s="0">
        <v>497</v>
      </c>
      <c r="K15" t="s" s="0">
        <v>498</v>
      </c>
      <c r="L15" t="s" s="0">
        <v>499</v>
      </c>
      <c r="M15" t="s" s="0">
        <v>500</v>
      </c>
      <c r="N15" t="s" s="0">
        <v>501</v>
      </c>
      <c r="O15" t="s" s="0">
        <v>502</v>
      </c>
      <c r="P15" t="s" s="0">
        <v>503</v>
      </c>
      <c r="Q15" t="s" s="0">
        <v>88</v>
      </c>
      <c r="R15" t="s" s="0">
        <v>82</v>
      </c>
      <c r="S15" t="s" s="0">
        <v>82</v>
      </c>
      <c r="T15" t="s" s="0">
        <v>82</v>
      </c>
      <c r="U15" t="s" s="0">
        <v>82</v>
      </c>
      <c r="V15" t="s" s="0">
        <v>504</v>
      </c>
      <c r="W15" t="s" s="0">
        <v>196</v>
      </c>
      <c r="X15" t="s" s="0">
        <v>82</v>
      </c>
      <c r="Y15" t="s" s="0">
        <v>82</v>
      </c>
      <c r="Z15" t="s" s="0">
        <v>91</v>
      </c>
      <c r="AA15" t="s" s="0">
        <v>92</v>
      </c>
      <c r="AB15" t="s" s="0">
        <v>82</v>
      </c>
      <c r="AC15" t="s" s="0">
        <v>82</v>
      </c>
      <c r="AD15" t="s" s="0">
        <v>82</v>
      </c>
      <c r="AE15" t="s" s="0">
        <v>82</v>
      </c>
      <c r="AF15" t="s" s="0">
        <v>82</v>
      </c>
      <c r="AG15" t="s" s="0">
        <v>505</v>
      </c>
      <c r="AH15" t="s" s="0">
        <v>82</v>
      </c>
      <c r="AI15" t="s" s="0">
        <v>506</v>
      </c>
      <c r="AJ15" t="s" s="0">
        <v>507</v>
      </c>
      <c r="AK15" t="s" s="0">
        <v>82</v>
      </c>
      <c r="AL15" t="s" s="0">
        <v>508</v>
      </c>
      <c r="AM15" t="s" s="0">
        <v>169</v>
      </c>
      <c r="AN15" t="s" s="0">
        <v>308</v>
      </c>
      <c r="AO15" t="s" s="0">
        <v>264</v>
      </c>
      <c r="AP15" t="s" s="0">
        <v>425</v>
      </c>
      <c r="AQ15" t="s" s="0">
        <v>200</v>
      </c>
      <c r="AR15" t="s" s="0">
        <v>201</v>
      </c>
      <c r="AS15" t="s" s="0">
        <v>202</v>
      </c>
      <c r="AT15" t="s" s="0">
        <v>203</v>
      </c>
      <c r="AU15" t="s" s="0">
        <v>204</v>
      </c>
      <c r="AV15" t="s" s="0">
        <v>82</v>
      </c>
      <c r="AW15" t="s" s="0">
        <v>205</v>
      </c>
      <c r="AX15" t="s" s="0">
        <v>206</v>
      </c>
      <c r="AY15" t="s" s="0">
        <v>509</v>
      </c>
      <c r="AZ15" t="s" s="0">
        <v>107</v>
      </c>
      <c r="BA15" t="s" s="0">
        <v>510</v>
      </c>
      <c r="BB15" t="s" s="0">
        <v>82</v>
      </c>
      <c r="BC15" t="s" s="0">
        <v>82</v>
      </c>
      <c r="BD15" t="s" s="0">
        <v>82</v>
      </c>
      <c r="BE15" t="s" s="0">
        <v>82</v>
      </c>
      <c r="BF15" t="s" s="0">
        <v>82</v>
      </c>
      <c r="BG15" t="s" s="0">
        <v>82</v>
      </c>
      <c r="BH15" t="s" s="0">
        <v>82</v>
      </c>
      <c r="BI15" t="s" s="0">
        <v>511</v>
      </c>
      <c r="BJ15" t="s" s="0">
        <v>512</v>
      </c>
      <c r="BK15" t="s" s="27">
        <f>HYPERLINK("http://dx.doi.org/10.2196/77334","http://dx.doi.org/10.2196/77334")</f>
        <v>513</v>
      </c>
      <c r="BL15" t="s" s="0">
        <v>82</v>
      </c>
      <c r="BM15" t="s" s="0">
        <v>82</v>
      </c>
      <c r="BN15" t="s" s="0">
        <v>132</v>
      </c>
      <c r="BO15" t="s" s="0">
        <v>213</v>
      </c>
      <c r="BP15" t="s" s="0">
        <v>213</v>
      </c>
      <c r="BQ15" t="s" s="0">
        <v>514</v>
      </c>
      <c r="BR15" t="s" s="0">
        <v>515</v>
      </c>
      <c r="BS15" t="s" s="0">
        <v>516</v>
      </c>
      <c r="BT15" t="s" s="28">
        <f>HYPERLINK("https://www.webofscience.com/wos/woscc/full-record/WOS:001609266600003","View Record in Web of Science")</f>
        <v>118</v>
      </c>
      <c r="BU15" t="s" s="0">
        <v>187</v>
      </c>
      <c r="BV15" t="s" s="0">
        <v>82</v>
      </c>
      <c r="BW15" t="s" s="0">
        <v>82</v>
      </c>
      <c r="BX15" t="s" s="0">
        <v>119</v>
      </c>
    </row>
    <row r="16">
      <c r="A16" t="s" s="0">
        <v>77</v>
      </c>
      <c r="B16" t="s" s="0">
        <v>77</v>
      </c>
      <c r="C16" t="s" s="0">
        <v>77</v>
      </c>
      <c r="D16" t="s" s="0">
        <v>77</v>
      </c>
      <c r="E16" t="s" s="0">
        <v>517</v>
      </c>
      <c r="F16" t="s" s="0">
        <v>518</v>
      </c>
      <c r="G16" t="s" s="0">
        <v>519</v>
      </c>
      <c r="H16" t="s" s="0">
        <v>82</v>
      </c>
      <c r="I16" t="s" s="0">
        <v>83</v>
      </c>
      <c r="J16" t="s" s="0">
        <v>520</v>
      </c>
      <c r="K16" t="s" s="0">
        <v>521</v>
      </c>
      <c r="L16" t="s" s="0">
        <v>82</v>
      </c>
      <c r="M16" t="s" s="0">
        <v>82</v>
      </c>
      <c r="N16" t="s" s="0">
        <v>82</v>
      </c>
      <c r="O16" t="s" s="0">
        <v>522</v>
      </c>
      <c r="P16" t="s" s="0">
        <v>523</v>
      </c>
      <c r="Q16" t="s" s="0">
        <v>88</v>
      </c>
      <c r="R16" t="s" s="0">
        <v>82</v>
      </c>
      <c r="S16" t="s" s="0">
        <v>82</v>
      </c>
      <c r="T16" t="s" s="0">
        <v>82</v>
      </c>
      <c r="U16" t="s" s="0">
        <v>82</v>
      </c>
      <c r="V16" t="s" s="0">
        <v>524</v>
      </c>
      <c r="W16" t="s" s="0">
        <v>525</v>
      </c>
      <c r="X16" t="s" s="0">
        <v>82</v>
      </c>
      <c r="Y16" t="s" s="0">
        <v>82</v>
      </c>
      <c r="Z16" t="s" s="0">
        <v>91</v>
      </c>
      <c r="AA16" t="s" s="0">
        <v>526</v>
      </c>
      <c r="AB16" t="s" s="0">
        <v>82</v>
      </c>
      <c r="AC16" t="s" s="0">
        <v>82</v>
      </c>
      <c r="AD16" t="s" s="0">
        <v>82</v>
      </c>
      <c r="AE16" t="s" s="0">
        <v>82</v>
      </c>
      <c r="AF16" t="s" s="0">
        <v>82</v>
      </c>
      <c r="AG16" t="s" s="0">
        <v>82</v>
      </c>
      <c r="AH16" t="s" s="0">
        <v>527</v>
      </c>
      <c r="AI16" t="s" s="0">
        <v>82</v>
      </c>
      <c r="AJ16" t="s" s="0">
        <v>82</v>
      </c>
      <c r="AK16" t="s" s="0">
        <v>82</v>
      </c>
      <c r="AL16" t="s" s="0">
        <v>176</v>
      </c>
      <c r="AM16" t="s" s="0">
        <v>77</v>
      </c>
      <c r="AN16" t="s" s="0">
        <v>77</v>
      </c>
      <c r="AO16" t="s" s="0">
        <v>77</v>
      </c>
      <c r="AP16" t="s" s="0">
        <v>77</v>
      </c>
      <c r="AQ16" t="s" s="0">
        <v>133</v>
      </c>
      <c r="AR16" t="s" s="0">
        <v>134</v>
      </c>
      <c r="AS16" t="s" s="0">
        <v>135</v>
      </c>
      <c r="AT16" t="s" s="0">
        <v>528</v>
      </c>
      <c r="AU16" t="s" s="0">
        <v>529</v>
      </c>
      <c r="AV16" t="s" s="0">
        <v>82</v>
      </c>
      <c r="AW16" t="s" s="0">
        <v>530</v>
      </c>
      <c r="AX16" t="s" s="0">
        <v>531</v>
      </c>
      <c r="AY16" t="s" s="0">
        <v>82</v>
      </c>
      <c r="AZ16" t="s" s="0">
        <v>141</v>
      </c>
      <c r="BA16" t="s" s="0">
        <v>82</v>
      </c>
      <c r="BB16" t="s" s="0">
        <v>82</v>
      </c>
      <c r="BC16" t="s" s="0">
        <v>82</v>
      </c>
      <c r="BD16" t="s" s="0">
        <v>82</v>
      </c>
      <c r="BE16" t="s" s="0">
        <v>82</v>
      </c>
      <c r="BF16" t="s" s="0">
        <v>82</v>
      </c>
      <c r="BG16" t="s" s="0">
        <v>82</v>
      </c>
      <c r="BH16" t="s" s="0">
        <v>82</v>
      </c>
      <c r="BI16" t="s" s="0">
        <v>82</v>
      </c>
      <c r="BJ16" t="s" s="0">
        <v>532</v>
      </c>
      <c r="BK16" t="s" s="29">
        <f>HYPERLINK("http://dx.doi.org/10.1002/jhm.70390","http://dx.doi.org/10.1002/jhm.70390")</f>
        <v>533</v>
      </c>
      <c r="BL16" t="s" s="0">
        <v>82</v>
      </c>
      <c r="BM16" t="s" s="0">
        <v>534</v>
      </c>
      <c r="BN16" t="s" s="0">
        <v>169</v>
      </c>
      <c r="BO16" t="s" s="0">
        <v>182</v>
      </c>
      <c r="BP16" t="s" s="0">
        <v>183</v>
      </c>
      <c r="BQ16" t="s" s="0">
        <v>535</v>
      </c>
      <c r="BR16" t="s" s="0">
        <v>536</v>
      </c>
      <c r="BS16" t="s" s="0">
        <v>537</v>
      </c>
      <c r="BT16" t="s" s="30">
        <f>HYPERLINK("https://www.webofscience.com/wos/woscc/full-record/WOS:001810254100001","View Record in Web of Science")</f>
        <v>118</v>
      </c>
      <c r="BU16" t="s" s="0">
        <v>538</v>
      </c>
      <c r="BV16" t="s" s="0">
        <v>82</v>
      </c>
      <c r="BW16" t="s" s="0">
        <v>82</v>
      </c>
      <c r="BX16" t="s" s="0">
        <v>119</v>
      </c>
    </row>
    <row r="17">
      <c r="A17" t="s" s="0">
        <v>77</v>
      </c>
      <c r="B17" t="s" s="0">
        <v>77</v>
      </c>
      <c r="C17" t="s" s="0">
        <v>77</v>
      </c>
      <c r="D17" t="s" s="0">
        <v>77</v>
      </c>
      <c r="E17" t="s" s="0">
        <v>539</v>
      </c>
      <c r="F17" t="s" s="0">
        <v>540</v>
      </c>
      <c r="G17" t="s" s="0">
        <v>541</v>
      </c>
      <c r="H17" t="s" s="0">
        <v>82</v>
      </c>
      <c r="I17" t="s" s="0">
        <v>83</v>
      </c>
      <c r="J17" t="s" s="0">
        <v>542</v>
      </c>
      <c r="K17" t="s" s="0">
        <v>543</v>
      </c>
      <c r="L17" t="s" s="0">
        <v>82</v>
      </c>
      <c r="M17" t="s" s="0">
        <v>82</v>
      </c>
      <c r="N17" t="s" s="0">
        <v>82</v>
      </c>
      <c r="O17" t="s" s="0">
        <v>544</v>
      </c>
      <c r="P17" t="s" s="0">
        <v>545</v>
      </c>
      <c r="Q17" t="s" s="0">
        <v>88</v>
      </c>
      <c r="R17" t="s" s="0">
        <v>82</v>
      </c>
      <c r="S17" t="s" s="0">
        <v>82</v>
      </c>
      <c r="T17" t="s" s="0">
        <v>82</v>
      </c>
      <c r="U17" t="s" s="0">
        <v>82</v>
      </c>
      <c r="V17" t="s" s="0">
        <v>546</v>
      </c>
      <c r="W17" t="s" s="0">
        <v>547</v>
      </c>
      <c r="X17" t="s" s="0">
        <v>82</v>
      </c>
      <c r="Y17" t="s" s="0">
        <v>82</v>
      </c>
      <c r="Z17" t="s" s="0">
        <v>91</v>
      </c>
      <c r="AA17" t="s" s="0">
        <v>92</v>
      </c>
      <c r="AB17" t="s" s="0">
        <v>82</v>
      </c>
      <c r="AC17" t="s" s="0">
        <v>82</v>
      </c>
      <c r="AD17" t="s" s="0">
        <v>82</v>
      </c>
      <c r="AE17" t="s" s="0">
        <v>82</v>
      </c>
      <c r="AF17" t="s" s="0">
        <v>82</v>
      </c>
      <c r="AG17" t="s" s="0">
        <v>548</v>
      </c>
      <c r="AH17" t="s" s="0">
        <v>549</v>
      </c>
      <c r="AI17" t="s" s="0">
        <v>82</v>
      </c>
      <c r="AJ17" t="s" s="0">
        <v>82</v>
      </c>
      <c r="AK17" t="s" s="0">
        <v>82</v>
      </c>
      <c r="AL17" t="s" s="0">
        <v>208</v>
      </c>
      <c r="AM17" t="s" s="0">
        <v>78</v>
      </c>
      <c r="AN17" t="s" s="0">
        <v>78</v>
      </c>
      <c r="AO17" t="s" s="0">
        <v>229</v>
      </c>
      <c r="AP17" t="s" s="0">
        <v>229</v>
      </c>
      <c r="AQ17" t="s" s="0">
        <v>550</v>
      </c>
      <c r="AR17" t="s" s="0">
        <v>551</v>
      </c>
      <c r="AS17" t="s" s="0">
        <v>552</v>
      </c>
      <c r="AT17" t="s" s="0">
        <v>553</v>
      </c>
      <c r="AU17" t="s" s="0">
        <v>554</v>
      </c>
      <c r="AV17" t="s" s="0">
        <v>82</v>
      </c>
      <c r="AW17" t="s" s="0">
        <v>555</v>
      </c>
      <c r="AX17" t="s" s="0">
        <v>556</v>
      </c>
      <c r="AY17" t="s" s="0">
        <v>534</v>
      </c>
      <c r="AZ17" t="s" s="0">
        <v>141</v>
      </c>
      <c r="BA17" t="s" s="0">
        <v>557</v>
      </c>
      <c r="BB17" t="s" s="0">
        <v>98</v>
      </c>
      <c r="BC17" t="s" s="0">
        <v>82</v>
      </c>
      <c r="BD17" t="s" s="0">
        <v>82</v>
      </c>
      <c r="BE17" t="s" s="0">
        <v>82</v>
      </c>
      <c r="BF17" t="s" s="0">
        <v>82</v>
      </c>
      <c r="BG17" t="s" s="0">
        <v>558</v>
      </c>
      <c r="BH17" t="s" s="0">
        <v>559</v>
      </c>
      <c r="BI17" t="s" s="0">
        <v>82</v>
      </c>
      <c r="BJ17" t="s" s="0">
        <v>560</v>
      </c>
      <c r="BK17" t="s" s="31">
        <f>HYPERLINK("http://dx.doi.org/10.1007/s10554-026-03689-7","http://dx.doi.org/10.1007/s10554-026-03689-7")</f>
        <v>561</v>
      </c>
      <c r="BL17" t="s" s="0">
        <v>82</v>
      </c>
      <c r="BM17" t="s" s="0">
        <v>562</v>
      </c>
      <c r="BN17" t="s" s="0">
        <v>346</v>
      </c>
      <c r="BO17" t="s" s="0">
        <v>563</v>
      </c>
      <c r="BP17" t="s" s="0">
        <v>564</v>
      </c>
      <c r="BQ17" t="s" s="0">
        <v>565</v>
      </c>
      <c r="BR17" t="s" s="0">
        <v>566</v>
      </c>
      <c r="BS17" t="s" s="0">
        <v>567</v>
      </c>
      <c r="BT17" t="s" s="32">
        <f>HYPERLINK("https://www.webofscience.com/wos/woscc/full-record/WOS:001720585400001","View Record in Web of Science")</f>
        <v>118</v>
      </c>
      <c r="BU17" t="s" s="0">
        <v>82</v>
      </c>
      <c r="BV17" t="s" s="0">
        <v>82</v>
      </c>
      <c r="BW17" t="s" s="0">
        <v>82</v>
      </c>
      <c r="BX17" t="s" s="0">
        <v>119</v>
      </c>
    </row>
    <row r="18">
      <c r="A18" t="s" s="0">
        <v>77</v>
      </c>
      <c r="B18" t="s" s="0">
        <v>77</v>
      </c>
      <c r="C18" t="s" s="0">
        <v>77</v>
      </c>
      <c r="D18" t="s" s="0">
        <v>77</v>
      </c>
      <c r="E18" t="s" s="0">
        <v>568</v>
      </c>
      <c r="F18" t="s" s="0">
        <v>569</v>
      </c>
      <c r="G18" t="s" s="0">
        <v>570</v>
      </c>
      <c r="H18" t="s" s="0">
        <v>82</v>
      </c>
      <c r="I18" t="s" s="0">
        <v>83</v>
      </c>
      <c r="J18" t="s" s="0">
        <v>571</v>
      </c>
      <c r="K18" t="s" s="0">
        <v>572</v>
      </c>
      <c r="L18" t="s" s="0">
        <v>82</v>
      </c>
      <c r="M18" t="s" s="0">
        <v>82</v>
      </c>
      <c r="N18" t="s" s="0">
        <v>82</v>
      </c>
      <c r="O18" t="s" s="0">
        <v>573</v>
      </c>
      <c r="P18" t="s" s="0">
        <v>82</v>
      </c>
      <c r="Q18" t="s" s="0">
        <v>88</v>
      </c>
      <c r="R18" t="s" s="0">
        <v>82</v>
      </c>
      <c r="S18" t="s" s="0">
        <v>82</v>
      </c>
      <c r="T18" t="s" s="0">
        <v>82</v>
      </c>
      <c r="U18" t="s" s="0">
        <v>82</v>
      </c>
      <c r="V18" t="s" s="0">
        <v>574</v>
      </c>
      <c r="W18" t="s" s="0">
        <v>575</v>
      </c>
      <c r="X18" t="s" s="0">
        <v>82</v>
      </c>
      <c r="Y18" t="s" s="0">
        <v>82</v>
      </c>
      <c r="Z18" t="s" s="0">
        <v>91</v>
      </c>
      <c r="AA18" t="s" s="0">
        <v>92</v>
      </c>
      <c r="AB18" t="s" s="0">
        <v>82</v>
      </c>
      <c r="AC18" t="s" s="0">
        <v>82</v>
      </c>
      <c r="AD18" t="s" s="0">
        <v>82</v>
      </c>
      <c r="AE18" t="s" s="0">
        <v>82</v>
      </c>
      <c r="AF18" t="s" s="0">
        <v>82</v>
      </c>
      <c r="AG18" t="s" s="0">
        <v>576</v>
      </c>
      <c r="AH18" t="s" s="0">
        <v>577</v>
      </c>
      <c r="AI18" t="s" s="0">
        <v>82</v>
      </c>
      <c r="AJ18" t="s" s="0">
        <v>578</v>
      </c>
      <c r="AK18" t="s" s="0">
        <v>82</v>
      </c>
      <c r="AL18" t="s" s="0">
        <v>510</v>
      </c>
      <c r="AM18" t="s" s="0">
        <v>229</v>
      </c>
      <c r="AN18" t="s" s="0">
        <v>229</v>
      </c>
      <c r="AO18" t="s" s="0">
        <v>229</v>
      </c>
      <c r="AP18" t="s" s="0">
        <v>229</v>
      </c>
      <c r="AQ18" t="s" s="0">
        <v>133</v>
      </c>
      <c r="AR18" t="s" s="0">
        <v>134</v>
      </c>
      <c r="AS18" t="s" s="0">
        <v>135</v>
      </c>
      <c r="AT18" t="s" s="0">
        <v>579</v>
      </c>
      <c r="AU18" t="s" s="0">
        <v>580</v>
      </c>
      <c r="AV18" t="s" s="0">
        <v>82</v>
      </c>
      <c r="AW18" t="s" s="0">
        <v>581</v>
      </c>
      <c r="AX18" t="s" s="0">
        <v>582</v>
      </c>
      <c r="AY18" t="s" s="0">
        <v>276</v>
      </c>
      <c r="AZ18" t="s" s="0">
        <v>141</v>
      </c>
      <c r="BA18" t="s" s="0">
        <v>583</v>
      </c>
      <c r="BB18" t="s" s="0">
        <v>229</v>
      </c>
      <c r="BC18" t="s" s="0">
        <v>82</v>
      </c>
      <c r="BD18" t="s" s="0">
        <v>82</v>
      </c>
      <c r="BE18" t="s" s="0">
        <v>82</v>
      </c>
      <c r="BF18" t="s" s="0">
        <v>82</v>
      </c>
      <c r="BG18" t="s" s="0">
        <v>584</v>
      </c>
      <c r="BH18" t="s" s="0">
        <v>585</v>
      </c>
      <c r="BI18" t="s" s="0">
        <v>82</v>
      </c>
      <c r="BJ18" t="s" s="0">
        <v>586</v>
      </c>
      <c r="BK18" t="s" s="33">
        <f>HYPERLINK("http://dx.doi.org/10.1111/aej.70046","http://dx.doi.org/10.1111/aej.70046")</f>
        <v>587</v>
      </c>
      <c r="BL18" t="s" s="0">
        <v>82</v>
      </c>
      <c r="BM18" t="s" s="0">
        <v>302</v>
      </c>
      <c r="BN18" t="s" s="0">
        <v>98</v>
      </c>
      <c r="BO18" t="s" s="0">
        <v>588</v>
      </c>
      <c r="BP18" t="s" s="0">
        <v>588</v>
      </c>
      <c r="BQ18" t="s" s="0">
        <v>589</v>
      </c>
      <c r="BR18" t="s" s="0">
        <v>590</v>
      </c>
      <c r="BS18" t="s" s="0">
        <v>591</v>
      </c>
      <c r="BT18" t="s" s="34">
        <f>HYPERLINK("https://www.webofscience.com/wos/woscc/full-record/WOS:001648216000001","View Record in Web of Science")</f>
        <v>118</v>
      </c>
      <c r="BU18" t="s" s="0">
        <v>82</v>
      </c>
      <c r="BV18" t="s" s="0">
        <v>82</v>
      </c>
      <c r="BW18" t="s" s="0">
        <v>82</v>
      </c>
      <c r="BX18" t="s" s="0">
        <v>119</v>
      </c>
    </row>
    <row r="19">
      <c r="A19" t="s" s="0">
        <v>77</v>
      </c>
      <c r="B19" t="s" s="0">
        <v>77</v>
      </c>
      <c r="C19" t="s" s="0">
        <v>77</v>
      </c>
      <c r="D19" t="s" s="0">
        <v>77</v>
      </c>
      <c r="E19" t="s" s="0">
        <v>592</v>
      </c>
      <c r="F19" t="s" s="0">
        <v>593</v>
      </c>
      <c r="G19" t="s" s="0">
        <v>594</v>
      </c>
      <c r="H19" t="s" s="0">
        <v>82</v>
      </c>
      <c r="I19" t="s" s="0">
        <v>595</v>
      </c>
      <c r="J19" t="s" s="0">
        <v>596</v>
      </c>
      <c r="K19" t="s" s="0">
        <v>597</v>
      </c>
      <c r="L19" t="s" s="0">
        <v>82</v>
      </c>
      <c r="M19" t="s" s="0">
        <v>82</v>
      </c>
      <c r="N19" t="s" s="0">
        <v>82</v>
      </c>
      <c r="O19" t="s" s="0">
        <v>598</v>
      </c>
      <c r="P19" t="s" s="0">
        <v>599</v>
      </c>
      <c r="Q19" t="s" s="0">
        <v>88</v>
      </c>
      <c r="R19" t="s" s="0">
        <v>82</v>
      </c>
      <c r="S19" t="s" s="0">
        <v>82</v>
      </c>
      <c r="T19" t="s" s="0">
        <v>82</v>
      </c>
      <c r="U19" t="s" s="0">
        <v>82</v>
      </c>
      <c r="V19" t="s" s="0">
        <v>600</v>
      </c>
      <c r="W19" t="s" s="0">
        <v>601</v>
      </c>
      <c r="X19" t="s" s="0">
        <v>82</v>
      </c>
      <c r="Y19" t="s" s="0">
        <v>82</v>
      </c>
      <c r="Z19" t="s" s="0">
        <v>91</v>
      </c>
      <c r="AA19" t="s" s="0">
        <v>92</v>
      </c>
      <c r="AB19" t="s" s="0">
        <v>82</v>
      </c>
      <c r="AC19" t="s" s="0">
        <v>82</v>
      </c>
      <c r="AD19" t="s" s="0">
        <v>82</v>
      </c>
      <c r="AE19" t="s" s="0">
        <v>82</v>
      </c>
      <c r="AF19" t="s" s="0">
        <v>82</v>
      </c>
      <c r="AG19" t="s" s="0">
        <v>602</v>
      </c>
      <c r="AH19" t="s" s="0">
        <v>94</v>
      </c>
      <c r="AI19" t="s" s="0">
        <v>603</v>
      </c>
      <c r="AJ19" t="s" s="0">
        <v>82</v>
      </c>
      <c r="AK19" t="s" s="0">
        <v>82</v>
      </c>
      <c r="AL19" t="s" s="0">
        <v>97</v>
      </c>
      <c r="AM19" t="s" s="0">
        <v>77</v>
      </c>
      <c r="AN19" t="s" s="0">
        <v>77</v>
      </c>
      <c r="AO19" t="s" s="0">
        <v>77</v>
      </c>
      <c r="AP19" t="s" s="0">
        <v>77</v>
      </c>
      <c r="AQ19" t="s" s="0">
        <v>604</v>
      </c>
      <c r="AR19" t="s" s="0">
        <v>605</v>
      </c>
      <c r="AS19" t="s" s="0">
        <v>606</v>
      </c>
      <c r="AT19" t="s" s="0">
        <v>607</v>
      </c>
      <c r="AU19" t="s" s="0">
        <v>608</v>
      </c>
      <c r="AV19" t="s" s="0">
        <v>82</v>
      </c>
      <c r="AW19" t="s" s="0">
        <v>609</v>
      </c>
      <c r="AX19" t="s" s="0">
        <v>610</v>
      </c>
      <c r="AY19" t="s" s="0">
        <v>611</v>
      </c>
      <c r="AZ19" t="s" s="0">
        <v>141</v>
      </c>
      <c r="BA19" t="s" s="0">
        <v>379</v>
      </c>
      <c r="BB19" t="s" s="0">
        <v>229</v>
      </c>
      <c r="BC19" t="s" s="0">
        <v>82</v>
      </c>
      <c r="BD19" t="s" s="0">
        <v>82</v>
      </c>
      <c r="BE19" t="s" s="0">
        <v>82</v>
      </c>
      <c r="BF19" t="s" s="0">
        <v>82</v>
      </c>
      <c r="BG19" t="s" s="0">
        <v>82</v>
      </c>
      <c r="BH19" t="s" s="0">
        <v>82</v>
      </c>
      <c r="BI19" t="s" s="0">
        <v>612</v>
      </c>
      <c r="BJ19" t="s" s="0">
        <v>613</v>
      </c>
      <c r="BK19" t="s" s="35">
        <f>HYPERLINK("http://dx.doi.org/10.1186/s12245-026-01324-9","http://dx.doi.org/10.1186/s12245-026-01324-9")</f>
        <v>614</v>
      </c>
      <c r="BL19" t="s" s="0">
        <v>82</v>
      </c>
      <c r="BM19" t="s" s="0">
        <v>82</v>
      </c>
      <c r="BN19" t="s" s="0">
        <v>346</v>
      </c>
      <c r="BO19" t="s" s="0">
        <v>615</v>
      </c>
      <c r="BP19" t="s" s="0">
        <v>615</v>
      </c>
      <c r="BQ19" t="s" s="0">
        <v>616</v>
      </c>
      <c r="BR19" t="s" s="0">
        <v>617</v>
      </c>
      <c r="BS19" t="s" s="0">
        <v>618</v>
      </c>
      <c r="BT19" t="s" s="36">
        <f>HYPERLINK("https://www.webofscience.com/wos/woscc/full-record/WOS:001837020800001","View Record in Web of Science")</f>
        <v>118</v>
      </c>
      <c r="BU19" t="s" s="0">
        <v>187</v>
      </c>
      <c r="BV19" t="s" s="0">
        <v>82</v>
      </c>
      <c r="BW19" t="s" s="0">
        <v>82</v>
      </c>
      <c r="BX19" t="s" s="0">
        <v>119</v>
      </c>
    </row>
    <row r="20">
      <c r="A20" t="s" s="0">
        <v>77</v>
      </c>
      <c r="B20" t="s" s="0">
        <v>77</v>
      </c>
      <c r="C20" t="s" s="0">
        <v>77</v>
      </c>
      <c r="D20" t="s" s="0">
        <v>77</v>
      </c>
      <c r="E20" t="s" s="0">
        <v>619</v>
      </c>
      <c r="F20" t="s" s="0">
        <v>620</v>
      </c>
      <c r="G20" t="s" s="0">
        <v>621</v>
      </c>
      <c r="H20" t="s" s="0">
        <v>82</v>
      </c>
      <c r="I20" t="s" s="0">
        <v>83</v>
      </c>
      <c r="J20" t="s" s="0">
        <v>622</v>
      </c>
      <c r="K20" t="s" s="0">
        <v>623</v>
      </c>
      <c r="L20" t="s" s="0">
        <v>82</v>
      </c>
      <c r="M20" t="s" s="0">
        <v>82</v>
      </c>
      <c r="N20" t="s" s="0">
        <v>82</v>
      </c>
      <c r="O20" t="s" s="0">
        <v>624</v>
      </c>
      <c r="P20" t="s" s="0">
        <v>625</v>
      </c>
      <c r="Q20" t="s" s="0">
        <v>88</v>
      </c>
      <c r="R20" t="s" s="0">
        <v>82</v>
      </c>
      <c r="S20" t="s" s="0">
        <v>82</v>
      </c>
      <c r="T20" t="s" s="0">
        <v>82</v>
      </c>
      <c r="U20" t="s" s="0">
        <v>82</v>
      </c>
      <c r="V20" t="s" s="0">
        <v>626</v>
      </c>
      <c r="W20" t="s" s="0">
        <v>627</v>
      </c>
      <c r="X20" t="s" s="0">
        <v>82</v>
      </c>
      <c r="Y20" t="s" s="0">
        <v>82</v>
      </c>
      <c r="Z20" t="s" s="0">
        <v>91</v>
      </c>
      <c r="AA20" t="s" s="0">
        <v>92</v>
      </c>
      <c r="AB20" t="s" s="0">
        <v>82</v>
      </c>
      <c r="AC20" t="s" s="0">
        <v>82</v>
      </c>
      <c r="AD20" t="s" s="0">
        <v>82</v>
      </c>
      <c r="AE20" t="s" s="0">
        <v>82</v>
      </c>
      <c r="AF20" t="s" s="0">
        <v>82</v>
      </c>
      <c r="AG20" t="s" s="0">
        <v>628</v>
      </c>
      <c r="AH20" t="s" s="0">
        <v>629</v>
      </c>
      <c r="AI20" t="s" s="0">
        <v>630</v>
      </c>
      <c r="AJ20" t="s" s="0">
        <v>82</v>
      </c>
      <c r="AK20" t="s" s="0">
        <v>82</v>
      </c>
      <c r="AL20" t="s" s="0">
        <v>199</v>
      </c>
      <c r="AM20" t="s" s="0">
        <v>308</v>
      </c>
      <c r="AN20" t="s" s="0">
        <v>308</v>
      </c>
      <c r="AO20" t="s" s="0">
        <v>98</v>
      </c>
      <c r="AP20" t="s" s="0">
        <v>98</v>
      </c>
      <c r="AQ20" t="s" s="0">
        <v>631</v>
      </c>
      <c r="AR20" t="s" s="0">
        <v>632</v>
      </c>
      <c r="AS20" t="s" s="0">
        <v>633</v>
      </c>
      <c r="AT20" t="s" s="0">
        <v>634</v>
      </c>
      <c r="AU20" t="s" s="0">
        <v>635</v>
      </c>
      <c r="AV20" t="s" s="0">
        <v>82</v>
      </c>
      <c r="AW20" t="s" s="0">
        <v>636</v>
      </c>
      <c r="AX20" t="s" s="0">
        <v>637</v>
      </c>
      <c r="AY20" t="s" s="0">
        <v>276</v>
      </c>
      <c r="AZ20" t="s" s="0">
        <v>141</v>
      </c>
      <c r="BA20" t="s" s="0">
        <v>638</v>
      </c>
      <c r="BB20" t="s" s="0">
        <v>82</v>
      </c>
      <c r="BC20" t="s" s="0">
        <v>82</v>
      </c>
      <c r="BD20" t="s" s="0">
        <v>82</v>
      </c>
      <c r="BE20" t="s" s="0">
        <v>82</v>
      </c>
      <c r="BF20" t="s" s="0">
        <v>82</v>
      </c>
      <c r="BG20" t="s" s="0">
        <v>639</v>
      </c>
      <c r="BH20" t="s" s="0">
        <v>640</v>
      </c>
      <c r="BI20" t="s" s="0">
        <v>82</v>
      </c>
      <c r="BJ20" t="s" s="0">
        <v>641</v>
      </c>
      <c r="BK20" t="s" s="37">
        <f>HYPERLINK("http://dx.doi.org/10.1016/j.ajem.2026.01.029","http://dx.doi.org/10.1016/j.ajem.2026.01.029")</f>
        <v>642</v>
      </c>
      <c r="BL20" t="s" s="0">
        <v>82</v>
      </c>
      <c r="BM20" t="s" s="0">
        <v>643</v>
      </c>
      <c r="BN20" t="s" s="0">
        <v>244</v>
      </c>
      <c r="BO20" t="s" s="0">
        <v>615</v>
      </c>
      <c r="BP20" t="s" s="0">
        <v>615</v>
      </c>
      <c r="BQ20" t="s" s="0">
        <v>644</v>
      </c>
      <c r="BR20" t="s" s="0">
        <v>645</v>
      </c>
      <c r="BS20" t="s" s="0">
        <v>646</v>
      </c>
      <c r="BT20" t="s" s="38">
        <f>HYPERLINK("https://www.webofscience.com/wos/woscc/full-record/WOS:001677327600001","View Record in Web of Science")</f>
        <v>118</v>
      </c>
      <c r="BU20" t="s" s="0">
        <v>538</v>
      </c>
      <c r="BV20" t="s" s="0">
        <v>82</v>
      </c>
      <c r="BW20" t="s" s="0">
        <v>82</v>
      </c>
      <c r="BX20" t="s" s="0">
        <v>119</v>
      </c>
    </row>
    <row r="21">
      <c r="A21" t="s" s="0">
        <v>77</v>
      </c>
      <c r="B21" t="s" s="0">
        <v>77</v>
      </c>
      <c r="C21" t="s" s="0">
        <v>77</v>
      </c>
      <c r="D21" t="s" s="0">
        <v>77</v>
      </c>
      <c r="E21" t="s" s="0">
        <v>647</v>
      </c>
      <c r="F21" t="s" s="0">
        <v>648</v>
      </c>
      <c r="G21" t="s" s="0">
        <v>649</v>
      </c>
      <c r="H21" t="s" s="0">
        <v>82</v>
      </c>
      <c r="I21" t="s" s="0">
        <v>83</v>
      </c>
      <c r="J21" t="s" s="0">
        <v>650</v>
      </c>
      <c r="K21" t="s" s="0">
        <v>651</v>
      </c>
      <c r="L21" t="s" s="0">
        <v>652</v>
      </c>
      <c r="M21" t="s" s="0">
        <v>653</v>
      </c>
      <c r="N21" t="s" s="0">
        <v>654</v>
      </c>
      <c r="O21" t="s" s="0">
        <v>655</v>
      </c>
      <c r="P21" t="s" s="0">
        <v>656</v>
      </c>
      <c r="Q21" t="s" s="0">
        <v>88</v>
      </c>
      <c r="R21" t="s" s="0">
        <v>82</v>
      </c>
      <c r="S21" t="s" s="0">
        <v>82</v>
      </c>
      <c r="T21" t="s" s="0">
        <v>82</v>
      </c>
      <c r="U21" t="s" s="0">
        <v>82</v>
      </c>
      <c r="V21" t="s" s="0">
        <v>657</v>
      </c>
      <c r="W21" t="s" s="0">
        <v>261</v>
      </c>
      <c r="X21" t="s" s="0">
        <v>82</v>
      </c>
      <c r="Y21" t="s" s="0">
        <v>82</v>
      </c>
      <c r="Z21" t="s" s="0">
        <v>91</v>
      </c>
      <c r="AA21" t="s" s="0">
        <v>92</v>
      </c>
      <c r="AB21" t="s" s="0">
        <v>82</v>
      </c>
      <c r="AC21" t="s" s="0">
        <v>82</v>
      </c>
      <c r="AD21" t="s" s="0">
        <v>82</v>
      </c>
      <c r="AE21" t="s" s="0">
        <v>82</v>
      </c>
      <c r="AF21" t="s" s="0">
        <v>82</v>
      </c>
      <c r="AG21" t="s" s="0">
        <v>82</v>
      </c>
      <c r="AH21" t="s" s="0">
        <v>82</v>
      </c>
      <c r="AI21" t="s" s="0">
        <v>658</v>
      </c>
      <c r="AJ21" t="s" s="0">
        <v>82</v>
      </c>
      <c r="AK21" t="s" s="0">
        <v>82</v>
      </c>
      <c r="AL21" t="s" s="0">
        <v>659</v>
      </c>
      <c r="AM21" t="s" s="0">
        <v>77</v>
      </c>
      <c r="AN21" t="s" s="0">
        <v>229</v>
      </c>
      <c r="AO21" t="s" s="0">
        <v>77</v>
      </c>
      <c r="AP21" t="s" s="0">
        <v>77</v>
      </c>
      <c r="AQ21" t="s" s="0">
        <v>265</v>
      </c>
      <c r="AR21" t="s" s="0">
        <v>266</v>
      </c>
      <c r="AS21" t="s" s="0">
        <v>267</v>
      </c>
      <c r="AT21" t="s" s="0">
        <v>268</v>
      </c>
      <c r="AU21" t="s" s="0">
        <v>82</v>
      </c>
      <c r="AV21" t="s" s="0">
        <v>82</v>
      </c>
      <c r="AW21" t="s" s="0">
        <v>269</v>
      </c>
      <c r="AX21" t="s" s="0">
        <v>270</v>
      </c>
      <c r="AY21" t="s" s="0">
        <v>660</v>
      </c>
      <c r="AZ21" t="s" s="0">
        <v>141</v>
      </c>
      <c r="BA21" t="s" s="0">
        <v>272</v>
      </c>
      <c r="BB21" t="s" s="0">
        <v>229</v>
      </c>
      <c r="BC21" t="s" s="0">
        <v>82</v>
      </c>
      <c r="BD21" t="s" s="0">
        <v>82</v>
      </c>
      <c r="BE21" t="s" s="0">
        <v>82</v>
      </c>
      <c r="BF21" t="s" s="0">
        <v>82</v>
      </c>
      <c r="BG21" t="s" s="0">
        <v>82</v>
      </c>
      <c r="BH21" t="s" s="0">
        <v>82</v>
      </c>
      <c r="BI21" t="s" s="0">
        <v>661</v>
      </c>
      <c r="BJ21" t="s" s="0">
        <v>662</v>
      </c>
      <c r="BK21" t="s" s="39">
        <f>HYPERLINK("http://dx.doi.org/10.1038/s41746-026-02509-5","http://dx.doi.org/10.1038/s41746-026-02509-5")</f>
        <v>663</v>
      </c>
      <c r="BL21" t="s" s="0">
        <v>82</v>
      </c>
      <c r="BM21" t="s" s="0">
        <v>147</v>
      </c>
      <c r="BN21" t="s" s="0">
        <v>277</v>
      </c>
      <c r="BO21" t="s" s="0">
        <v>213</v>
      </c>
      <c r="BP21" t="s" s="0">
        <v>213</v>
      </c>
      <c r="BQ21" t="s" s="0">
        <v>664</v>
      </c>
      <c r="BR21" t="s" s="0">
        <v>665</v>
      </c>
      <c r="BS21" t="s" s="0">
        <v>666</v>
      </c>
      <c r="BT21" t="s" s="40">
        <f>HYPERLINK("https://www.webofscience.com/wos/woscc/full-record/WOS:001812890000001","View Record in Web of Science")</f>
        <v>118</v>
      </c>
      <c r="BU21" t="s" s="0">
        <v>187</v>
      </c>
      <c r="BV21" t="s" s="0">
        <v>82</v>
      </c>
      <c r="BW21" t="s" s="0">
        <v>82</v>
      </c>
      <c r="BX21" t="s" s="0">
        <v>119</v>
      </c>
    </row>
    <row r="22">
      <c r="A22" t="s" s="0">
        <v>77</v>
      </c>
      <c r="B22" t="s" s="0">
        <v>77</v>
      </c>
      <c r="C22" t="s" s="0">
        <v>77</v>
      </c>
      <c r="D22" t="s" s="0">
        <v>77</v>
      </c>
      <c r="E22" t="s" s="0">
        <v>667</v>
      </c>
      <c r="F22" t="s" s="0">
        <v>668</v>
      </c>
      <c r="G22" t="s" s="0">
        <v>669</v>
      </c>
      <c r="H22" t="s" s="0">
        <v>82</v>
      </c>
      <c r="I22" t="s" s="0">
        <v>83</v>
      </c>
      <c r="J22" t="s" s="0">
        <v>670</v>
      </c>
      <c r="K22" t="s" s="0">
        <v>671</v>
      </c>
      <c r="L22" t="s" s="0">
        <v>672</v>
      </c>
      <c r="M22" t="s" s="0">
        <v>673</v>
      </c>
      <c r="N22" t="s" s="0">
        <v>674</v>
      </c>
      <c r="O22" t="s" s="0">
        <v>675</v>
      </c>
      <c r="P22" t="s" s="0">
        <v>676</v>
      </c>
      <c r="Q22" t="s" s="0">
        <v>88</v>
      </c>
      <c r="R22" t="s" s="0">
        <v>82</v>
      </c>
      <c r="S22" t="s" s="0">
        <v>82</v>
      </c>
      <c r="T22" t="s" s="0">
        <v>82</v>
      </c>
      <c r="U22" t="s" s="0">
        <v>82</v>
      </c>
      <c r="V22" t="s" s="0">
        <v>677</v>
      </c>
      <c r="W22" t="s" s="0">
        <v>678</v>
      </c>
      <c r="X22" t="s" s="0">
        <v>82</v>
      </c>
      <c r="Y22" t="s" s="0">
        <v>82</v>
      </c>
      <c r="Z22" t="s" s="0">
        <v>91</v>
      </c>
      <c r="AA22" t="s" s="0">
        <v>92</v>
      </c>
      <c r="AB22" t="s" s="0">
        <v>82</v>
      </c>
      <c r="AC22" t="s" s="0">
        <v>82</v>
      </c>
      <c r="AD22" t="s" s="0">
        <v>82</v>
      </c>
      <c r="AE22" t="s" s="0">
        <v>82</v>
      </c>
      <c r="AF22" t="s" s="0">
        <v>82</v>
      </c>
      <c r="AG22" t="s" s="0">
        <v>679</v>
      </c>
      <c r="AH22" t="s" s="0">
        <v>82</v>
      </c>
      <c r="AI22" t="s" s="0">
        <v>680</v>
      </c>
      <c r="AJ22" t="s" s="0">
        <v>82</v>
      </c>
      <c r="AK22" t="s" s="0">
        <v>82</v>
      </c>
      <c r="AL22" t="s" s="0">
        <v>476</v>
      </c>
      <c r="AM22" t="s" s="0">
        <v>169</v>
      </c>
      <c r="AN22" t="s" s="0">
        <v>239</v>
      </c>
      <c r="AO22" t="s" s="0">
        <v>176</v>
      </c>
      <c r="AP22" t="s" s="0">
        <v>332</v>
      </c>
      <c r="AQ22" t="s" s="0">
        <v>681</v>
      </c>
      <c r="AR22" t="s" s="0">
        <v>682</v>
      </c>
      <c r="AS22" t="s" s="0">
        <v>683</v>
      </c>
      <c r="AT22" t="s" s="0">
        <v>684</v>
      </c>
      <c r="AU22" t="s" s="0">
        <v>685</v>
      </c>
      <c r="AV22" t="s" s="0">
        <v>82</v>
      </c>
      <c r="AW22" t="s" s="0">
        <v>686</v>
      </c>
      <c r="AX22" t="s" s="0">
        <v>687</v>
      </c>
      <c r="AY22" t="s" s="0">
        <v>688</v>
      </c>
      <c r="AZ22" t="s" s="0">
        <v>107</v>
      </c>
      <c r="BA22" t="s" s="0">
        <v>689</v>
      </c>
      <c r="BB22" t="s" s="0">
        <v>272</v>
      </c>
      <c r="BC22" t="s" s="0">
        <v>82</v>
      </c>
      <c r="BD22" t="s" s="0">
        <v>82</v>
      </c>
      <c r="BE22" t="s" s="0">
        <v>82</v>
      </c>
      <c r="BF22" t="s" s="0">
        <v>82</v>
      </c>
      <c r="BG22" t="s" s="0">
        <v>690</v>
      </c>
      <c r="BH22" t="s" s="0">
        <v>691</v>
      </c>
      <c r="BI22" t="s" s="0">
        <v>82</v>
      </c>
      <c r="BJ22" t="s" s="0">
        <v>692</v>
      </c>
      <c r="BK22" t="s" s="41">
        <f>HYPERLINK("http://dx.doi.org/10.1109/JBHI.2025.3569361","http://dx.doi.org/10.1109/JBHI.2025.3569361")</f>
        <v>693</v>
      </c>
      <c r="BL22" t="s" s="0">
        <v>82</v>
      </c>
      <c r="BM22" t="s" s="0">
        <v>82</v>
      </c>
      <c r="BN22" t="s" s="0">
        <v>132</v>
      </c>
      <c r="BO22" t="s" s="0">
        <v>694</v>
      </c>
      <c r="BP22" t="s" s="0">
        <v>695</v>
      </c>
      <c r="BQ22" t="s" s="0">
        <v>696</v>
      </c>
      <c r="BR22" t="s" s="0">
        <v>697</v>
      </c>
      <c r="BS22" t="s" s="0">
        <v>698</v>
      </c>
      <c r="BT22" t="s" s="42">
        <f>HYPERLINK("https://www.webofscience.com/wos/woscc/full-record/WOS:001570204100015","View Record in Web of Science")</f>
        <v>118</v>
      </c>
      <c r="BU22" t="s" s="0">
        <v>82</v>
      </c>
      <c r="BV22" t="s" s="0">
        <v>82</v>
      </c>
      <c r="BW22" t="s" s="0">
        <v>82</v>
      </c>
      <c r="BX22" t="s" s="0">
        <v>119</v>
      </c>
    </row>
    <row r="23">
      <c r="A23" t="s" s="0">
        <v>77</v>
      </c>
      <c r="B23" t="s" s="0">
        <v>77</v>
      </c>
      <c r="C23" t="s" s="0">
        <v>77</v>
      </c>
      <c r="D23" t="s" s="0">
        <v>77</v>
      </c>
      <c r="E23" t="s" s="0">
        <v>699</v>
      </c>
      <c r="F23" t="s" s="0">
        <v>700</v>
      </c>
      <c r="G23" t="s" s="0">
        <v>701</v>
      </c>
      <c r="H23" t="s" s="0">
        <v>82</v>
      </c>
      <c r="I23" t="s" s="0">
        <v>595</v>
      </c>
      <c r="J23" t="s" s="0">
        <v>702</v>
      </c>
      <c r="K23" t="s" s="0">
        <v>703</v>
      </c>
      <c r="L23" t="s" s="0">
        <v>82</v>
      </c>
      <c r="M23" t="s" s="0">
        <v>82</v>
      </c>
      <c r="N23" t="s" s="0">
        <v>82</v>
      </c>
      <c r="O23" t="s" s="0">
        <v>704</v>
      </c>
      <c r="P23" t="s" s="0">
        <v>705</v>
      </c>
      <c r="Q23" t="s" s="0">
        <v>88</v>
      </c>
      <c r="R23" t="s" s="0">
        <v>82</v>
      </c>
      <c r="S23" t="s" s="0">
        <v>82</v>
      </c>
      <c r="T23" t="s" s="0">
        <v>82</v>
      </c>
      <c r="U23" t="s" s="0">
        <v>82</v>
      </c>
      <c r="V23" t="s" s="0">
        <v>706</v>
      </c>
      <c r="W23" t="s" s="0">
        <v>707</v>
      </c>
      <c r="X23" t="s" s="0">
        <v>82</v>
      </c>
      <c r="Y23" t="s" s="0">
        <v>82</v>
      </c>
      <c r="Z23" t="s" s="0">
        <v>91</v>
      </c>
      <c r="AA23" t="s" s="0">
        <v>92</v>
      </c>
      <c r="AB23" t="s" s="0">
        <v>82</v>
      </c>
      <c r="AC23" t="s" s="0">
        <v>82</v>
      </c>
      <c r="AD23" t="s" s="0">
        <v>82</v>
      </c>
      <c r="AE23" t="s" s="0">
        <v>82</v>
      </c>
      <c r="AF23" t="s" s="0">
        <v>82</v>
      </c>
      <c r="AG23" t="s" s="0">
        <v>708</v>
      </c>
      <c r="AH23" t="s" s="0">
        <v>82</v>
      </c>
      <c r="AI23" t="s" s="0">
        <v>709</v>
      </c>
      <c r="AJ23" t="s" s="0">
        <v>710</v>
      </c>
      <c r="AK23" t="s" s="0">
        <v>82</v>
      </c>
      <c r="AL23" t="s" s="0">
        <v>208</v>
      </c>
      <c r="AM23" t="s" s="0">
        <v>239</v>
      </c>
      <c r="AN23" t="s" s="0">
        <v>239</v>
      </c>
      <c r="AO23" t="s" s="0">
        <v>77</v>
      </c>
      <c r="AP23" t="s" s="0">
        <v>78</v>
      </c>
      <c r="AQ23" t="s" s="0">
        <v>711</v>
      </c>
      <c r="AR23" t="s" s="0">
        <v>712</v>
      </c>
      <c r="AS23" t="s" s="0">
        <v>713</v>
      </c>
      <c r="AT23" t="s" s="0">
        <v>82</v>
      </c>
      <c r="AU23" t="s" s="0">
        <v>714</v>
      </c>
      <c r="AV23" t="s" s="0">
        <v>82</v>
      </c>
      <c r="AW23" t="s" s="0">
        <v>715</v>
      </c>
      <c r="AX23" t="s" s="0">
        <v>716</v>
      </c>
      <c r="AY23" t="s" s="0">
        <v>717</v>
      </c>
      <c r="AZ23" t="s" s="0">
        <v>107</v>
      </c>
      <c r="BA23" t="s" s="0">
        <v>98</v>
      </c>
      <c r="BB23" t="s" s="0">
        <v>82</v>
      </c>
      <c r="BC23" t="s" s="0">
        <v>82</v>
      </c>
      <c r="BD23" t="s" s="0">
        <v>82</v>
      </c>
      <c r="BE23" t="s" s="0">
        <v>82</v>
      </c>
      <c r="BF23" t="s" s="0">
        <v>82</v>
      </c>
      <c r="BG23" t="s" s="0">
        <v>82</v>
      </c>
      <c r="BH23" t="s" s="0">
        <v>82</v>
      </c>
      <c r="BI23" t="s" s="0">
        <v>718</v>
      </c>
      <c r="BJ23" t="s" s="0">
        <v>719</v>
      </c>
      <c r="BK23" t="s" s="43">
        <f>HYPERLINK("http://dx.doi.org/10.3389/fdgth.2025.1624786","http://dx.doi.org/10.3389/fdgth.2025.1624786")</f>
        <v>720</v>
      </c>
      <c r="BL23" t="s" s="0">
        <v>82</v>
      </c>
      <c r="BM23" t="s" s="0">
        <v>82</v>
      </c>
      <c r="BN23" t="s" s="0">
        <v>272</v>
      </c>
      <c r="BO23" t="s" s="0">
        <v>213</v>
      </c>
      <c r="BP23" t="s" s="0">
        <v>213</v>
      </c>
      <c r="BQ23" t="s" s="0">
        <v>721</v>
      </c>
      <c r="BR23" t="s" s="0">
        <v>722</v>
      </c>
      <c r="BS23" t="s" s="0">
        <v>723</v>
      </c>
      <c r="BT23" t="s" s="44">
        <f>HYPERLINK("https://www.webofscience.com/wos/woscc/full-record/WOS:001528955900001","View Record in Web of Science")</f>
        <v>118</v>
      </c>
      <c r="BU23" t="s" s="0">
        <v>187</v>
      </c>
      <c r="BV23" t="s" s="0">
        <v>82</v>
      </c>
      <c r="BW23" t="s" s="0">
        <v>82</v>
      </c>
      <c r="BX23" t="s" s="0">
        <v>119</v>
      </c>
    </row>
    <row r="24">
      <c r="A24" t="s" s="0">
        <v>77</v>
      </c>
      <c r="B24" t="s" s="0">
        <v>77</v>
      </c>
      <c r="C24" t="s" s="0">
        <v>229</v>
      </c>
      <c r="D24" t="s" s="0">
        <v>77</v>
      </c>
      <c r="E24" t="s" s="0">
        <v>724</v>
      </c>
      <c r="F24" t="s" s="0">
        <v>725</v>
      </c>
      <c r="G24" t="s" s="0">
        <v>726</v>
      </c>
      <c r="H24" t="s" s="0">
        <v>82</v>
      </c>
      <c r="I24" t="s" s="0">
        <v>83</v>
      </c>
      <c r="J24" t="s" s="0">
        <v>727</v>
      </c>
      <c r="K24" t="s" s="0">
        <v>728</v>
      </c>
      <c r="L24" t="s" s="0">
        <v>729</v>
      </c>
      <c r="M24" t="s" s="0">
        <v>729</v>
      </c>
      <c r="N24" t="s" s="0">
        <v>730</v>
      </c>
      <c r="O24" t="s" s="0">
        <v>731</v>
      </c>
      <c r="P24" t="s" s="0">
        <v>732</v>
      </c>
      <c r="Q24" t="s" s="0">
        <v>88</v>
      </c>
      <c r="R24" t="s" s="0">
        <v>82</v>
      </c>
      <c r="S24" t="s" s="0">
        <v>82</v>
      </c>
      <c r="T24" t="s" s="0">
        <v>82</v>
      </c>
      <c r="U24" t="s" s="0">
        <v>82</v>
      </c>
      <c r="V24" t="s" s="0">
        <v>733</v>
      </c>
      <c r="W24" t="s" s="0">
        <v>734</v>
      </c>
      <c r="X24" t="s" s="0">
        <v>82</v>
      </c>
      <c r="Y24" t="s" s="0">
        <v>82</v>
      </c>
      <c r="Z24" t="s" s="0">
        <v>91</v>
      </c>
      <c r="AA24" t="s" s="0">
        <v>92</v>
      </c>
      <c r="AB24" t="s" s="0">
        <v>82</v>
      </c>
      <c r="AC24" t="s" s="0">
        <v>82</v>
      </c>
      <c r="AD24" t="s" s="0">
        <v>82</v>
      </c>
      <c r="AE24" t="s" s="0">
        <v>82</v>
      </c>
      <c r="AF24" t="s" s="0">
        <v>82</v>
      </c>
      <c r="AG24" t="s" s="0">
        <v>735</v>
      </c>
      <c r="AH24" t="s" s="0">
        <v>736</v>
      </c>
      <c r="AI24" t="s" s="0">
        <v>737</v>
      </c>
      <c r="AJ24" t="s" s="0">
        <v>738</v>
      </c>
      <c r="AK24" t="s" s="0">
        <v>82</v>
      </c>
      <c r="AL24" t="s" s="0">
        <v>689</v>
      </c>
      <c r="AM24" t="s" s="0">
        <v>169</v>
      </c>
      <c r="AN24" t="s" s="0">
        <v>239</v>
      </c>
      <c r="AO24" t="s" s="0">
        <v>264</v>
      </c>
      <c r="AP24" t="s" s="0">
        <v>169</v>
      </c>
      <c r="AQ24" t="s" s="0">
        <v>550</v>
      </c>
      <c r="AR24" t="s" s="0">
        <v>739</v>
      </c>
      <c r="AS24" t="s" s="0">
        <v>740</v>
      </c>
      <c r="AT24" t="s" s="0">
        <v>741</v>
      </c>
      <c r="AU24" t="s" s="0">
        <v>742</v>
      </c>
      <c r="AV24" t="s" s="0">
        <v>82</v>
      </c>
      <c r="AW24" t="s" s="0">
        <v>743</v>
      </c>
      <c r="AX24" t="s" s="0">
        <v>744</v>
      </c>
      <c r="AY24" t="s" s="0">
        <v>745</v>
      </c>
      <c r="AZ24" t="s" s="0">
        <v>141</v>
      </c>
      <c r="BA24" t="s" s="0">
        <v>746</v>
      </c>
      <c r="BB24" t="s" s="0">
        <v>78</v>
      </c>
      <c r="BC24" t="s" s="0">
        <v>82</v>
      </c>
      <c r="BD24" t="s" s="0">
        <v>82</v>
      </c>
      <c r="BE24" t="s" s="0">
        <v>82</v>
      </c>
      <c r="BF24" t="s" s="0">
        <v>82</v>
      </c>
      <c r="BG24" t="s" s="0">
        <v>747</v>
      </c>
      <c r="BH24" t="s" s="0">
        <v>748</v>
      </c>
      <c r="BI24" t="s" s="0">
        <v>82</v>
      </c>
      <c r="BJ24" t="s" s="0">
        <v>749</v>
      </c>
      <c r="BK24" t="s" s="45">
        <f>HYPERLINK("http://dx.doi.org/10.1007/s00330-025-11924-3","http://dx.doi.org/10.1007/s00330-025-11924-3")</f>
        <v>750</v>
      </c>
      <c r="BL24" t="s" s="0">
        <v>82</v>
      </c>
      <c r="BM24" t="s" s="0">
        <v>751</v>
      </c>
      <c r="BN24" t="s" s="0">
        <v>277</v>
      </c>
      <c r="BO24" t="s" s="0">
        <v>752</v>
      </c>
      <c r="BP24" t="s" s="0">
        <v>752</v>
      </c>
      <c r="BQ24" t="s" s="0">
        <v>753</v>
      </c>
      <c r="BR24" t="s" s="0">
        <v>754</v>
      </c>
      <c r="BS24" t="s" s="0">
        <v>755</v>
      </c>
      <c r="BT24" t="s" s="46">
        <f>HYPERLINK("https://www.webofscience.com/wos/woscc/full-record/WOS:001555501100001","View Record in Web of Science")</f>
        <v>118</v>
      </c>
      <c r="BU24" t="s" s="0">
        <v>152</v>
      </c>
      <c r="BV24" t="s" s="0">
        <v>82</v>
      </c>
      <c r="BW24" t="s" s="0">
        <v>82</v>
      </c>
      <c r="BX24" t="s" s="0">
        <v>119</v>
      </c>
    </row>
    <row r="25">
      <c r="A25" t="s" s="0">
        <v>229</v>
      </c>
      <c r="B25" t="s" s="0">
        <v>77</v>
      </c>
      <c r="C25" t="s" s="0">
        <v>244</v>
      </c>
      <c r="D25" t="s" s="0">
        <v>77</v>
      </c>
      <c r="E25" t="s" s="0">
        <v>756</v>
      </c>
      <c r="F25" t="s" s="0">
        <v>757</v>
      </c>
      <c r="G25" t="s" s="0">
        <v>758</v>
      </c>
      <c r="H25" t="s" s="0">
        <v>82</v>
      </c>
      <c r="I25" t="s" s="0">
        <v>83</v>
      </c>
      <c r="J25" t="s" s="0">
        <v>759</v>
      </c>
      <c r="K25" t="s" s="0">
        <v>760</v>
      </c>
      <c r="L25" t="s" s="0">
        <v>761</v>
      </c>
      <c r="M25" t="s" s="0">
        <v>762</v>
      </c>
      <c r="N25" t="s" s="0">
        <v>763</v>
      </c>
      <c r="O25" t="s" s="0">
        <v>764</v>
      </c>
      <c r="P25" t="s" s="0">
        <v>765</v>
      </c>
      <c r="Q25" t="s" s="0">
        <v>88</v>
      </c>
      <c r="R25" t="s" s="0">
        <v>82</v>
      </c>
      <c r="S25" t="s" s="0">
        <v>82</v>
      </c>
      <c r="T25" t="s" s="0">
        <v>82</v>
      </c>
      <c r="U25" t="s" s="0">
        <v>82</v>
      </c>
      <c r="V25" t="s" s="0">
        <v>766</v>
      </c>
      <c r="W25" t="s" s="0">
        <v>261</v>
      </c>
      <c r="X25" t="s" s="0">
        <v>82</v>
      </c>
      <c r="Y25" t="s" s="0">
        <v>82</v>
      </c>
      <c r="Z25" t="s" s="0">
        <v>91</v>
      </c>
      <c r="AA25" t="s" s="0">
        <v>92</v>
      </c>
      <c r="AB25" t="s" s="0">
        <v>82</v>
      </c>
      <c r="AC25" t="s" s="0">
        <v>82</v>
      </c>
      <c r="AD25" t="s" s="0">
        <v>82</v>
      </c>
      <c r="AE25" t="s" s="0">
        <v>82</v>
      </c>
      <c r="AF25" t="s" s="0">
        <v>82</v>
      </c>
      <c r="AG25" t="s" s="0">
        <v>82</v>
      </c>
      <c r="AH25" t="s" s="0">
        <v>82</v>
      </c>
      <c r="AI25" t="s" s="0">
        <v>767</v>
      </c>
      <c r="AJ25" t="s" s="0">
        <v>768</v>
      </c>
      <c r="AK25" t="s" s="0">
        <v>82</v>
      </c>
      <c r="AL25" t="s" s="0">
        <v>769</v>
      </c>
      <c r="AM25" t="s" s="0">
        <v>770</v>
      </c>
      <c r="AN25" t="s" s="0">
        <v>238</v>
      </c>
      <c r="AO25" t="s" s="0">
        <v>77</v>
      </c>
      <c r="AP25" t="s" s="0">
        <v>98</v>
      </c>
      <c r="AQ25" t="s" s="0">
        <v>265</v>
      </c>
      <c r="AR25" t="s" s="0">
        <v>266</v>
      </c>
      <c r="AS25" t="s" s="0">
        <v>267</v>
      </c>
      <c r="AT25" t="s" s="0">
        <v>268</v>
      </c>
      <c r="AU25" t="s" s="0">
        <v>82</v>
      </c>
      <c r="AV25" t="s" s="0">
        <v>82</v>
      </c>
      <c r="AW25" t="s" s="0">
        <v>269</v>
      </c>
      <c r="AX25" t="s" s="0">
        <v>270</v>
      </c>
      <c r="AY25" t="s" s="0">
        <v>771</v>
      </c>
      <c r="AZ25" t="s" s="0">
        <v>341</v>
      </c>
      <c r="BA25" t="s" s="0">
        <v>98</v>
      </c>
      <c r="BB25" t="s" s="0">
        <v>229</v>
      </c>
      <c r="BC25" t="s" s="0">
        <v>82</v>
      </c>
      <c r="BD25" t="s" s="0">
        <v>82</v>
      </c>
      <c r="BE25" t="s" s="0">
        <v>82</v>
      </c>
      <c r="BF25" t="s" s="0">
        <v>82</v>
      </c>
      <c r="BG25" t="s" s="0">
        <v>82</v>
      </c>
      <c r="BH25" t="s" s="0">
        <v>82</v>
      </c>
      <c r="BI25" t="s" s="0">
        <v>772</v>
      </c>
      <c r="BJ25" t="s" s="0">
        <v>773</v>
      </c>
      <c r="BK25" t="s" s="47">
        <f>HYPERLINK("http://dx.doi.org/10.1038/s41746-024-01356-6","http://dx.doi.org/10.1038/s41746-024-01356-6")</f>
        <v>774</v>
      </c>
      <c r="BL25" t="s" s="0">
        <v>82</v>
      </c>
      <c r="BM25" t="s" s="0">
        <v>82</v>
      </c>
      <c r="BN25" t="s" s="0">
        <v>132</v>
      </c>
      <c r="BO25" t="s" s="0">
        <v>213</v>
      </c>
      <c r="BP25" t="s" s="0">
        <v>213</v>
      </c>
      <c r="BQ25" t="s" s="0">
        <v>775</v>
      </c>
      <c r="BR25" t="s" s="0">
        <v>776</v>
      </c>
      <c r="BS25" t="s" s="0">
        <v>777</v>
      </c>
      <c r="BT25" t="s" s="48">
        <f>HYPERLINK("https://www.webofscience.com/wos/woscc/full-record/WOS:001376043900001","View Record in Web of Science")</f>
        <v>118</v>
      </c>
      <c r="BU25" t="s" s="0">
        <v>187</v>
      </c>
      <c r="BV25" t="s" s="0">
        <v>82</v>
      </c>
      <c r="BW25" t="s" s="0">
        <v>82</v>
      </c>
      <c r="BX25" t="s" s="0">
        <v>119</v>
      </c>
    </row>
    <row r="26">
      <c r="A26" t="s" s="0">
        <v>77</v>
      </c>
      <c r="B26" t="s" s="0">
        <v>77</v>
      </c>
      <c r="C26" t="s" s="0">
        <v>229</v>
      </c>
      <c r="D26" t="s" s="0">
        <v>77</v>
      </c>
      <c r="E26" t="s" s="0">
        <v>778</v>
      </c>
      <c r="F26" t="s" s="0">
        <v>779</v>
      </c>
      <c r="G26" t="s" s="0">
        <v>780</v>
      </c>
      <c r="H26" t="s" s="0">
        <v>82</v>
      </c>
      <c r="I26" t="s" s="0">
        <v>83</v>
      </c>
      <c r="J26" t="s" s="0">
        <v>781</v>
      </c>
      <c r="K26" t="s" s="0">
        <v>782</v>
      </c>
      <c r="L26" t="s" s="0">
        <v>783</v>
      </c>
      <c r="M26" t="s" s="0">
        <v>784</v>
      </c>
      <c r="N26" t="s" s="0">
        <v>785</v>
      </c>
      <c r="O26" t="s" s="0">
        <v>786</v>
      </c>
      <c r="P26" t="s" s="0">
        <v>787</v>
      </c>
      <c r="Q26" t="s" s="0">
        <v>88</v>
      </c>
      <c r="R26" t="s" s="0">
        <v>82</v>
      </c>
      <c r="S26" t="s" s="0">
        <v>82</v>
      </c>
      <c r="T26" t="s" s="0">
        <v>82</v>
      </c>
      <c r="U26" t="s" s="0">
        <v>82</v>
      </c>
      <c r="V26" t="s" s="0">
        <v>788</v>
      </c>
      <c r="W26" t="s" s="0">
        <v>325</v>
      </c>
      <c r="X26" t="s" s="0">
        <v>82</v>
      </c>
      <c r="Y26" t="s" s="0">
        <v>82</v>
      </c>
      <c r="Z26" t="s" s="0">
        <v>91</v>
      </c>
      <c r="AA26" t="s" s="0">
        <v>92</v>
      </c>
      <c r="AB26" t="s" s="0">
        <v>82</v>
      </c>
      <c r="AC26" t="s" s="0">
        <v>82</v>
      </c>
      <c r="AD26" t="s" s="0">
        <v>82</v>
      </c>
      <c r="AE26" t="s" s="0">
        <v>82</v>
      </c>
      <c r="AF26" t="s" s="0">
        <v>82</v>
      </c>
      <c r="AG26" t="s" s="0">
        <v>82</v>
      </c>
      <c r="AH26" t="s" s="0">
        <v>789</v>
      </c>
      <c r="AI26" t="s" s="0">
        <v>82</v>
      </c>
      <c r="AJ26" t="s" s="0">
        <v>82</v>
      </c>
      <c r="AK26" t="s" s="0">
        <v>82</v>
      </c>
      <c r="AL26" t="s" s="0">
        <v>177</v>
      </c>
      <c r="AM26" t="s" s="0">
        <v>790</v>
      </c>
      <c r="AN26" t="s" s="0">
        <v>379</v>
      </c>
      <c r="AO26" t="s" s="0">
        <v>264</v>
      </c>
      <c r="AP26" t="s" s="0">
        <v>98</v>
      </c>
      <c r="AQ26" t="s" s="0">
        <v>334</v>
      </c>
      <c r="AR26" t="s" s="0">
        <v>335</v>
      </c>
      <c r="AS26" t="s" s="0">
        <v>336</v>
      </c>
      <c r="AT26" t="s" s="0">
        <v>337</v>
      </c>
      <c r="AU26" t="s" s="0">
        <v>82</v>
      </c>
      <c r="AV26" t="s" s="0">
        <v>82</v>
      </c>
      <c r="AW26" t="s" s="0">
        <v>338</v>
      </c>
      <c r="AX26" t="s" s="0">
        <v>339</v>
      </c>
      <c r="AY26" t="s" s="0">
        <v>791</v>
      </c>
      <c r="AZ26" t="s" s="0">
        <v>107</v>
      </c>
      <c r="BA26" t="s" s="0">
        <v>244</v>
      </c>
      <c r="BB26" t="s" s="0">
        <v>239</v>
      </c>
      <c r="BC26" t="s" s="0">
        <v>82</v>
      </c>
      <c r="BD26" t="s" s="0">
        <v>82</v>
      </c>
      <c r="BE26" t="s" s="0">
        <v>82</v>
      </c>
      <c r="BF26" t="s" s="0">
        <v>82</v>
      </c>
      <c r="BG26" t="s" s="0">
        <v>82</v>
      </c>
      <c r="BH26" t="s" s="0">
        <v>82</v>
      </c>
      <c r="BI26" t="s" s="0">
        <v>792</v>
      </c>
      <c r="BJ26" t="s" s="0">
        <v>793</v>
      </c>
      <c r="BK26" t="s" s="49">
        <f>HYPERLINK("http://dx.doi.org/10.1001/jamanetworkopen.2025.12994","http://dx.doi.org/10.1001/jamanetworkopen.2025.12994")</f>
        <v>794</v>
      </c>
      <c r="BL26" t="s" s="0">
        <v>82</v>
      </c>
      <c r="BM26" t="s" s="0">
        <v>82</v>
      </c>
      <c r="BN26" t="s" s="0">
        <v>272</v>
      </c>
      <c r="BO26" t="s" s="0">
        <v>182</v>
      </c>
      <c r="BP26" t="s" s="0">
        <v>183</v>
      </c>
      <c r="BQ26" t="s" s="0">
        <v>795</v>
      </c>
      <c r="BR26" t="s" s="0">
        <v>796</v>
      </c>
      <c r="BS26" t="s" s="0">
        <v>797</v>
      </c>
      <c r="BT26" t="s" s="50">
        <f>HYPERLINK("https://www.webofscience.com/wos/woscc/full-record/WOS:001499415200009","View Record in Web of Science")</f>
        <v>118</v>
      </c>
      <c r="BU26" t="s" s="0">
        <v>798</v>
      </c>
      <c r="BV26" t="s" s="0">
        <v>82</v>
      </c>
      <c r="BW26" t="s" s="0">
        <v>82</v>
      </c>
      <c r="BX26" t="s" s="0">
        <v>119</v>
      </c>
    </row>
    <row r="27">
      <c r="A27" t="s" s="0">
        <v>77</v>
      </c>
      <c r="B27" t="s" s="0">
        <v>77</v>
      </c>
      <c r="C27" t="s" s="0">
        <v>77</v>
      </c>
      <c r="D27" t="s" s="0">
        <v>77</v>
      </c>
      <c r="E27" t="s" s="0">
        <v>799</v>
      </c>
      <c r="F27" t="s" s="0">
        <v>800</v>
      </c>
      <c r="G27" t="s" s="0">
        <v>801</v>
      </c>
      <c r="H27" t="s" s="0">
        <v>82</v>
      </c>
      <c r="I27" t="s" s="0">
        <v>595</v>
      </c>
      <c r="J27" t="s" s="0">
        <v>802</v>
      </c>
      <c r="K27" t="s" s="0">
        <v>803</v>
      </c>
      <c r="L27" t="s" s="0">
        <v>82</v>
      </c>
      <c r="M27" t="s" s="0">
        <v>82</v>
      </c>
      <c r="N27" t="s" s="0">
        <v>82</v>
      </c>
      <c r="O27" t="s" s="0">
        <v>804</v>
      </c>
      <c r="P27" t="s" s="0">
        <v>805</v>
      </c>
      <c r="Q27" t="s" s="0">
        <v>88</v>
      </c>
      <c r="R27" t="s" s="0">
        <v>82</v>
      </c>
      <c r="S27" t="s" s="0">
        <v>82</v>
      </c>
      <c r="T27" t="s" s="0">
        <v>82</v>
      </c>
      <c r="U27" t="s" s="0">
        <v>82</v>
      </c>
      <c r="V27" t="s" s="0">
        <v>806</v>
      </c>
      <c r="W27" t="s" s="0">
        <v>807</v>
      </c>
      <c r="X27" t="s" s="0">
        <v>82</v>
      </c>
      <c r="Y27" t="s" s="0">
        <v>82</v>
      </c>
      <c r="Z27" t="s" s="0">
        <v>91</v>
      </c>
      <c r="AA27" t="s" s="0">
        <v>92</v>
      </c>
      <c r="AB27" t="s" s="0">
        <v>82</v>
      </c>
      <c r="AC27" t="s" s="0">
        <v>82</v>
      </c>
      <c r="AD27" t="s" s="0">
        <v>82</v>
      </c>
      <c r="AE27" t="s" s="0">
        <v>82</v>
      </c>
      <c r="AF27" t="s" s="0">
        <v>82</v>
      </c>
      <c r="AG27" t="s" s="0">
        <v>808</v>
      </c>
      <c r="AH27" t="s" s="0">
        <v>82</v>
      </c>
      <c r="AI27" t="s" s="0">
        <v>809</v>
      </c>
      <c r="AJ27" t="s" s="0">
        <v>810</v>
      </c>
      <c r="AK27" t="s" s="0">
        <v>82</v>
      </c>
      <c r="AL27" t="s" s="0">
        <v>811</v>
      </c>
      <c r="AM27" t="s" s="0">
        <v>264</v>
      </c>
      <c r="AN27" t="s" s="0">
        <v>169</v>
      </c>
      <c r="AO27" t="s" s="0">
        <v>77</v>
      </c>
      <c r="AP27" t="s" s="0">
        <v>77</v>
      </c>
      <c r="AQ27" t="s" s="0">
        <v>133</v>
      </c>
      <c r="AR27" t="s" s="0">
        <v>134</v>
      </c>
      <c r="AS27" t="s" s="0">
        <v>135</v>
      </c>
      <c r="AT27" t="s" s="0">
        <v>812</v>
      </c>
      <c r="AU27" t="s" s="0">
        <v>813</v>
      </c>
      <c r="AV27" t="s" s="0">
        <v>82</v>
      </c>
      <c r="AW27" t="s" s="0">
        <v>814</v>
      </c>
      <c r="AX27" t="s" s="0">
        <v>815</v>
      </c>
      <c r="AY27" t="s" s="0">
        <v>147</v>
      </c>
      <c r="AZ27" t="s" s="0">
        <v>141</v>
      </c>
      <c r="BA27" t="s" s="0">
        <v>342</v>
      </c>
      <c r="BB27" t="s" s="0">
        <v>264</v>
      </c>
      <c r="BC27" t="s" s="0">
        <v>82</v>
      </c>
      <c r="BD27" t="s" s="0">
        <v>82</v>
      </c>
      <c r="BE27" t="s" s="0">
        <v>82</v>
      </c>
      <c r="BF27" t="s" s="0">
        <v>82</v>
      </c>
      <c r="BG27" t="s" s="0">
        <v>816</v>
      </c>
      <c r="BH27" t="s" s="0">
        <v>817</v>
      </c>
      <c r="BI27" t="s" s="0">
        <v>82</v>
      </c>
      <c r="BJ27" t="s" s="0">
        <v>818</v>
      </c>
      <c r="BK27" t="s" s="51">
        <f>HYPERLINK("http://dx.doi.org/10.1002/ped4.70053","http://dx.doi.org/10.1002/ped4.70053")</f>
        <v>819</v>
      </c>
      <c r="BL27" t="s" s="0">
        <v>82</v>
      </c>
      <c r="BM27" t="s" s="0">
        <v>562</v>
      </c>
      <c r="BN27" t="s" s="0">
        <v>277</v>
      </c>
      <c r="BO27" t="s" s="0">
        <v>820</v>
      </c>
      <c r="BP27" t="s" s="0">
        <v>820</v>
      </c>
      <c r="BQ27" t="s" s="0">
        <v>821</v>
      </c>
      <c r="BR27" t="s" s="0">
        <v>822</v>
      </c>
      <c r="BS27" t="s" s="0">
        <v>823</v>
      </c>
      <c r="BT27" t="s" s="52">
        <f>HYPERLINK("https://www.webofscience.com/wos/woscc/full-record/WOS:001722883100001","View Record in Web of Science")</f>
        <v>118</v>
      </c>
      <c r="BU27" t="s" s="0">
        <v>187</v>
      </c>
      <c r="BV27" t="s" s="0">
        <v>82</v>
      </c>
      <c r="BW27" t="s" s="0">
        <v>82</v>
      </c>
      <c r="BX27" t="s" s="0">
        <v>119</v>
      </c>
    </row>
    <row r="28">
      <c r="A28" t="s" s="0">
        <v>77</v>
      </c>
      <c r="B28" t="s" s="0">
        <v>77</v>
      </c>
      <c r="C28" t="s" s="0">
        <v>77</v>
      </c>
      <c r="D28" t="s" s="0">
        <v>77</v>
      </c>
      <c r="E28" t="s" s="0">
        <v>824</v>
      </c>
      <c r="F28" t="s" s="0">
        <v>825</v>
      </c>
      <c r="G28" t="s" s="0">
        <v>826</v>
      </c>
      <c r="H28" t="s" s="0">
        <v>82</v>
      </c>
      <c r="I28" t="s" s="0">
        <v>83</v>
      </c>
      <c r="J28" t="s" s="0">
        <v>827</v>
      </c>
      <c r="K28" t="s" s="0">
        <v>828</v>
      </c>
      <c r="L28" t="s" s="0">
        <v>829</v>
      </c>
      <c r="M28" t="s" s="0">
        <v>830</v>
      </c>
      <c r="N28" t="s" s="0">
        <v>831</v>
      </c>
      <c r="O28" t="s" s="0">
        <v>832</v>
      </c>
      <c r="P28" t="s" s="0">
        <v>833</v>
      </c>
      <c r="Q28" t="s" s="0">
        <v>88</v>
      </c>
      <c r="R28" t="s" s="0">
        <v>82</v>
      </c>
      <c r="S28" t="s" s="0">
        <v>82</v>
      </c>
      <c r="T28" t="s" s="0">
        <v>82</v>
      </c>
      <c r="U28" t="s" s="0">
        <v>82</v>
      </c>
      <c r="V28" t="s" s="0">
        <v>834</v>
      </c>
      <c r="W28" t="s" s="0">
        <v>835</v>
      </c>
      <c r="X28" t="s" s="0">
        <v>82</v>
      </c>
      <c r="Y28" t="s" s="0">
        <v>82</v>
      </c>
      <c r="Z28" t="s" s="0">
        <v>91</v>
      </c>
      <c r="AA28" t="s" s="0">
        <v>92</v>
      </c>
      <c r="AB28" t="s" s="0">
        <v>82</v>
      </c>
      <c r="AC28" t="s" s="0">
        <v>82</v>
      </c>
      <c r="AD28" t="s" s="0">
        <v>82</v>
      </c>
      <c r="AE28" t="s" s="0">
        <v>82</v>
      </c>
      <c r="AF28" t="s" s="0">
        <v>82</v>
      </c>
      <c r="AG28" t="s" s="0">
        <v>82</v>
      </c>
      <c r="AH28" t="s" s="0">
        <v>836</v>
      </c>
      <c r="AI28" t="s" s="0">
        <v>837</v>
      </c>
      <c r="AJ28" t="s" s="0">
        <v>82</v>
      </c>
      <c r="AK28" t="s" s="0">
        <v>82</v>
      </c>
      <c r="AL28" t="s" s="0">
        <v>838</v>
      </c>
      <c r="AM28" t="s" s="0">
        <v>77</v>
      </c>
      <c r="AN28" t="s" s="0">
        <v>77</v>
      </c>
      <c r="AO28" t="s" s="0">
        <v>264</v>
      </c>
      <c r="AP28" t="s" s="0">
        <v>264</v>
      </c>
      <c r="AQ28" t="s" s="0">
        <v>265</v>
      </c>
      <c r="AR28" t="s" s="0">
        <v>266</v>
      </c>
      <c r="AS28" t="s" s="0">
        <v>267</v>
      </c>
      <c r="AT28" t="s" s="0">
        <v>82</v>
      </c>
      <c r="AU28" t="s" s="0">
        <v>839</v>
      </c>
      <c r="AV28" t="s" s="0">
        <v>82</v>
      </c>
      <c r="AW28" t="s" s="0">
        <v>840</v>
      </c>
      <c r="AX28" t="s" s="0">
        <v>841</v>
      </c>
      <c r="AY28" t="s" s="0">
        <v>421</v>
      </c>
      <c r="AZ28" t="s" s="0">
        <v>141</v>
      </c>
      <c r="BA28" t="s" s="0">
        <v>368</v>
      </c>
      <c r="BB28" t="s" s="0">
        <v>229</v>
      </c>
      <c r="BC28" t="s" s="0">
        <v>82</v>
      </c>
      <c r="BD28" t="s" s="0">
        <v>82</v>
      </c>
      <c r="BE28" t="s" s="0">
        <v>82</v>
      </c>
      <c r="BF28" t="s" s="0">
        <v>82</v>
      </c>
      <c r="BG28" t="s" s="0">
        <v>82</v>
      </c>
      <c r="BH28" t="s" s="0">
        <v>82</v>
      </c>
      <c r="BI28" t="s" s="0">
        <v>842</v>
      </c>
      <c r="BJ28" t="s" s="0">
        <v>843</v>
      </c>
      <c r="BK28" t="s" s="53">
        <f>HYPERLINK("http://dx.doi.org/10.1038/s41467-026-71928-5","http://dx.doi.org/10.1038/s41467-026-71928-5")</f>
        <v>844</v>
      </c>
      <c r="BL28" t="s" s="0">
        <v>82</v>
      </c>
      <c r="BM28" t="s" s="0">
        <v>276</v>
      </c>
      <c r="BN28" t="s" s="0">
        <v>845</v>
      </c>
      <c r="BO28" t="s" s="0">
        <v>380</v>
      </c>
      <c r="BP28" t="s" s="0">
        <v>381</v>
      </c>
      <c r="BQ28" t="s" s="0">
        <v>846</v>
      </c>
      <c r="BR28" t="s" s="0">
        <v>847</v>
      </c>
      <c r="BS28" t="s" s="0">
        <v>848</v>
      </c>
      <c r="BT28" t="s" s="54">
        <f>HYPERLINK("https://www.webofscience.com/wos/woscc/full-record/WOS:001808838900026","View Record in Web of Science")</f>
        <v>118</v>
      </c>
      <c r="BU28" t="s" s="0">
        <v>187</v>
      </c>
      <c r="BV28" t="s" s="0">
        <v>82</v>
      </c>
      <c r="BW28" t="s" s="0">
        <v>82</v>
      </c>
      <c r="BX28" t="s" s="0">
        <v>119</v>
      </c>
    </row>
    <row r="29">
      <c r="A29" t="s" s="0">
        <v>77</v>
      </c>
      <c r="B29" t="s" s="0">
        <v>77</v>
      </c>
      <c r="C29" t="s" s="0">
        <v>264</v>
      </c>
      <c r="D29" t="s" s="0">
        <v>77</v>
      </c>
      <c r="E29" t="s" s="0">
        <v>849</v>
      </c>
      <c r="F29" t="s" s="0">
        <v>850</v>
      </c>
      <c r="G29" t="s" s="0">
        <v>851</v>
      </c>
      <c r="H29" t="s" s="0">
        <v>82</v>
      </c>
      <c r="I29" t="s" s="0">
        <v>83</v>
      </c>
      <c r="J29" t="s" s="0">
        <v>852</v>
      </c>
      <c r="K29" t="s" s="0">
        <v>853</v>
      </c>
      <c r="L29" t="s" s="0">
        <v>82</v>
      </c>
      <c r="M29" t="s" s="0">
        <v>82</v>
      </c>
      <c r="N29" t="s" s="0">
        <v>82</v>
      </c>
      <c r="O29" t="s" s="0">
        <v>854</v>
      </c>
      <c r="P29" t="s" s="0">
        <v>855</v>
      </c>
      <c r="Q29" t="s" s="0">
        <v>88</v>
      </c>
      <c r="R29" t="s" s="0">
        <v>82</v>
      </c>
      <c r="S29" t="s" s="0">
        <v>82</v>
      </c>
      <c r="T29" t="s" s="0">
        <v>82</v>
      </c>
      <c r="U29" t="s" s="0">
        <v>82</v>
      </c>
      <c r="V29" t="s" s="0">
        <v>856</v>
      </c>
      <c r="W29" t="s" s="0">
        <v>857</v>
      </c>
      <c r="X29" t="s" s="0">
        <v>82</v>
      </c>
      <c r="Y29" t="s" s="0">
        <v>82</v>
      </c>
      <c r="Z29" t="s" s="0">
        <v>91</v>
      </c>
      <c r="AA29" t="s" s="0">
        <v>92</v>
      </c>
      <c r="AB29" t="s" s="0">
        <v>82</v>
      </c>
      <c r="AC29" t="s" s="0">
        <v>82</v>
      </c>
      <c r="AD29" t="s" s="0">
        <v>82</v>
      </c>
      <c r="AE29" t="s" s="0">
        <v>82</v>
      </c>
      <c r="AF29" t="s" s="0">
        <v>82</v>
      </c>
      <c r="AG29" t="s" s="0">
        <v>858</v>
      </c>
      <c r="AH29" t="s" s="0">
        <v>859</v>
      </c>
      <c r="AI29" t="s" s="0">
        <v>860</v>
      </c>
      <c r="AJ29" t="s" s="0">
        <v>861</v>
      </c>
      <c r="AK29" t="s" s="0">
        <v>82</v>
      </c>
      <c r="AL29" t="s" s="0">
        <v>862</v>
      </c>
      <c r="AM29" t="s" s="0">
        <v>368</v>
      </c>
      <c r="AN29" t="s" s="0">
        <v>212</v>
      </c>
      <c r="AO29" t="s" s="0">
        <v>264</v>
      </c>
      <c r="AP29" t="s" s="0">
        <v>342</v>
      </c>
      <c r="AQ29" t="s" s="0">
        <v>265</v>
      </c>
      <c r="AR29" t="s" s="0">
        <v>266</v>
      </c>
      <c r="AS29" t="s" s="0">
        <v>267</v>
      </c>
      <c r="AT29" t="s" s="0">
        <v>863</v>
      </c>
      <c r="AU29" t="s" s="0">
        <v>82</v>
      </c>
      <c r="AV29" t="s" s="0">
        <v>82</v>
      </c>
      <c r="AW29" t="s" s="0">
        <v>864</v>
      </c>
      <c r="AX29" t="s" s="0">
        <v>865</v>
      </c>
      <c r="AY29" t="s" s="0">
        <v>866</v>
      </c>
      <c r="AZ29" t="s" s="0">
        <v>107</v>
      </c>
      <c r="BA29" t="s" s="0">
        <v>176</v>
      </c>
      <c r="BB29" t="s" s="0">
        <v>229</v>
      </c>
      <c r="BC29" t="s" s="0">
        <v>82</v>
      </c>
      <c r="BD29" t="s" s="0">
        <v>82</v>
      </c>
      <c r="BE29" t="s" s="0">
        <v>82</v>
      </c>
      <c r="BF29" t="s" s="0">
        <v>82</v>
      </c>
      <c r="BG29" t="s" s="0">
        <v>82</v>
      </c>
      <c r="BH29" t="s" s="0">
        <v>82</v>
      </c>
      <c r="BI29" t="s" s="0">
        <v>867</v>
      </c>
      <c r="BJ29" t="s" s="0">
        <v>868</v>
      </c>
      <c r="BK29" t="s" s="55">
        <f>HYPERLINK("http://dx.doi.org/10.1038/s41598-025-88948-8","http://dx.doi.org/10.1038/s41598-025-88948-8")</f>
        <v>869</v>
      </c>
      <c r="BL29" t="s" s="0">
        <v>82</v>
      </c>
      <c r="BM29" t="s" s="0">
        <v>82</v>
      </c>
      <c r="BN29" t="s" s="0">
        <v>98</v>
      </c>
      <c r="BO29" t="s" s="0">
        <v>380</v>
      </c>
      <c r="BP29" t="s" s="0">
        <v>381</v>
      </c>
      <c r="BQ29" t="s" s="0">
        <v>870</v>
      </c>
      <c r="BR29" t="s" s="0">
        <v>871</v>
      </c>
      <c r="BS29" t="s" s="0">
        <v>872</v>
      </c>
      <c r="BT29" t="s" s="56">
        <f>HYPERLINK("https://www.webofscience.com/wos/woscc/full-record/WOS:001418722300017","View Record in Web of Science")</f>
        <v>118</v>
      </c>
      <c r="BU29" t="s" s="0">
        <v>187</v>
      </c>
      <c r="BV29" t="s" s="0">
        <v>82</v>
      </c>
      <c r="BW29" t="s" s="0">
        <v>82</v>
      </c>
      <c r="BX29" t="s" s="0">
        <v>119</v>
      </c>
    </row>
    <row r="30">
      <c r="A30" t="s" s="0">
        <v>77</v>
      </c>
      <c r="B30" t="s" s="0">
        <v>77</v>
      </c>
      <c r="C30" t="s" s="0">
        <v>77</v>
      </c>
      <c r="D30" t="s" s="0">
        <v>77</v>
      </c>
      <c r="E30" t="s" s="0">
        <v>873</v>
      </c>
      <c r="F30" t="s" s="0">
        <v>874</v>
      </c>
      <c r="G30" t="s" s="0">
        <v>875</v>
      </c>
      <c r="H30" t="s" s="0">
        <v>82</v>
      </c>
      <c r="I30" t="s" s="0">
        <v>83</v>
      </c>
      <c r="J30" t="s" s="0">
        <v>876</v>
      </c>
      <c r="K30" t="s" s="0">
        <v>877</v>
      </c>
      <c r="L30" t="s" s="0">
        <v>878</v>
      </c>
      <c r="M30" t="s" s="0">
        <v>879</v>
      </c>
      <c r="N30" t="s" s="0">
        <v>880</v>
      </c>
      <c r="O30" t="s" s="0">
        <v>881</v>
      </c>
      <c r="P30" t="s" s="0">
        <v>882</v>
      </c>
      <c r="Q30" t="s" s="0">
        <v>88</v>
      </c>
      <c r="R30" t="s" s="0">
        <v>82</v>
      </c>
      <c r="S30" t="s" s="0">
        <v>82</v>
      </c>
      <c r="T30" t="s" s="0">
        <v>82</v>
      </c>
      <c r="U30" t="s" s="0">
        <v>82</v>
      </c>
      <c r="V30" t="s" s="0">
        <v>883</v>
      </c>
      <c r="W30" t="s" s="0">
        <v>884</v>
      </c>
      <c r="X30" t="s" s="0">
        <v>82</v>
      </c>
      <c r="Y30" t="s" s="0">
        <v>82</v>
      </c>
      <c r="Z30" t="s" s="0">
        <v>91</v>
      </c>
      <c r="AA30" t="s" s="0">
        <v>92</v>
      </c>
      <c r="AB30" t="s" s="0">
        <v>82</v>
      </c>
      <c r="AC30" t="s" s="0">
        <v>82</v>
      </c>
      <c r="AD30" t="s" s="0">
        <v>82</v>
      </c>
      <c r="AE30" t="s" s="0">
        <v>82</v>
      </c>
      <c r="AF30" t="s" s="0">
        <v>82</v>
      </c>
      <c r="AG30" t="s" s="0">
        <v>885</v>
      </c>
      <c r="AH30" t="s" s="0">
        <v>886</v>
      </c>
      <c r="AI30" t="s" s="0">
        <v>82</v>
      </c>
      <c r="AJ30" t="s" s="0">
        <v>82</v>
      </c>
      <c r="AK30" t="s" s="0">
        <v>82</v>
      </c>
      <c r="AL30" t="s" s="0">
        <v>887</v>
      </c>
      <c r="AM30" t="s" s="0">
        <v>77</v>
      </c>
      <c r="AN30" t="s" s="0">
        <v>77</v>
      </c>
      <c r="AO30" t="s" s="0">
        <v>77</v>
      </c>
      <c r="AP30" t="s" s="0">
        <v>77</v>
      </c>
      <c r="AQ30" t="s" s="0">
        <v>711</v>
      </c>
      <c r="AR30" t="s" s="0">
        <v>712</v>
      </c>
      <c r="AS30" t="s" s="0">
        <v>713</v>
      </c>
      <c r="AT30" t="s" s="0">
        <v>82</v>
      </c>
      <c r="AU30" t="s" s="0">
        <v>888</v>
      </c>
      <c r="AV30" t="s" s="0">
        <v>82</v>
      </c>
      <c r="AW30" t="s" s="0">
        <v>889</v>
      </c>
      <c r="AX30" t="s" s="0">
        <v>890</v>
      </c>
      <c r="AY30" t="s" s="0">
        <v>611</v>
      </c>
      <c r="AZ30" t="s" s="0">
        <v>141</v>
      </c>
      <c r="BA30" t="s" s="0">
        <v>425</v>
      </c>
      <c r="BB30" t="s" s="0">
        <v>82</v>
      </c>
      <c r="BC30" t="s" s="0">
        <v>82</v>
      </c>
      <c r="BD30" t="s" s="0">
        <v>82</v>
      </c>
      <c r="BE30" t="s" s="0">
        <v>82</v>
      </c>
      <c r="BF30" t="s" s="0">
        <v>82</v>
      </c>
      <c r="BG30" t="s" s="0">
        <v>82</v>
      </c>
      <c r="BH30" t="s" s="0">
        <v>82</v>
      </c>
      <c r="BI30" t="s" s="0">
        <v>891</v>
      </c>
      <c r="BJ30" t="s" s="0">
        <v>892</v>
      </c>
      <c r="BK30" t="s" s="57">
        <f>HYPERLINK("http://dx.doi.org/10.3389/fmed.2026.1864498","http://dx.doi.org/10.3389/fmed.2026.1864498")</f>
        <v>893</v>
      </c>
      <c r="BL30" t="s" s="0">
        <v>82</v>
      </c>
      <c r="BM30" t="s" s="0">
        <v>82</v>
      </c>
      <c r="BN30" t="s" s="0">
        <v>342</v>
      </c>
      <c r="BO30" t="s" s="0">
        <v>182</v>
      </c>
      <c r="BP30" t="s" s="0">
        <v>183</v>
      </c>
      <c r="BQ30" t="s" s="0">
        <v>894</v>
      </c>
      <c r="BR30" t="s" s="0">
        <v>82</v>
      </c>
      <c r="BS30" t="s" s="0">
        <v>895</v>
      </c>
      <c r="BT30" t="s" s="58">
        <f>HYPERLINK("https://www.webofscience.com/wos/woscc/full-record/WOS:001850000500001","View Record in Web of Science")</f>
        <v>118</v>
      </c>
      <c r="BU30" t="s" s="0">
        <v>187</v>
      </c>
      <c r="BV30" t="s" s="0">
        <v>82</v>
      </c>
      <c r="BW30" t="s" s="0">
        <v>82</v>
      </c>
      <c r="BX30" t="s" s="0">
        <v>119</v>
      </c>
    </row>
    <row r="31">
      <c r="A31" t="s" s="0">
        <v>77</v>
      </c>
      <c r="B31" t="s" s="0">
        <v>77</v>
      </c>
      <c r="C31" t="s" s="0">
        <v>77</v>
      </c>
      <c r="D31" t="s" s="0">
        <v>77</v>
      </c>
      <c r="E31" t="s" s="0">
        <v>896</v>
      </c>
      <c r="F31" t="s" s="0">
        <v>897</v>
      </c>
      <c r="G31" t="s" s="0">
        <v>898</v>
      </c>
      <c r="H31" t="s" s="0">
        <v>82</v>
      </c>
      <c r="I31" t="s" s="0">
        <v>83</v>
      </c>
      <c r="J31" t="s" s="0">
        <v>899</v>
      </c>
      <c r="K31" t="s" s="0">
        <v>900</v>
      </c>
      <c r="L31" t="s" s="0">
        <v>901</v>
      </c>
      <c r="M31" t="s" s="0">
        <v>902</v>
      </c>
      <c r="N31" t="s" s="0">
        <v>903</v>
      </c>
      <c r="O31" t="s" s="0">
        <v>904</v>
      </c>
      <c r="P31" t="s" s="0">
        <v>905</v>
      </c>
      <c r="Q31" t="s" s="0">
        <v>88</v>
      </c>
      <c r="R31" t="s" s="0">
        <v>82</v>
      </c>
      <c r="S31" t="s" s="0">
        <v>82</v>
      </c>
      <c r="T31" t="s" s="0">
        <v>82</v>
      </c>
      <c r="U31" t="s" s="0">
        <v>82</v>
      </c>
      <c r="V31" t="s" s="0">
        <v>906</v>
      </c>
      <c r="W31" t="s" s="0">
        <v>261</v>
      </c>
      <c r="X31" t="s" s="0">
        <v>82</v>
      </c>
      <c r="Y31" t="s" s="0">
        <v>82</v>
      </c>
      <c r="Z31" t="s" s="0">
        <v>91</v>
      </c>
      <c r="AA31" t="s" s="0">
        <v>92</v>
      </c>
      <c r="AB31" t="s" s="0">
        <v>82</v>
      </c>
      <c r="AC31" t="s" s="0">
        <v>82</v>
      </c>
      <c r="AD31" t="s" s="0">
        <v>82</v>
      </c>
      <c r="AE31" t="s" s="0">
        <v>82</v>
      </c>
      <c r="AF31" t="s" s="0">
        <v>82</v>
      </c>
      <c r="AG31" t="s" s="0">
        <v>82</v>
      </c>
      <c r="AH31" t="s" s="0">
        <v>907</v>
      </c>
      <c r="AI31" t="s" s="0">
        <v>82</v>
      </c>
      <c r="AJ31" t="s" s="0">
        <v>82</v>
      </c>
      <c r="AK31" t="s" s="0">
        <v>82</v>
      </c>
      <c r="AL31" t="s" s="0">
        <v>908</v>
      </c>
      <c r="AM31" t="s" s="0">
        <v>77</v>
      </c>
      <c r="AN31" t="s" s="0">
        <v>77</v>
      </c>
      <c r="AO31" t="s" s="0">
        <v>229</v>
      </c>
      <c r="AP31" t="s" s="0">
        <v>229</v>
      </c>
      <c r="AQ31" t="s" s="0">
        <v>265</v>
      </c>
      <c r="AR31" t="s" s="0">
        <v>266</v>
      </c>
      <c r="AS31" t="s" s="0">
        <v>267</v>
      </c>
      <c r="AT31" t="s" s="0">
        <v>268</v>
      </c>
      <c r="AU31" t="s" s="0">
        <v>82</v>
      </c>
      <c r="AV31" t="s" s="0">
        <v>82</v>
      </c>
      <c r="AW31" t="s" s="0">
        <v>269</v>
      </c>
      <c r="AX31" t="s" s="0">
        <v>270</v>
      </c>
      <c r="AY31" t="s" s="0">
        <v>909</v>
      </c>
      <c r="AZ31" t="s" s="0">
        <v>141</v>
      </c>
      <c r="BA31" t="s" s="0">
        <v>272</v>
      </c>
      <c r="BB31" t="s" s="0">
        <v>229</v>
      </c>
      <c r="BC31" t="s" s="0">
        <v>82</v>
      </c>
      <c r="BD31" t="s" s="0">
        <v>82</v>
      </c>
      <c r="BE31" t="s" s="0">
        <v>82</v>
      </c>
      <c r="BF31" t="s" s="0">
        <v>82</v>
      </c>
      <c r="BG31" t="s" s="0">
        <v>82</v>
      </c>
      <c r="BH31" t="s" s="0">
        <v>82</v>
      </c>
      <c r="BI31" t="s" s="0">
        <v>910</v>
      </c>
      <c r="BJ31" t="s" s="0">
        <v>911</v>
      </c>
      <c r="BK31" t="s" s="59">
        <f>HYPERLINK("http://dx.doi.org/10.1038/s41746-026-02733-z","http://dx.doi.org/10.1038/s41746-026-02733-z")</f>
        <v>912</v>
      </c>
      <c r="BL31" t="s" s="0">
        <v>82</v>
      </c>
      <c r="BM31" t="s" s="0">
        <v>82</v>
      </c>
      <c r="BN31" t="s" s="0">
        <v>176</v>
      </c>
      <c r="BO31" t="s" s="0">
        <v>213</v>
      </c>
      <c r="BP31" t="s" s="0">
        <v>213</v>
      </c>
      <c r="BQ31" t="s" s="0">
        <v>913</v>
      </c>
      <c r="BR31" t="s" s="0">
        <v>914</v>
      </c>
      <c r="BS31" t="s" s="0">
        <v>915</v>
      </c>
      <c r="BT31" t="s" s="60">
        <f>HYPERLINK("https://www.webofscience.com/wos/woscc/full-record/WOS:001842964100001","View Record in Web of Science")</f>
        <v>118</v>
      </c>
      <c r="BU31" t="s" s="0">
        <v>187</v>
      </c>
      <c r="BV31" t="s" s="0">
        <v>82</v>
      </c>
      <c r="BW31" t="s" s="0">
        <v>82</v>
      </c>
      <c r="BX31" t="s" s="0">
        <v>119</v>
      </c>
    </row>
    <row r="32">
      <c r="A32" t="s" s="0">
        <v>77</v>
      </c>
      <c r="B32" t="s" s="0">
        <v>77</v>
      </c>
      <c r="C32" t="s" s="0">
        <v>77</v>
      </c>
      <c r="D32" t="s" s="0">
        <v>77</v>
      </c>
      <c r="E32" t="s" s="0">
        <v>916</v>
      </c>
      <c r="F32" t="s" s="0">
        <v>917</v>
      </c>
      <c r="G32" t="s" s="0">
        <v>918</v>
      </c>
      <c r="H32" t="s" s="0">
        <v>82</v>
      </c>
      <c r="I32" t="s" s="0">
        <v>83</v>
      </c>
      <c r="J32" t="s" s="0">
        <v>919</v>
      </c>
      <c r="K32" t="s" s="0">
        <v>920</v>
      </c>
      <c r="L32" t="s" s="0">
        <v>921</v>
      </c>
      <c r="M32" t="s" s="0">
        <v>921</v>
      </c>
      <c r="N32" t="s" s="0">
        <v>922</v>
      </c>
      <c r="O32" t="s" s="0">
        <v>923</v>
      </c>
      <c r="P32" t="s" s="0">
        <v>924</v>
      </c>
      <c r="Q32" t="s" s="0">
        <v>88</v>
      </c>
      <c r="R32" t="s" s="0">
        <v>82</v>
      </c>
      <c r="S32" t="s" s="0">
        <v>82</v>
      </c>
      <c r="T32" t="s" s="0">
        <v>82</v>
      </c>
      <c r="U32" t="s" s="0">
        <v>82</v>
      </c>
      <c r="V32" t="s" s="0">
        <v>925</v>
      </c>
      <c r="W32" t="s" s="0">
        <v>835</v>
      </c>
      <c r="X32" t="s" s="0">
        <v>82</v>
      </c>
      <c r="Y32" t="s" s="0">
        <v>82</v>
      </c>
      <c r="Z32" t="s" s="0">
        <v>91</v>
      </c>
      <c r="AA32" t="s" s="0">
        <v>92</v>
      </c>
      <c r="AB32" t="s" s="0">
        <v>82</v>
      </c>
      <c r="AC32" t="s" s="0">
        <v>82</v>
      </c>
      <c r="AD32" t="s" s="0">
        <v>82</v>
      </c>
      <c r="AE32" t="s" s="0">
        <v>82</v>
      </c>
      <c r="AF32" t="s" s="0">
        <v>82</v>
      </c>
      <c r="AG32" t="s" s="0">
        <v>82</v>
      </c>
      <c r="AH32" t="s" s="0">
        <v>926</v>
      </c>
      <c r="AI32" t="s" s="0">
        <v>927</v>
      </c>
      <c r="AJ32" t="s" s="0">
        <v>82</v>
      </c>
      <c r="AK32" t="s" s="0">
        <v>82</v>
      </c>
      <c r="AL32" t="s" s="0">
        <v>928</v>
      </c>
      <c r="AM32" t="s" s="0">
        <v>229</v>
      </c>
      <c r="AN32" t="s" s="0">
        <v>229</v>
      </c>
      <c r="AO32" t="s" s="0">
        <v>239</v>
      </c>
      <c r="AP32" t="s" s="0">
        <v>239</v>
      </c>
      <c r="AQ32" t="s" s="0">
        <v>265</v>
      </c>
      <c r="AR32" t="s" s="0">
        <v>266</v>
      </c>
      <c r="AS32" t="s" s="0">
        <v>267</v>
      </c>
      <c r="AT32" t="s" s="0">
        <v>82</v>
      </c>
      <c r="AU32" t="s" s="0">
        <v>839</v>
      </c>
      <c r="AV32" t="s" s="0">
        <v>82</v>
      </c>
      <c r="AW32" t="s" s="0">
        <v>840</v>
      </c>
      <c r="AX32" t="s" s="0">
        <v>841</v>
      </c>
      <c r="AY32" t="s" s="0">
        <v>929</v>
      </c>
      <c r="AZ32" t="s" s="0">
        <v>141</v>
      </c>
      <c r="BA32" t="s" s="0">
        <v>368</v>
      </c>
      <c r="BB32" t="s" s="0">
        <v>229</v>
      </c>
      <c r="BC32" t="s" s="0">
        <v>82</v>
      </c>
      <c r="BD32" t="s" s="0">
        <v>82</v>
      </c>
      <c r="BE32" t="s" s="0">
        <v>82</v>
      </c>
      <c r="BF32" t="s" s="0">
        <v>82</v>
      </c>
      <c r="BG32" t="s" s="0">
        <v>82</v>
      </c>
      <c r="BH32" t="s" s="0">
        <v>82</v>
      </c>
      <c r="BI32" t="s" s="0">
        <v>930</v>
      </c>
      <c r="BJ32" t="s" s="0">
        <v>931</v>
      </c>
      <c r="BK32" t="s" s="61">
        <f>HYPERLINK("http://dx.doi.org/10.1038/s41467-026-70274-w","http://dx.doi.org/10.1038/s41467-026-70274-w")</f>
        <v>932</v>
      </c>
      <c r="BL32" t="s" s="0">
        <v>82</v>
      </c>
      <c r="BM32" t="s" s="0">
        <v>562</v>
      </c>
      <c r="BN32" t="s" s="0">
        <v>379</v>
      </c>
      <c r="BO32" t="s" s="0">
        <v>380</v>
      </c>
      <c r="BP32" t="s" s="0">
        <v>381</v>
      </c>
      <c r="BQ32" t="s" s="0">
        <v>933</v>
      </c>
      <c r="BR32" t="s" s="0">
        <v>934</v>
      </c>
      <c r="BS32" t="s" s="0">
        <v>935</v>
      </c>
      <c r="BT32" t="s" s="62">
        <f>HYPERLINK("https://www.webofscience.com/wos/woscc/full-record/WOS:001768283400016","View Record in Web of Science")</f>
        <v>118</v>
      </c>
      <c r="BU32" t="s" s="0">
        <v>187</v>
      </c>
      <c r="BV32" t="s" s="0">
        <v>82</v>
      </c>
      <c r="BW32" t="s" s="0">
        <v>82</v>
      </c>
      <c r="BX32" t="s" s="0">
        <v>119</v>
      </c>
    </row>
    <row r="33">
      <c r="A33" t="s" s="0">
        <v>169</v>
      </c>
      <c r="B33" t="s" s="0">
        <v>77</v>
      </c>
      <c r="C33" t="s" s="0">
        <v>272</v>
      </c>
      <c r="D33" t="s" s="0">
        <v>77</v>
      </c>
      <c r="E33" t="s" s="0">
        <v>936</v>
      </c>
      <c r="F33" t="s" s="0">
        <v>937</v>
      </c>
      <c r="G33" t="s" s="0">
        <v>938</v>
      </c>
      <c r="H33" t="s" s="0">
        <v>82</v>
      </c>
      <c r="I33" t="s" s="0">
        <v>83</v>
      </c>
      <c r="J33" t="s" s="0">
        <v>939</v>
      </c>
      <c r="K33" t="s" s="0">
        <v>940</v>
      </c>
      <c r="L33" t="s" s="0">
        <v>941</v>
      </c>
      <c r="M33" t="s" s="0">
        <v>942</v>
      </c>
      <c r="N33" t="s" s="0">
        <v>943</v>
      </c>
      <c r="O33" t="s" s="0">
        <v>944</v>
      </c>
      <c r="P33" t="s" s="0">
        <v>945</v>
      </c>
      <c r="Q33" t="s" s="0">
        <v>88</v>
      </c>
      <c r="R33" t="s" s="0">
        <v>82</v>
      </c>
      <c r="S33" t="s" s="0">
        <v>82</v>
      </c>
      <c r="T33" t="s" s="0">
        <v>82</v>
      </c>
      <c r="U33" t="s" s="0">
        <v>82</v>
      </c>
      <c r="V33" t="s" s="0">
        <v>946</v>
      </c>
      <c r="W33" t="s" s="0">
        <v>261</v>
      </c>
      <c r="X33" t="s" s="0">
        <v>82</v>
      </c>
      <c r="Y33" t="s" s="0">
        <v>82</v>
      </c>
      <c r="Z33" t="s" s="0">
        <v>91</v>
      </c>
      <c r="AA33" t="s" s="0">
        <v>92</v>
      </c>
      <c r="AB33" t="s" s="0">
        <v>82</v>
      </c>
      <c r="AC33" t="s" s="0">
        <v>82</v>
      </c>
      <c r="AD33" t="s" s="0">
        <v>82</v>
      </c>
      <c r="AE33" t="s" s="0">
        <v>82</v>
      </c>
      <c r="AF33" t="s" s="0">
        <v>82</v>
      </c>
      <c r="AG33" t="s" s="0">
        <v>82</v>
      </c>
      <c r="AH33" t="s" s="0">
        <v>82</v>
      </c>
      <c r="AI33" t="s" s="0">
        <v>947</v>
      </c>
      <c r="AJ33" t="s" s="0">
        <v>948</v>
      </c>
      <c r="AK33" t="s" s="0">
        <v>82</v>
      </c>
      <c r="AL33" t="s" s="0">
        <v>949</v>
      </c>
      <c r="AM33" t="s" s="0">
        <v>950</v>
      </c>
      <c r="AN33" t="s" s="0">
        <v>951</v>
      </c>
      <c r="AO33" t="s" s="0">
        <v>952</v>
      </c>
      <c r="AP33" t="s" s="0">
        <v>953</v>
      </c>
      <c r="AQ33" t="s" s="0">
        <v>265</v>
      </c>
      <c r="AR33" t="s" s="0">
        <v>266</v>
      </c>
      <c r="AS33" t="s" s="0">
        <v>267</v>
      </c>
      <c r="AT33" t="s" s="0">
        <v>268</v>
      </c>
      <c r="AU33" t="s" s="0">
        <v>82</v>
      </c>
      <c r="AV33" t="s" s="0">
        <v>82</v>
      </c>
      <c r="AW33" t="s" s="0">
        <v>269</v>
      </c>
      <c r="AX33" t="s" s="0">
        <v>270</v>
      </c>
      <c r="AY33" t="s" s="0">
        <v>954</v>
      </c>
      <c r="AZ33" t="s" s="0">
        <v>107</v>
      </c>
      <c r="BA33" t="s" s="0">
        <v>244</v>
      </c>
      <c r="BB33" t="s" s="0">
        <v>229</v>
      </c>
      <c r="BC33" t="s" s="0">
        <v>82</v>
      </c>
      <c r="BD33" t="s" s="0">
        <v>82</v>
      </c>
      <c r="BE33" t="s" s="0">
        <v>82</v>
      </c>
      <c r="BF33" t="s" s="0">
        <v>82</v>
      </c>
      <c r="BG33" t="s" s="0">
        <v>82</v>
      </c>
      <c r="BH33" t="s" s="0">
        <v>82</v>
      </c>
      <c r="BI33" t="s" s="0">
        <v>955</v>
      </c>
      <c r="BJ33" t="s" s="0">
        <v>956</v>
      </c>
      <c r="BK33" t="s" s="63">
        <f>HYPERLINK("http://dx.doi.org/10.1038/s41746-025-01684-1","http://dx.doi.org/10.1038/s41746-025-01684-1")</f>
        <v>957</v>
      </c>
      <c r="BL33" t="s" s="0">
        <v>82</v>
      </c>
      <c r="BM33" t="s" s="0">
        <v>82</v>
      </c>
      <c r="BN33" t="s" s="0">
        <v>132</v>
      </c>
      <c r="BO33" t="s" s="0">
        <v>213</v>
      </c>
      <c r="BP33" t="s" s="0">
        <v>213</v>
      </c>
      <c r="BQ33" t="s" s="0">
        <v>958</v>
      </c>
      <c r="BR33" t="s" s="0">
        <v>959</v>
      </c>
      <c r="BS33" t="s" s="0">
        <v>960</v>
      </c>
      <c r="BT33" t="s" s="64">
        <f>HYPERLINK("https://www.webofscience.com/wos/woscc/full-record/WOS:001485848400003","View Record in Web of Science")</f>
        <v>118</v>
      </c>
      <c r="BU33" t="s" s="0">
        <v>187</v>
      </c>
      <c r="BV33" t="s" s="0">
        <v>385</v>
      </c>
      <c r="BW33" t="s" s="0">
        <v>350</v>
      </c>
      <c r="BX33" t="s" s="0">
        <v>119</v>
      </c>
    </row>
    <row r="34">
      <c r="A34" t="s" s="0">
        <v>77</v>
      </c>
      <c r="B34" t="s" s="0">
        <v>77</v>
      </c>
      <c r="C34" t="s" s="0">
        <v>264</v>
      </c>
      <c r="D34" t="s" s="0">
        <v>77</v>
      </c>
      <c r="E34" t="s" s="0">
        <v>961</v>
      </c>
      <c r="F34" t="s" s="0">
        <v>962</v>
      </c>
      <c r="G34" t="s" s="0">
        <v>963</v>
      </c>
      <c r="H34" t="s" s="0">
        <v>82</v>
      </c>
      <c r="I34" t="s" s="0">
        <v>595</v>
      </c>
      <c r="J34" t="s" s="0">
        <v>964</v>
      </c>
      <c r="K34" t="s" s="0">
        <v>965</v>
      </c>
      <c r="L34" t="s" s="0">
        <v>82</v>
      </c>
      <c r="M34" t="s" s="0">
        <v>82</v>
      </c>
      <c r="N34" t="s" s="0">
        <v>966</v>
      </c>
      <c r="O34" t="s" s="0">
        <v>967</v>
      </c>
      <c r="P34" t="s" s="0">
        <v>968</v>
      </c>
      <c r="Q34" t="s" s="0">
        <v>88</v>
      </c>
      <c r="R34" t="s" s="0">
        <v>82</v>
      </c>
      <c r="S34" t="s" s="0">
        <v>82</v>
      </c>
      <c r="T34" t="s" s="0">
        <v>82</v>
      </c>
      <c r="U34" t="s" s="0">
        <v>82</v>
      </c>
      <c r="V34" t="s" s="0">
        <v>969</v>
      </c>
      <c r="W34" t="s" s="0">
        <v>970</v>
      </c>
      <c r="X34" t="s" s="0">
        <v>82</v>
      </c>
      <c r="Y34" t="s" s="0">
        <v>82</v>
      </c>
      <c r="Z34" t="s" s="0">
        <v>91</v>
      </c>
      <c r="AA34" t="s" s="0">
        <v>92</v>
      </c>
      <c r="AB34" t="s" s="0">
        <v>82</v>
      </c>
      <c r="AC34" t="s" s="0">
        <v>82</v>
      </c>
      <c r="AD34" t="s" s="0">
        <v>82</v>
      </c>
      <c r="AE34" t="s" s="0">
        <v>82</v>
      </c>
      <c r="AF34" t="s" s="0">
        <v>82</v>
      </c>
      <c r="AG34" t="s" s="0">
        <v>971</v>
      </c>
      <c r="AH34" t="s" s="0">
        <v>82</v>
      </c>
      <c r="AI34" t="s" s="0">
        <v>972</v>
      </c>
      <c r="AJ34" t="s" s="0">
        <v>973</v>
      </c>
      <c r="AK34" t="s" s="0">
        <v>82</v>
      </c>
      <c r="AL34" t="s" s="0">
        <v>425</v>
      </c>
      <c r="AM34" t="s" s="0">
        <v>244</v>
      </c>
      <c r="AN34" t="s" s="0">
        <v>342</v>
      </c>
      <c r="AO34" t="s" s="0">
        <v>229</v>
      </c>
      <c r="AP34" t="s" s="0">
        <v>346</v>
      </c>
      <c r="AQ34" t="s" s="0">
        <v>711</v>
      </c>
      <c r="AR34" t="s" s="0">
        <v>712</v>
      </c>
      <c r="AS34" t="s" s="0">
        <v>713</v>
      </c>
      <c r="AT34" t="s" s="0">
        <v>82</v>
      </c>
      <c r="AU34" t="s" s="0">
        <v>974</v>
      </c>
      <c r="AV34" t="s" s="0">
        <v>82</v>
      </c>
      <c r="AW34" t="s" s="0">
        <v>975</v>
      </c>
      <c r="AX34" t="s" s="0">
        <v>976</v>
      </c>
      <c r="AY34" t="s" s="0">
        <v>977</v>
      </c>
      <c r="AZ34" t="s" s="0">
        <v>341</v>
      </c>
      <c r="BA34" t="s" s="0">
        <v>98</v>
      </c>
      <c r="BB34" t="s" s="0">
        <v>82</v>
      </c>
      <c r="BC34" t="s" s="0">
        <v>82</v>
      </c>
      <c r="BD34" t="s" s="0">
        <v>82</v>
      </c>
      <c r="BE34" t="s" s="0">
        <v>82</v>
      </c>
      <c r="BF34" t="s" s="0">
        <v>82</v>
      </c>
      <c r="BG34" t="s" s="0">
        <v>82</v>
      </c>
      <c r="BH34" t="s" s="0">
        <v>82</v>
      </c>
      <c r="BI34" t="s" s="0">
        <v>978</v>
      </c>
      <c r="BJ34" t="s" s="0">
        <v>979</v>
      </c>
      <c r="BK34" t="s" s="65">
        <f>HYPERLINK("http://dx.doi.org/10.3389/frai.2024.1379297","http://dx.doi.org/10.3389/frai.2024.1379297")</f>
        <v>980</v>
      </c>
      <c r="BL34" t="s" s="0">
        <v>82</v>
      </c>
      <c r="BM34" t="s" s="0">
        <v>82</v>
      </c>
      <c r="BN34" t="s" s="0">
        <v>239</v>
      </c>
      <c r="BO34" t="s" s="0">
        <v>981</v>
      </c>
      <c r="BP34" t="s" s="0">
        <v>982</v>
      </c>
      <c r="BQ34" t="s" s="0">
        <v>983</v>
      </c>
      <c r="BR34" t="s" s="0">
        <v>984</v>
      </c>
      <c r="BS34" t="s" s="0">
        <v>985</v>
      </c>
      <c r="BT34" t="s" s="66">
        <f>HYPERLINK("https://www.webofscience.com/wos/woscc/full-record/WOS:001292883600001","View Record in Web of Science")</f>
        <v>118</v>
      </c>
      <c r="BU34" t="s" s="0">
        <v>187</v>
      </c>
      <c r="BV34" t="s" s="0">
        <v>82</v>
      </c>
      <c r="BW34" t="s" s="0">
        <v>82</v>
      </c>
      <c r="BX34" t="s" s="0">
        <v>119</v>
      </c>
    </row>
    <row r="35">
      <c r="A35" t="s" s="0">
        <v>77</v>
      </c>
      <c r="B35" t="s" s="0">
        <v>77</v>
      </c>
      <c r="C35" t="s" s="0">
        <v>77</v>
      </c>
      <c r="D35" t="s" s="0">
        <v>77</v>
      </c>
      <c r="E35" t="s" s="0">
        <v>986</v>
      </c>
      <c r="F35" t="s" s="0">
        <v>987</v>
      </c>
      <c r="G35" t="s" s="0">
        <v>988</v>
      </c>
      <c r="H35" t="s" s="0">
        <v>82</v>
      </c>
      <c r="I35" t="s" s="0">
        <v>595</v>
      </c>
      <c r="J35" t="s" s="0">
        <v>989</v>
      </c>
      <c r="K35" t="s" s="0">
        <v>990</v>
      </c>
      <c r="L35" t="s" s="0">
        <v>82</v>
      </c>
      <c r="M35" t="s" s="0">
        <v>82</v>
      </c>
      <c r="N35" t="s" s="0">
        <v>82</v>
      </c>
      <c r="O35" t="s" s="0">
        <v>991</v>
      </c>
      <c r="P35" t="s" s="0">
        <v>992</v>
      </c>
      <c r="Q35" t="s" s="0">
        <v>88</v>
      </c>
      <c r="R35" t="s" s="0">
        <v>82</v>
      </c>
      <c r="S35" t="s" s="0">
        <v>82</v>
      </c>
      <c r="T35" t="s" s="0">
        <v>82</v>
      </c>
      <c r="U35" t="s" s="0">
        <v>82</v>
      </c>
      <c r="V35" t="s" s="0">
        <v>993</v>
      </c>
      <c r="W35" t="s" s="0">
        <v>994</v>
      </c>
      <c r="X35" t="s" s="0">
        <v>82</v>
      </c>
      <c r="Y35" t="s" s="0">
        <v>82</v>
      </c>
      <c r="Z35" t="s" s="0">
        <v>91</v>
      </c>
      <c r="AA35" t="s" s="0">
        <v>92</v>
      </c>
      <c r="AB35" t="s" s="0">
        <v>82</v>
      </c>
      <c r="AC35" t="s" s="0">
        <v>82</v>
      </c>
      <c r="AD35" t="s" s="0">
        <v>82</v>
      </c>
      <c r="AE35" t="s" s="0">
        <v>82</v>
      </c>
      <c r="AF35" t="s" s="0">
        <v>82</v>
      </c>
      <c r="AG35" t="s" s="0">
        <v>995</v>
      </c>
      <c r="AH35" t="s" s="0">
        <v>82</v>
      </c>
      <c r="AI35" t="s" s="0">
        <v>996</v>
      </c>
      <c r="AJ35" t="s" s="0">
        <v>997</v>
      </c>
      <c r="AK35" t="s" s="0">
        <v>82</v>
      </c>
      <c r="AL35" t="s" s="0">
        <v>181</v>
      </c>
      <c r="AM35" t="s" s="0">
        <v>229</v>
      </c>
      <c r="AN35" t="s" s="0">
        <v>78</v>
      </c>
      <c r="AO35" t="s" s="0">
        <v>77</v>
      </c>
      <c r="AP35" t="s" s="0">
        <v>78</v>
      </c>
      <c r="AQ35" t="s" s="0">
        <v>998</v>
      </c>
      <c r="AR35" t="s" s="0">
        <v>999</v>
      </c>
      <c r="AS35" t="s" s="0">
        <v>1000</v>
      </c>
      <c r="AT35" t="s" s="0">
        <v>1001</v>
      </c>
      <c r="AU35" t="s" s="0">
        <v>1002</v>
      </c>
      <c r="AV35" t="s" s="0">
        <v>82</v>
      </c>
      <c r="AW35" t="s" s="0">
        <v>1003</v>
      </c>
      <c r="AX35" t="s" s="0">
        <v>1004</v>
      </c>
      <c r="AY35" t="s" s="0">
        <v>688</v>
      </c>
      <c r="AZ35" t="s" s="0">
        <v>107</v>
      </c>
      <c r="BA35" t="s" s="0">
        <v>845</v>
      </c>
      <c r="BB35" t="s" s="0">
        <v>264</v>
      </c>
      <c r="BC35" t="s" s="0">
        <v>82</v>
      </c>
      <c r="BD35" t="s" s="0">
        <v>82</v>
      </c>
      <c r="BE35" t="s" s="0">
        <v>82</v>
      </c>
      <c r="BF35" t="s" s="0">
        <v>82</v>
      </c>
      <c r="BG35" t="s" s="0">
        <v>1005</v>
      </c>
      <c r="BH35" t="s" s="0">
        <v>1006</v>
      </c>
      <c r="BI35" t="s" s="0">
        <v>82</v>
      </c>
      <c r="BJ35" t="s" s="0">
        <v>1007</v>
      </c>
      <c r="BK35" t="s" s="67">
        <f>HYPERLINK("http://dx.doi.org/10.4274/eajem.galenos.2025.60320","http://dx.doi.org/10.4274/eajem.galenos.2025.60320")</f>
        <v>1008</v>
      </c>
      <c r="BL35" t="s" s="0">
        <v>82</v>
      </c>
      <c r="BM35" t="s" s="0">
        <v>82</v>
      </c>
      <c r="BN35" t="s" s="0">
        <v>98</v>
      </c>
      <c r="BO35" t="s" s="0">
        <v>615</v>
      </c>
      <c r="BP35" t="s" s="0">
        <v>615</v>
      </c>
      <c r="BQ35" t="s" s="0">
        <v>1009</v>
      </c>
      <c r="BR35" t="s" s="0">
        <v>82</v>
      </c>
      <c r="BS35" t="s" s="0">
        <v>1010</v>
      </c>
      <c r="BT35" t="s" s="68">
        <f>HYPERLINK("https://www.webofscience.com/wos/woscc/full-record/WOS:001569268200001","View Record in Web of Science")</f>
        <v>118</v>
      </c>
      <c r="BU35" t="s" s="0">
        <v>187</v>
      </c>
      <c r="BV35" t="s" s="0">
        <v>82</v>
      </c>
      <c r="BW35" t="s" s="0">
        <v>82</v>
      </c>
      <c r="BX35" t="s" s="0">
        <v>119</v>
      </c>
    </row>
    <row r="36">
      <c r="A36" t="s" s="0">
        <v>77</v>
      </c>
      <c r="B36" t="s" s="0">
        <v>77</v>
      </c>
      <c r="C36" t="s" s="0">
        <v>229</v>
      </c>
      <c r="D36" t="s" s="0">
        <v>77</v>
      </c>
      <c r="E36" t="s" s="0">
        <v>1011</v>
      </c>
      <c r="F36" t="s" s="0">
        <v>1012</v>
      </c>
      <c r="G36" t="s" s="0">
        <v>1013</v>
      </c>
      <c r="H36" t="s" s="0">
        <v>82</v>
      </c>
      <c r="I36" t="s" s="0">
        <v>83</v>
      </c>
      <c r="J36" t="s" s="0">
        <v>1014</v>
      </c>
      <c r="K36" t="s" s="0">
        <v>1015</v>
      </c>
      <c r="L36" t="s" s="0">
        <v>1016</v>
      </c>
      <c r="M36" t="s" s="0">
        <v>1017</v>
      </c>
      <c r="N36" t="s" s="0">
        <v>1018</v>
      </c>
      <c r="O36" t="s" s="0">
        <v>1019</v>
      </c>
      <c r="P36" t="s" s="0">
        <v>1020</v>
      </c>
      <c r="Q36" t="s" s="0">
        <v>88</v>
      </c>
      <c r="R36" t="s" s="0">
        <v>82</v>
      </c>
      <c r="S36" t="s" s="0">
        <v>82</v>
      </c>
      <c r="T36" t="s" s="0">
        <v>82</v>
      </c>
      <c r="U36" t="s" s="0">
        <v>82</v>
      </c>
      <c r="V36" t="s" s="0">
        <v>1021</v>
      </c>
      <c r="W36" t="s" s="0">
        <v>1022</v>
      </c>
      <c r="X36" t="s" s="0">
        <v>82</v>
      </c>
      <c r="Y36" t="s" s="0">
        <v>82</v>
      </c>
      <c r="Z36" t="s" s="0">
        <v>91</v>
      </c>
      <c r="AA36" t="s" s="0">
        <v>92</v>
      </c>
      <c r="AB36" t="s" s="0">
        <v>82</v>
      </c>
      <c r="AC36" t="s" s="0">
        <v>82</v>
      </c>
      <c r="AD36" t="s" s="0">
        <v>82</v>
      </c>
      <c r="AE36" t="s" s="0">
        <v>82</v>
      </c>
      <c r="AF36" t="s" s="0">
        <v>82</v>
      </c>
      <c r="AG36" t="s" s="0">
        <v>1023</v>
      </c>
      <c r="AH36" t="s" s="0">
        <v>859</v>
      </c>
      <c r="AI36" t="s" s="0">
        <v>1024</v>
      </c>
      <c r="AJ36" t="s" s="0">
        <v>1025</v>
      </c>
      <c r="AK36" t="s" s="0">
        <v>82</v>
      </c>
      <c r="AL36" t="s" s="0">
        <v>769</v>
      </c>
      <c r="AM36" t="s" s="0">
        <v>244</v>
      </c>
      <c r="AN36" t="s" s="0">
        <v>244</v>
      </c>
      <c r="AO36" t="s" s="0">
        <v>78</v>
      </c>
      <c r="AP36" t="s" s="0">
        <v>346</v>
      </c>
      <c r="AQ36" t="s" s="0">
        <v>1026</v>
      </c>
      <c r="AR36" t="s" s="0">
        <v>1027</v>
      </c>
      <c r="AS36" t="s" s="0">
        <v>1028</v>
      </c>
      <c r="AT36" t="s" s="0">
        <v>1029</v>
      </c>
      <c r="AU36" t="s" s="0">
        <v>1030</v>
      </c>
      <c r="AV36" t="s" s="0">
        <v>82</v>
      </c>
      <c r="AW36" t="s" s="0">
        <v>1031</v>
      </c>
      <c r="AX36" t="s" s="0">
        <v>1032</v>
      </c>
      <c r="AY36" t="s" s="0">
        <v>1033</v>
      </c>
      <c r="AZ36" t="s" s="0">
        <v>107</v>
      </c>
      <c r="BA36" t="s" s="0">
        <v>1034</v>
      </c>
      <c r="BB36" t="s" s="0">
        <v>82</v>
      </c>
      <c r="BC36" t="s" s="0">
        <v>82</v>
      </c>
      <c r="BD36" t="s" s="0">
        <v>82</v>
      </c>
      <c r="BE36" t="s" s="0">
        <v>82</v>
      </c>
      <c r="BF36" t="s" s="0">
        <v>82</v>
      </c>
      <c r="BG36" t="s" s="0">
        <v>82</v>
      </c>
      <c r="BH36" t="s" s="0">
        <v>82</v>
      </c>
      <c r="BI36" t="s" s="0">
        <v>1035</v>
      </c>
      <c r="BJ36" t="s" s="0">
        <v>1036</v>
      </c>
      <c r="BK36" t="s" s="69">
        <f>HYPERLINK("http://dx.doi.org/10.1016/j.eswa.2025.127833","http://dx.doi.org/10.1016/j.eswa.2025.127833")</f>
        <v>1037</v>
      </c>
      <c r="BL36" t="s" s="0">
        <v>82</v>
      </c>
      <c r="BM36" t="s" s="0">
        <v>1038</v>
      </c>
      <c r="BN36" t="s" s="0">
        <v>272</v>
      </c>
      <c r="BO36" t="s" s="0">
        <v>1039</v>
      </c>
      <c r="BP36" t="s" s="0">
        <v>1040</v>
      </c>
      <c r="BQ36" t="s" s="0">
        <v>1041</v>
      </c>
      <c r="BR36" t="s" s="0">
        <v>1042</v>
      </c>
      <c r="BS36" t="s" s="0">
        <v>1043</v>
      </c>
      <c r="BT36" t="s" s="70">
        <f>HYPERLINK("https://www.webofscience.com/wos/woscc/full-record/WOS:001501990500003","View Record in Web of Science")</f>
        <v>118</v>
      </c>
      <c r="BU36" t="s" s="0">
        <v>1044</v>
      </c>
      <c r="BV36" t="s" s="0">
        <v>82</v>
      </c>
      <c r="BW36" t="s" s="0">
        <v>82</v>
      </c>
      <c r="BX36" t="s" s="0">
        <v>119</v>
      </c>
    </row>
    <row r="37">
      <c r="A37" t="s" s="0">
        <v>77</v>
      </c>
      <c r="B37" t="s" s="0">
        <v>77</v>
      </c>
      <c r="C37" t="s" s="0">
        <v>77</v>
      </c>
      <c r="D37" t="s" s="0">
        <v>77</v>
      </c>
      <c r="E37" t="s" s="0">
        <v>1045</v>
      </c>
      <c r="F37" t="s" s="0">
        <v>1046</v>
      </c>
      <c r="G37" t="s" s="0">
        <v>1047</v>
      </c>
      <c r="H37" t="s" s="0">
        <v>82</v>
      </c>
      <c r="I37" t="s" s="0">
        <v>83</v>
      </c>
      <c r="J37" t="s" s="0">
        <v>1048</v>
      </c>
      <c r="K37" t="s" s="0">
        <v>1049</v>
      </c>
      <c r="L37" t="s" s="0">
        <v>1050</v>
      </c>
      <c r="M37" t="s" s="0">
        <v>1051</v>
      </c>
      <c r="N37" t="s" s="0">
        <v>1052</v>
      </c>
      <c r="O37" t="s" s="0">
        <v>1053</v>
      </c>
      <c r="P37" t="s" s="0">
        <v>1054</v>
      </c>
      <c r="Q37" t="s" s="0">
        <v>88</v>
      </c>
      <c r="R37" t="s" s="0">
        <v>82</v>
      </c>
      <c r="S37" t="s" s="0">
        <v>82</v>
      </c>
      <c r="T37" t="s" s="0">
        <v>82</v>
      </c>
      <c r="U37" t="s" s="0">
        <v>82</v>
      </c>
      <c r="V37" t="s" s="0">
        <v>1055</v>
      </c>
      <c r="W37" t="s" s="0">
        <v>1056</v>
      </c>
      <c r="X37" t="s" s="0">
        <v>82</v>
      </c>
      <c r="Y37" t="s" s="0">
        <v>82</v>
      </c>
      <c r="Z37" t="s" s="0">
        <v>91</v>
      </c>
      <c r="AA37" t="s" s="0">
        <v>92</v>
      </c>
      <c r="AB37" t="s" s="0">
        <v>82</v>
      </c>
      <c r="AC37" t="s" s="0">
        <v>82</v>
      </c>
      <c r="AD37" t="s" s="0">
        <v>82</v>
      </c>
      <c r="AE37" t="s" s="0">
        <v>82</v>
      </c>
      <c r="AF37" t="s" s="0">
        <v>82</v>
      </c>
      <c r="AG37" t="s" s="0">
        <v>1057</v>
      </c>
      <c r="AH37" t="s" s="0">
        <v>1058</v>
      </c>
      <c r="AI37" t="s" s="0">
        <v>1059</v>
      </c>
      <c r="AJ37" t="s" s="0">
        <v>1060</v>
      </c>
      <c r="AK37" t="s" s="0">
        <v>82</v>
      </c>
      <c r="AL37" t="s" s="0">
        <v>1061</v>
      </c>
      <c r="AM37" t="s" s="0">
        <v>98</v>
      </c>
      <c r="AN37" t="s" s="0">
        <v>346</v>
      </c>
      <c r="AO37" t="s" s="0">
        <v>244</v>
      </c>
      <c r="AP37" t="s" s="0">
        <v>277</v>
      </c>
      <c r="AQ37" t="s" s="0">
        <v>200</v>
      </c>
      <c r="AR37" t="s" s="0">
        <v>201</v>
      </c>
      <c r="AS37" t="s" s="0">
        <v>202</v>
      </c>
      <c r="AT37" t="s" s="0">
        <v>82</v>
      </c>
      <c r="AU37" t="s" s="0">
        <v>1062</v>
      </c>
      <c r="AV37" t="s" s="0">
        <v>82</v>
      </c>
      <c r="AW37" t="s" s="0">
        <v>1063</v>
      </c>
      <c r="AX37" t="s" s="0">
        <v>1064</v>
      </c>
      <c r="AY37" t="s" s="0">
        <v>107</v>
      </c>
      <c r="AZ37" t="s" s="0">
        <v>107</v>
      </c>
      <c r="BA37" t="s" s="0">
        <v>425</v>
      </c>
      <c r="BB37" t="s" s="0">
        <v>82</v>
      </c>
      <c r="BC37" t="s" s="0">
        <v>82</v>
      </c>
      <c r="BD37" t="s" s="0">
        <v>82</v>
      </c>
      <c r="BE37" t="s" s="0">
        <v>82</v>
      </c>
      <c r="BF37" t="s" s="0">
        <v>82</v>
      </c>
      <c r="BG37" t="s" s="0">
        <v>82</v>
      </c>
      <c r="BH37" t="s" s="0">
        <v>82</v>
      </c>
      <c r="BI37" t="s" s="0">
        <v>1065</v>
      </c>
      <c r="BJ37" t="s" s="0">
        <v>1066</v>
      </c>
      <c r="BK37" t="s" s="71">
        <f>HYPERLINK("http://dx.doi.org/10.2196/76326","http://dx.doi.org/10.2196/76326")</f>
        <v>1067</v>
      </c>
      <c r="BL37" t="s" s="0">
        <v>82</v>
      </c>
      <c r="BM37" t="s" s="0">
        <v>82</v>
      </c>
      <c r="BN37" t="s" s="0">
        <v>1068</v>
      </c>
      <c r="BO37" t="s" s="0">
        <v>1069</v>
      </c>
      <c r="BP37" t="s" s="0">
        <v>1069</v>
      </c>
      <c r="BQ37" t="s" s="0">
        <v>1070</v>
      </c>
      <c r="BR37" t="s" s="0">
        <v>1071</v>
      </c>
      <c r="BS37" t="s" s="0">
        <v>1072</v>
      </c>
      <c r="BT37" t="s" s="72">
        <f>HYPERLINK("https://www.webofscience.com/wos/woscc/full-record/WOS:001634505900001","View Record in Web of Science")</f>
        <v>118</v>
      </c>
      <c r="BU37" t="s" s="0">
        <v>187</v>
      </c>
      <c r="BV37" t="s" s="0">
        <v>82</v>
      </c>
      <c r="BW37" t="s" s="0">
        <v>82</v>
      </c>
      <c r="BX37" t="s" s="0">
        <v>119</v>
      </c>
    </row>
    <row r="38">
      <c r="A38" t="s" s="0">
        <v>77</v>
      </c>
      <c r="B38" t="s" s="0">
        <v>77</v>
      </c>
      <c r="C38" t="s" s="0">
        <v>78</v>
      </c>
      <c r="D38" t="s" s="0">
        <v>77</v>
      </c>
      <c r="E38" t="s" s="0">
        <v>1073</v>
      </c>
      <c r="F38" t="s" s="0">
        <v>1074</v>
      </c>
      <c r="G38" t="s" s="0">
        <v>1075</v>
      </c>
      <c r="H38" t="s" s="0">
        <v>82</v>
      </c>
      <c r="I38" t="s" s="0">
        <v>595</v>
      </c>
      <c r="J38" t="s" s="0">
        <v>1076</v>
      </c>
      <c r="K38" t="s" s="0">
        <v>1077</v>
      </c>
      <c r="L38" t="s" s="0">
        <v>1078</v>
      </c>
      <c r="M38" t="s" s="0">
        <v>1079</v>
      </c>
      <c r="N38" t="s" s="0">
        <v>1080</v>
      </c>
      <c r="O38" t="s" s="0">
        <v>1081</v>
      </c>
      <c r="P38" t="s" s="0">
        <v>1082</v>
      </c>
      <c r="Q38" t="s" s="0">
        <v>88</v>
      </c>
      <c r="R38" t="s" s="0">
        <v>82</v>
      </c>
      <c r="S38" t="s" s="0">
        <v>82</v>
      </c>
      <c r="T38" t="s" s="0">
        <v>82</v>
      </c>
      <c r="U38" t="s" s="0">
        <v>82</v>
      </c>
      <c r="V38" t="s" s="0">
        <v>1083</v>
      </c>
      <c r="W38" t="s" s="0">
        <v>1084</v>
      </c>
      <c r="X38" t="s" s="0">
        <v>82</v>
      </c>
      <c r="Y38" t="s" s="0">
        <v>82</v>
      </c>
      <c r="Z38" t="s" s="0">
        <v>91</v>
      </c>
      <c r="AA38" t="s" s="0">
        <v>92</v>
      </c>
      <c r="AB38" t="s" s="0">
        <v>82</v>
      </c>
      <c r="AC38" t="s" s="0">
        <v>82</v>
      </c>
      <c r="AD38" t="s" s="0">
        <v>82</v>
      </c>
      <c r="AE38" t="s" s="0">
        <v>82</v>
      </c>
      <c r="AF38" t="s" s="0">
        <v>82</v>
      </c>
      <c r="AG38" t="s" s="0">
        <v>82</v>
      </c>
      <c r="AH38" t="s" s="0">
        <v>1085</v>
      </c>
      <c r="AI38" t="s" s="0">
        <v>1086</v>
      </c>
      <c r="AJ38" t="s" s="0">
        <v>1087</v>
      </c>
      <c r="AK38" t="s" s="0">
        <v>82</v>
      </c>
      <c r="AL38" t="s" s="0">
        <v>199</v>
      </c>
      <c r="AM38" t="s" s="0">
        <v>308</v>
      </c>
      <c r="AN38" t="s" s="0">
        <v>308</v>
      </c>
      <c r="AO38" t="s" s="0">
        <v>229</v>
      </c>
      <c r="AP38" t="s" s="0">
        <v>169</v>
      </c>
      <c r="AQ38" t="s" s="0">
        <v>99</v>
      </c>
      <c r="AR38" t="s" s="0">
        <v>100</v>
      </c>
      <c r="AS38" t="s" s="0">
        <v>101</v>
      </c>
      <c r="AT38" t="s" s="0">
        <v>82</v>
      </c>
      <c r="AU38" t="s" s="0">
        <v>1088</v>
      </c>
      <c r="AV38" t="s" s="0">
        <v>82</v>
      </c>
      <c r="AW38" t="s" s="0">
        <v>1089</v>
      </c>
      <c r="AX38" t="s" s="0">
        <v>1090</v>
      </c>
      <c r="AY38" t="s" s="0">
        <v>688</v>
      </c>
      <c r="AZ38" t="s" s="0">
        <v>107</v>
      </c>
      <c r="BA38" t="s" s="0">
        <v>264</v>
      </c>
      <c r="BB38" t="s" s="0">
        <v>264</v>
      </c>
      <c r="BC38" t="s" s="0">
        <v>82</v>
      </c>
      <c r="BD38" t="s" s="0">
        <v>82</v>
      </c>
      <c r="BE38" t="s" s="0">
        <v>82</v>
      </c>
      <c r="BF38" t="s" s="0">
        <v>82</v>
      </c>
      <c r="BG38" t="s" s="0">
        <v>82</v>
      </c>
      <c r="BH38" t="s" s="0">
        <v>82</v>
      </c>
      <c r="BI38" t="s" s="0">
        <v>1091</v>
      </c>
      <c r="BJ38" t="s" s="0">
        <v>1092</v>
      </c>
      <c r="BK38" t="s" s="73">
        <f>HYPERLINK("http://dx.doi.org/10.1016/j.mcpdig.2025.100230","http://dx.doi.org/10.1016/j.mcpdig.2025.100230")</f>
        <v>1093</v>
      </c>
      <c r="BL38" t="s" s="0">
        <v>82</v>
      </c>
      <c r="BM38" t="s" s="0">
        <v>1094</v>
      </c>
      <c r="BN38" t="s" s="0">
        <v>342</v>
      </c>
      <c r="BO38" t="s" s="0">
        <v>213</v>
      </c>
      <c r="BP38" t="s" s="0">
        <v>213</v>
      </c>
      <c r="BQ38" t="s" s="0">
        <v>1095</v>
      </c>
      <c r="BR38" t="s" s="0">
        <v>1096</v>
      </c>
      <c r="BS38" t="s" s="0">
        <v>1097</v>
      </c>
      <c r="BT38" t="s" s="74">
        <f>HYPERLINK("https://www.webofscience.com/wos/woscc/full-record/WOS:001545378000001","View Record in Web of Science")</f>
        <v>118</v>
      </c>
      <c r="BU38" t="s" s="0">
        <v>187</v>
      </c>
      <c r="BV38" t="s" s="0">
        <v>82</v>
      </c>
      <c r="BW38" t="s" s="0">
        <v>82</v>
      </c>
      <c r="BX38" t="s" s="0">
        <v>119</v>
      </c>
    </row>
    <row r="39">
      <c r="A39" t="s" s="0">
        <v>77</v>
      </c>
      <c r="B39" t="s" s="0">
        <v>77</v>
      </c>
      <c r="C39" t="s" s="0">
        <v>229</v>
      </c>
      <c r="D39" t="s" s="0">
        <v>77</v>
      </c>
      <c r="E39" t="s" s="0">
        <v>1098</v>
      </c>
      <c r="F39" t="s" s="0">
        <v>1099</v>
      </c>
      <c r="G39" t="s" s="0">
        <v>1100</v>
      </c>
      <c r="H39" t="s" s="0">
        <v>82</v>
      </c>
      <c r="I39" t="s" s="0">
        <v>83</v>
      </c>
      <c r="J39" t="s" s="0">
        <v>1101</v>
      </c>
      <c r="K39" t="s" s="0">
        <v>1102</v>
      </c>
      <c r="L39" t="s" s="0">
        <v>1103</v>
      </c>
      <c r="M39" t="s" s="0">
        <v>1104</v>
      </c>
      <c r="N39" t="s" s="0">
        <v>1105</v>
      </c>
      <c r="O39" t="s" s="0">
        <v>1106</v>
      </c>
      <c r="P39" t="s" s="0">
        <v>1107</v>
      </c>
      <c r="Q39" t="s" s="0">
        <v>88</v>
      </c>
      <c r="R39" t="s" s="0">
        <v>82</v>
      </c>
      <c r="S39" t="s" s="0">
        <v>82</v>
      </c>
      <c r="T39" t="s" s="0">
        <v>82</v>
      </c>
      <c r="U39" t="s" s="0">
        <v>82</v>
      </c>
      <c r="V39" t="s" s="0">
        <v>1108</v>
      </c>
      <c r="W39" t="s" s="0">
        <v>857</v>
      </c>
      <c r="X39" t="s" s="0">
        <v>82</v>
      </c>
      <c r="Y39" t="s" s="0">
        <v>82</v>
      </c>
      <c r="Z39" t="s" s="0">
        <v>91</v>
      </c>
      <c r="AA39" t="s" s="0">
        <v>92</v>
      </c>
      <c r="AB39" t="s" s="0">
        <v>82</v>
      </c>
      <c r="AC39" t="s" s="0">
        <v>82</v>
      </c>
      <c r="AD39" t="s" s="0">
        <v>82</v>
      </c>
      <c r="AE39" t="s" s="0">
        <v>82</v>
      </c>
      <c r="AF39" t="s" s="0">
        <v>82</v>
      </c>
      <c r="AG39" t="s" s="0">
        <v>82</v>
      </c>
      <c r="AH39" t="s" s="0">
        <v>82</v>
      </c>
      <c r="AI39" t="s" s="0">
        <v>1109</v>
      </c>
      <c r="AJ39" t="s" s="0">
        <v>1110</v>
      </c>
      <c r="AK39" t="s" s="0">
        <v>82</v>
      </c>
      <c r="AL39" t="s" s="0">
        <v>746</v>
      </c>
      <c r="AM39" t="s" s="0">
        <v>78</v>
      </c>
      <c r="AN39" t="s" s="0">
        <v>78</v>
      </c>
      <c r="AO39" t="s" s="0">
        <v>77</v>
      </c>
      <c r="AP39" t="s" s="0">
        <v>78</v>
      </c>
      <c r="AQ39" t="s" s="0">
        <v>265</v>
      </c>
      <c r="AR39" t="s" s="0">
        <v>266</v>
      </c>
      <c r="AS39" t="s" s="0">
        <v>267</v>
      </c>
      <c r="AT39" t="s" s="0">
        <v>863</v>
      </c>
      <c r="AU39" t="s" s="0">
        <v>82</v>
      </c>
      <c r="AV39" t="s" s="0">
        <v>82</v>
      </c>
      <c r="AW39" t="s" s="0">
        <v>864</v>
      </c>
      <c r="AX39" t="s" s="0">
        <v>865</v>
      </c>
      <c r="AY39" t="s" s="0">
        <v>1111</v>
      </c>
      <c r="AZ39" t="s" s="0">
        <v>341</v>
      </c>
      <c r="BA39" t="s" s="0">
        <v>132</v>
      </c>
      <c r="BB39" t="s" s="0">
        <v>229</v>
      </c>
      <c r="BC39" t="s" s="0">
        <v>82</v>
      </c>
      <c r="BD39" t="s" s="0">
        <v>82</v>
      </c>
      <c r="BE39" t="s" s="0">
        <v>82</v>
      </c>
      <c r="BF39" t="s" s="0">
        <v>82</v>
      </c>
      <c r="BG39" t="s" s="0">
        <v>82</v>
      </c>
      <c r="BH39" t="s" s="0">
        <v>82</v>
      </c>
      <c r="BI39" t="s" s="0">
        <v>1112</v>
      </c>
      <c r="BJ39" t="s" s="0">
        <v>1113</v>
      </c>
      <c r="BK39" t="s" s="75">
        <f>HYPERLINK("http://dx.doi.org/10.1038/s41598-024-65645-6","http://dx.doi.org/10.1038/s41598-024-65645-6")</f>
        <v>1114</v>
      </c>
      <c r="BL39" t="s" s="0">
        <v>82</v>
      </c>
      <c r="BM39" t="s" s="0">
        <v>82</v>
      </c>
      <c r="BN39" t="s" s="0">
        <v>176</v>
      </c>
      <c r="BO39" t="s" s="0">
        <v>380</v>
      </c>
      <c r="BP39" t="s" s="0">
        <v>381</v>
      </c>
      <c r="BQ39" t="s" s="0">
        <v>1115</v>
      </c>
      <c r="BR39" t="s" s="0">
        <v>1116</v>
      </c>
      <c r="BS39" t="s" s="0">
        <v>1117</v>
      </c>
      <c r="BT39" t="s" s="76">
        <f>HYPERLINK("https://www.webofscience.com/wos/woscc/full-record/WOS:001272466300035","View Record in Web of Science")</f>
        <v>118</v>
      </c>
      <c r="BU39" t="s" s="0">
        <v>187</v>
      </c>
      <c r="BV39" t="s" s="0">
        <v>82</v>
      </c>
      <c r="BW39" t="s" s="0">
        <v>82</v>
      </c>
      <c r="BX39" t="s" s="0">
        <v>119</v>
      </c>
    </row>
    <row r="40">
      <c r="A40" t="s" s="0">
        <v>77</v>
      </c>
      <c r="B40" t="s" s="0">
        <v>77</v>
      </c>
      <c r="C40" t="s" s="0">
        <v>229</v>
      </c>
      <c r="D40" t="s" s="0">
        <v>77</v>
      </c>
      <c r="E40" t="s" s="0">
        <v>1118</v>
      </c>
      <c r="F40" t="s" s="0">
        <v>1119</v>
      </c>
      <c r="G40" t="s" s="0">
        <v>1120</v>
      </c>
      <c r="H40" t="s" s="0">
        <v>82</v>
      </c>
      <c r="I40" t="s" s="0">
        <v>83</v>
      </c>
      <c r="J40" t="s" s="0">
        <v>1121</v>
      </c>
      <c r="K40" t="s" s="0">
        <v>1122</v>
      </c>
      <c r="L40" t="s" s="0">
        <v>1123</v>
      </c>
      <c r="M40" t="s" s="0">
        <v>1124</v>
      </c>
      <c r="N40" t="s" s="0">
        <v>1125</v>
      </c>
      <c r="O40" t="s" s="0">
        <v>1126</v>
      </c>
      <c r="P40" t="s" s="0">
        <v>1127</v>
      </c>
      <c r="Q40" t="s" s="0">
        <v>88</v>
      </c>
      <c r="R40" t="s" s="0">
        <v>82</v>
      </c>
      <c r="S40" t="s" s="0">
        <v>82</v>
      </c>
      <c r="T40" t="s" s="0">
        <v>82</v>
      </c>
      <c r="U40" t="s" s="0">
        <v>82</v>
      </c>
      <c r="V40" t="s" s="0">
        <v>1128</v>
      </c>
      <c r="W40" t="s" s="0">
        <v>1129</v>
      </c>
      <c r="X40" t="s" s="0">
        <v>82</v>
      </c>
      <c r="Y40" t="s" s="0">
        <v>82</v>
      </c>
      <c r="Z40" t="s" s="0">
        <v>91</v>
      </c>
      <c r="AA40" t="s" s="0">
        <v>92</v>
      </c>
      <c r="AB40" t="s" s="0">
        <v>82</v>
      </c>
      <c r="AC40" t="s" s="0">
        <v>82</v>
      </c>
      <c r="AD40" t="s" s="0">
        <v>82</v>
      </c>
      <c r="AE40" t="s" s="0">
        <v>82</v>
      </c>
      <c r="AF40" t="s" s="0">
        <v>82</v>
      </c>
      <c r="AG40" t="s" s="0">
        <v>1130</v>
      </c>
      <c r="AH40" t="s" s="0">
        <v>1131</v>
      </c>
      <c r="AI40" t="s" s="0">
        <v>1132</v>
      </c>
      <c r="AJ40" t="s" s="0">
        <v>82</v>
      </c>
      <c r="AK40" t="s" s="0">
        <v>82</v>
      </c>
      <c r="AL40" t="s" s="0">
        <v>1133</v>
      </c>
      <c r="AM40" t="s" s="0">
        <v>98</v>
      </c>
      <c r="AN40" t="s" s="0">
        <v>244</v>
      </c>
      <c r="AO40" t="s" s="0">
        <v>308</v>
      </c>
      <c r="AP40" t="s" s="0">
        <v>368</v>
      </c>
      <c r="AQ40" t="s" s="0">
        <v>1134</v>
      </c>
      <c r="AR40" t="s" s="0">
        <v>1135</v>
      </c>
      <c r="AS40" t="s" s="0">
        <v>1136</v>
      </c>
      <c r="AT40" t="s" s="0">
        <v>1137</v>
      </c>
      <c r="AU40" t="s" s="0">
        <v>1138</v>
      </c>
      <c r="AV40" t="s" s="0">
        <v>82</v>
      </c>
      <c r="AW40" t="s" s="0">
        <v>1139</v>
      </c>
      <c r="AX40" t="s" s="0">
        <v>1140</v>
      </c>
      <c r="AY40" t="s" s="0">
        <v>688</v>
      </c>
      <c r="AZ40" t="s" s="0">
        <v>107</v>
      </c>
      <c r="BA40" t="s" s="0">
        <v>1141</v>
      </c>
      <c r="BB40" t="s" s="0">
        <v>82</v>
      </c>
      <c r="BC40" t="s" s="0">
        <v>82</v>
      </c>
      <c r="BD40" t="s" s="0">
        <v>82</v>
      </c>
      <c r="BE40" t="s" s="0">
        <v>82</v>
      </c>
      <c r="BF40" t="s" s="0">
        <v>82</v>
      </c>
      <c r="BG40" t="s" s="0">
        <v>82</v>
      </c>
      <c r="BH40" t="s" s="0">
        <v>82</v>
      </c>
      <c r="BI40" t="s" s="0">
        <v>1142</v>
      </c>
      <c r="BJ40" t="s" s="0">
        <v>1143</v>
      </c>
      <c r="BK40" t="s" s="77">
        <f>HYPERLINK("http://dx.doi.org/10.1016/j.jbi.2025.104885","http://dx.doi.org/10.1016/j.jbi.2025.104885")</f>
        <v>1144</v>
      </c>
      <c r="BL40" t="s" s="0">
        <v>82</v>
      </c>
      <c r="BM40" t="s" s="0">
        <v>112</v>
      </c>
      <c r="BN40" t="s" s="0">
        <v>425</v>
      </c>
      <c r="BO40" t="s" s="0">
        <v>1145</v>
      </c>
      <c r="BP40" t="s" s="0">
        <v>1146</v>
      </c>
      <c r="BQ40" t="s" s="0">
        <v>1147</v>
      </c>
      <c r="BR40" t="s" s="0">
        <v>1148</v>
      </c>
      <c r="BS40" t="s" s="0">
        <v>1149</v>
      </c>
      <c r="BT40" t="s" s="78">
        <f>HYPERLINK("https://www.webofscience.com/wos/woscc/full-record/WOS:001541577200001","View Record in Web of Science")</f>
        <v>118</v>
      </c>
      <c r="BU40" t="s" s="0">
        <v>82</v>
      </c>
      <c r="BV40" t="s" s="0">
        <v>82</v>
      </c>
      <c r="BW40" t="s" s="0">
        <v>82</v>
      </c>
      <c r="BX40" t="s" s="0">
        <v>119</v>
      </c>
    </row>
    <row r="41">
      <c r="A41" t="s" s="0">
        <v>229</v>
      </c>
      <c r="B41" t="s" s="0">
        <v>77</v>
      </c>
      <c r="C41" t="s" s="0">
        <v>229</v>
      </c>
      <c r="D41" t="s" s="0">
        <v>77</v>
      </c>
      <c r="E41" t="s" s="0">
        <v>1150</v>
      </c>
      <c r="F41" t="s" s="0">
        <v>1151</v>
      </c>
      <c r="G41" t="s" s="0">
        <v>1152</v>
      </c>
      <c r="H41" t="s" s="0">
        <v>82</v>
      </c>
      <c r="I41" t="s" s="0">
        <v>83</v>
      </c>
      <c r="J41" t="s" s="0">
        <v>1153</v>
      </c>
      <c r="K41" t="s" s="0">
        <v>1154</v>
      </c>
      <c r="L41" t="s" s="0">
        <v>1155</v>
      </c>
      <c r="M41" t="s" s="0">
        <v>1156</v>
      </c>
      <c r="N41" t="s" s="0">
        <v>1157</v>
      </c>
      <c r="O41" t="s" s="0">
        <v>1158</v>
      </c>
      <c r="P41" t="s" s="0">
        <v>1159</v>
      </c>
      <c r="Q41" t="s" s="0">
        <v>88</v>
      </c>
      <c r="R41" t="s" s="0">
        <v>82</v>
      </c>
      <c r="S41" t="s" s="0">
        <v>82</v>
      </c>
      <c r="T41" t="s" s="0">
        <v>82</v>
      </c>
      <c r="U41" t="s" s="0">
        <v>82</v>
      </c>
      <c r="V41" t="s" s="0">
        <v>1160</v>
      </c>
      <c r="W41" t="s" s="0">
        <v>884</v>
      </c>
      <c r="X41" t="s" s="0">
        <v>82</v>
      </c>
      <c r="Y41" t="s" s="0">
        <v>82</v>
      </c>
      <c r="Z41" t="s" s="0">
        <v>91</v>
      </c>
      <c r="AA41" t="s" s="0">
        <v>92</v>
      </c>
      <c r="AB41" t="s" s="0">
        <v>82</v>
      </c>
      <c r="AC41" t="s" s="0">
        <v>82</v>
      </c>
      <c r="AD41" t="s" s="0">
        <v>82</v>
      </c>
      <c r="AE41" t="s" s="0">
        <v>82</v>
      </c>
      <c r="AF41" t="s" s="0">
        <v>82</v>
      </c>
      <c r="AG41" t="s" s="0">
        <v>1161</v>
      </c>
      <c r="AH41" t="s" s="0">
        <v>1162</v>
      </c>
      <c r="AI41" t="s" s="0">
        <v>82</v>
      </c>
      <c r="AJ41" t="s" s="0">
        <v>82</v>
      </c>
      <c r="AK41" t="s" s="0">
        <v>82</v>
      </c>
      <c r="AL41" t="s" s="0">
        <v>199</v>
      </c>
      <c r="AM41" t="s" s="0">
        <v>132</v>
      </c>
      <c r="AN41" t="s" s="0">
        <v>790</v>
      </c>
      <c r="AO41" t="s" s="0">
        <v>78</v>
      </c>
      <c r="AP41" t="s" s="0">
        <v>277</v>
      </c>
      <c r="AQ41" t="s" s="0">
        <v>711</v>
      </c>
      <c r="AR41" t="s" s="0">
        <v>712</v>
      </c>
      <c r="AS41" t="s" s="0">
        <v>713</v>
      </c>
      <c r="AT41" t="s" s="0">
        <v>82</v>
      </c>
      <c r="AU41" t="s" s="0">
        <v>888</v>
      </c>
      <c r="AV41" t="s" s="0">
        <v>82</v>
      </c>
      <c r="AW41" t="s" s="0">
        <v>889</v>
      </c>
      <c r="AX41" t="s" s="0">
        <v>890</v>
      </c>
      <c r="AY41" t="s" s="0">
        <v>1163</v>
      </c>
      <c r="AZ41" t="s" s="0">
        <v>107</v>
      </c>
      <c r="BA41" t="s" s="0">
        <v>346</v>
      </c>
      <c r="BB41" t="s" s="0">
        <v>82</v>
      </c>
      <c r="BC41" t="s" s="0">
        <v>82</v>
      </c>
      <c r="BD41" t="s" s="0">
        <v>82</v>
      </c>
      <c r="BE41" t="s" s="0">
        <v>82</v>
      </c>
      <c r="BF41" t="s" s="0">
        <v>82</v>
      </c>
      <c r="BG41" t="s" s="0">
        <v>82</v>
      </c>
      <c r="BH41" t="s" s="0">
        <v>82</v>
      </c>
      <c r="BI41" t="s" s="0">
        <v>1164</v>
      </c>
      <c r="BJ41" t="s" s="0">
        <v>1165</v>
      </c>
      <c r="BK41" t="s" s="79">
        <f>HYPERLINK("http://dx.doi.org/10.3389/fmed.2025.1583514","http://dx.doi.org/10.3389/fmed.2025.1583514")</f>
        <v>1166</v>
      </c>
      <c r="BL41" t="s" s="0">
        <v>82</v>
      </c>
      <c r="BM41" t="s" s="0">
        <v>82</v>
      </c>
      <c r="BN41" t="s" s="0">
        <v>212</v>
      </c>
      <c r="BO41" t="s" s="0">
        <v>182</v>
      </c>
      <c r="BP41" t="s" s="0">
        <v>183</v>
      </c>
      <c r="BQ41" t="s" s="0">
        <v>1167</v>
      </c>
      <c r="BR41" t="s" s="0">
        <v>1168</v>
      </c>
      <c r="BS41" t="s" s="0">
        <v>1169</v>
      </c>
      <c r="BT41" t="s" s="80">
        <f>HYPERLINK("https://www.webofscience.com/wos/woscc/full-record/WOS:001503726400001","View Record in Web of Science")</f>
        <v>118</v>
      </c>
      <c r="BU41" t="s" s="0">
        <v>187</v>
      </c>
      <c r="BV41" t="s" s="0">
        <v>82</v>
      </c>
      <c r="BW41" t="s" s="0">
        <v>82</v>
      </c>
      <c r="BX41" t="s" s="0">
        <v>119</v>
      </c>
    </row>
    <row r="42">
      <c r="A42" t="s" s="0">
        <v>77</v>
      </c>
      <c r="B42" t="s" s="0">
        <v>77</v>
      </c>
      <c r="C42" t="s" s="0">
        <v>77</v>
      </c>
      <c r="D42" t="s" s="0">
        <v>77</v>
      </c>
      <c r="E42" t="s" s="0">
        <v>1170</v>
      </c>
      <c r="F42" t="s" s="0">
        <v>1171</v>
      </c>
      <c r="G42" t="s" s="0">
        <v>1172</v>
      </c>
      <c r="H42" t="s" s="0">
        <v>82</v>
      </c>
      <c r="I42" t="s" s="0">
        <v>83</v>
      </c>
      <c r="J42" t="s" s="0">
        <v>1173</v>
      </c>
      <c r="K42" t="s" s="0">
        <v>1174</v>
      </c>
      <c r="L42" t="s" s="0">
        <v>1175</v>
      </c>
      <c r="M42" t="s" s="0">
        <v>1176</v>
      </c>
      <c r="N42" t="s" s="0">
        <v>1177</v>
      </c>
      <c r="O42" t="s" s="0">
        <v>1178</v>
      </c>
      <c r="P42" t="s" s="0">
        <v>1179</v>
      </c>
      <c r="Q42" t="s" s="0">
        <v>88</v>
      </c>
      <c r="R42" t="s" s="0">
        <v>82</v>
      </c>
      <c r="S42" t="s" s="0">
        <v>82</v>
      </c>
      <c r="T42" t="s" s="0">
        <v>82</v>
      </c>
      <c r="U42" t="s" s="0">
        <v>82</v>
      </c>
      <c r="V42" t="s" s="0">
        <v>1180</v>
      </c>
      <c r="W42" t="s" s="0">
        <v>734</v>
      </c>
      <c r="X42" t="s" s="0">
        <v>82</v>
      </c>
      <c r="Y42" t="s" s="0">
        <v>82</v>
      </c>
      <c r="Z42" t="s" s="0">
        <v>91</v>
      </c>
      <c r="AA42" t="s" s="0">
        <v>92</v>
      </c>
      <c r="AB42" t="s" s="0">
        <v>82</v>
      </c>
      <c r="AC42" t="s" s="0">
        <v>82</v>
      </c>
      <c r="AD42" t="s" s="0">
        <v>82</v>
      </c>
      <c r="AE42" t="s" s="0">
        <v>82</v>
      </c>
      <c r="AF42" t="s" s="0">
        <v>82</v>
      </c>
      <c r="AG42" t="s" s="0">
        <v>1181</v>
      </c>
      <c r="AH42" t="s" s="0">
        <v>82</v>
      </c>
      <c r="AI42" t="s" s="0">
        <v>1182</v>
      </c>
      <c r="AJ42" t="s" s="0">
        <v>1183</v>
      </c>
      <c r="AK42" t="s" s="0">
        <v>82</v>
      </c>
      <c r="AL42" t="s" s="0">
        <v>862</v>
      </c>
      <c r="AM42" t="s" s="0">
        <v>78</v>
      </c>
      <c r="AN42" t="s" s="0">
        <v>78</v>
      </c>
      <c r="AO42" t="s" s="0">
        <v>229</v>
      </c>
      <c r="AP42" t="s" s="0">
        <v>78</v>
      </c>
      <c r="AQ42" t="s" s="0">
        <v>550</v>
      </c>
      <c r="AR42" t="s" s="0">
        <v>739</v>
      </c>
      <c r="AS42" t="s" s="0">
        <v>740</v>
      </c>
      <c r="AT42" t="s" s="0">
        <v>741</v>
      </c>
      <c r="AU42" t="s" s="0">
        <v>742</v>
      </c>
      <c r="AV42" t="s" s="0">
        <v>82</v>
      </c>
      <c r="AW42" t="s" s="0">
        <v>743</v>
      </c>
      <c r="AX42" t="s" s="0">
        <v>744</v>
      </c>
      <c r="AY42" t="s" s="0">
        <v>276</v>
      </c>
      <c r="AZ42" t="s" s="0">
        <v>141</v>
      </c>
      <c r="BA42" t="s" s="0">
        <v>746</v>
      </c>
      <c r="BB42" t="s" s="0">
        <v>169</v>
      </c>
      <c r="BC42" t="s" s="0">
        <v>82</v>
      </c>
      <c r="BD42" t="s" s="0">
        <v>82</v>
      </c>
      <c r="BE42" t="s" s="0">
        <v>82</v>
      </c>
      <c r="BF42" t="s" s="0">
        <v>82</v>
      </c>
      <c r="BG42" t="s" s="0">
        <v>1184</v>
      </c>
      <c r="BH42" t="s" s="0">
        <v>1185</v>
      </c>
      <c r="BI42" t="s" s="0">
        <v>82</v>
      </c>
      <c r="BJ42" t="s" s="0">
        <v>1186</v>
      </c>
      <c r="BK42" t="s" s="81">
        <f>HYPERLINK("http://dx.doi.org/10.1007/s00330-025-12065-3","http://dx.doi.org/10.1007/s00330-025-12065-3")</f>
        <v>1187</v>
      </c>
      <c r="BL42" t="s" s="0">
        <v>82</v>
      </c>
      <c r="BM42" t="s" s="0">
        <v>106</v>
      </c>
      <c r="BN42" t="s" s="0">
        <v>346</v>
      </c>
      <c r="BO42" t="s" s="0">
        <v>752</v>
      </c>
      <c r="BP42" t="s" s="0">
        <v>752</v>
      </c>
      <c r="BQ42" t="s" s="0">
        <v>1188</v>
      </c>
      <c r="BR42" t="s" s="0">
        <v>1189</v>
      </c>
      <c r="BS42" t="s" s="0">
        <v>1190</v>
      </c>
      <c r="BT42" t="s" s="82">
        <f>HYPERLINK("https://www.webofscience.com/wos/woscc/full-record/WOS:001598957300001","View Record in Web of Science")</f>
        <v>118</v>
      </c>
      <c r="BU42" t="s" s="0">
        <v>82</v>
      </c>
      <c r="BV42" t="s" s="0">
        <v>82</v>
      </c>
      <c r="BW42" t="s" s="0">
        <v>82</v>
      </c>
      <c r="BX42" t="s" s="0">
        <v>119</v>
      </c>
    </row>
    <row r="43">
      <c r="A43" t="s" s="0">
        <v>77</v>
      </c>
      <c r="B43" t="s" s="0">
        <v>77</v>
      </c>
      <c r="C43" t="s" s="0">
        <v>77</v>
      </c>
      <c r="D43" t="s" s="0">
        <v>77</v>
      </c>
      <c r="E43" t="s" s="0">
        <v>1191</v>
      </c>
      <c r="F43" t="s" s="0">
        <v>1192</v>
      </c>
      <c r="G43" t="s" s="0">
        <v>1193</v>
      </c>
      <c r="H43" t="s" s="0">
        <v>82</v>
      </c>
      <c r="I43" t="s" s="0">
        <v>595</v>
      </c>
      <c r="J43" t="s" s="0">
        <v>1194</v>
      </c>
      <c r="K43" t="s" s="0">
        <v>1195</v>
      </c>
      <c r="L43" t="s" s="0">
        <v>82</v>
      </c>
      <c r="M43" t="s" s="0">
        <v>82</v>
      </c>
      <c r="N43" t="s" s="0">
        <v>82</v>
      </c>
      <c r="O43" t="s" s="0">
        <v>1196</v>
      </c>
      <c r="P43" t="s" s="0">
        <v>503</v>
      </c>
      <c r="Q43" t="s" s="0">
        <v>88</v>
      </c>
      <c r="R43" t="s" s="0">
        <v>82</v>
      </c>
      <c r="S43" t="s" s="0">
        <v>82</v>
      </c>
      <c r="T43" t="s" s="0">
        <v>82</v>
      </c>
      <c r="U43" t="s" s="0">
        <v>82</v>
      </c>
      <c r="V43" t="s" s="0">
        <v>1197</v>
      </c>
      <c r="W43" t="s" s="0">
        <v>1198</v>
      </c>
      <c r="X43" t="s" s="0">
        <v>82</v>
      </c>
      <c r="Y43" t="s" s="0">
        <v>82</v>
      </c>
      <c r="Z43" t="s" s="0">
        <v>91</v>
      </c>
      <c r="AA43" t="s" s="0">
        <v>92</v>
      </c>
      <c r="AB43" t="s" s="0">
        <v>82</v>
      </c>
      <c r="AC43" t="s" s="0">
        <v>82</v>
      </c>
      <c r="AD43" t="s" s="0">
        <v>82</v>
      </c>
      <c r="AE43" t="s" s="0">
        <v>82</v>
      </c>
      <c r="AF43" t="s" s="0">
        <v>82</v>
      </c>
      <c r="AG43" t="s" s="0">
        <v>1199</v>
      </c>
      <c r="AH43" t="s" s="0">
        <v>82</v>
      </c>
      <c r="AI43" t="s" s="0">
        <v>1200</v>
      </c>
      <c r="AJ43" t="s" s="0">
        <v>1201</v>
      </c>
      <c r="AK43" t="s" s="0">
        <v>82</v>
      </c>
      <c r="AL43" t="s" s="0">
        <v>845</v>
      </c>
      <c r="AM43" t="s" s="0">
        <v>77</v>
      </c>
      <c r="AN43" t="s" s="0">
        <v>77</v>
      </c>
      <c r="AO43" t="s" s="0">
        <v>229</v>
      </c>
      <c r="AP43" t="s" s="0">
        <v>229</v>
      </c>
      <c r="AQ43" t="s" s="0">
        <v>1202</v>
      </c>
      <c r="AR43" t="s" s="0">
        <v>1203</v>
      </c>
      <c r="AS43" t="s" s="0">
        <v>1204</v>
      </c>
      <c r="AT43" t="s" s="0">
        <v>1205</v>
      </c>
      <c r="AU43" t="s" s="0">
        <v>1206</v>
      </c>
      <c r="AV43" t="s" s="0">
        <v>82</v>
      </c>
      <c r="AW43" t="s" s="0">
        <v>1207</v>
      </c>
      <c r="AX43" t="s" s="0">
        <v>1208</v>
      </c>
      <c r="AY43" t="s" s="0">
        <v>276</v>
      </c>
      <c r="AZ43" t="s" s="0">
        <v>141</v>
      </c>
      <c r="BA43" t="s" s="0">
        <v>332</v>
      </c>
      <c r="BB43" t="s" s="0">
        <v>78</v>
      </c>
      <c r="BC43" t="s" s="0">
        <v>82</v>
      </c>
      <c r="BD43" t="s" s="0">
        <v>82</v>
      </c>
      <c r="BE43" t="s" s="0">
        <v>82</v>
      </c>
      <c r="BF43" t="s" s="0">
        <v>82</v>
      </c>
      <c r="BG43" t="s" s="0">
        <v>1209</v>
      </c>
      <c r="BH43" t="s" s="0">
        <v>1210</v>
      </c>
      <c r="BI43" t="s" s="0">
        <v>82</v>
      </c>
      <c r="BJ43" t="s" s="0">
        <v>1211</v>
      </c>
      <c r="BK43" t="s" s="83">
        <f>HYPERLINK("http://dx.doi.org/10.17245/jdapm.2026.26.2.155","http://dx.doi.org/10.17245/jdapm.2026.26.2.155")</f>
        <v>1212</v>
      </c>
      <c r="BL43" t="s" s="0">
        <v>82</v>
      </c>
      <c r="BM43" t="s" s="0">
        <v>82</v>
      </c>
      <c r="BN43" t="s" s="0">
        <v>425</v>
      </c>
      <c r="BO43" t="s" s="0">
        <v>1213</v>
      </c>
      <c r="BP43" t="s" s="0">
        <v>1213</v>
      </c>
      <c r="BQ43" t="s" s="0">
        <v>1214</v>
      </c>
      <c r="BR43" t="s" s="0">
        <v>1215</v>
      </c>
      <c r="BS43" t="s" s="0">
        <v>1216</v>
      </c>
      <c r="BT43" t="s" s="84">
        <f>HYPERLINK("https://www.webofscience.com/wos/woscc/full-record/WOS:001779035500006","View Record in Web of Science")</f>
        <v>118</v>
      </c>
      <c r="BU43" t="s" s="0">
        <v>1044</v>
      </c>
      <c r="BV43" t="s" s="0">
        <v>82</v>
      </c>
      <c r="BW43" t="s" s="0">
        <v>82</v>
      </c>
      <c r="BX43" t="s" s="0">
        <v>119</v>
      </c>
    </row>
    <row r="44">
      <c r="A44" t="s" s="0">
        <v>77</v>
      </c>
      <c r="B44" t="s" s="0">
        <v>77</v>
      </c>
      <c r="C44" t="s" s="0">
        <v>77</v>
      </c>
      <c r="D44" t="s" s="0">
        <v>77</v>
      </c>
      <c r="E44" t="s" s="0">
        <v>1217</v>
      </c>
      <c r="F44" t="s" s="0">
        <v>1218</v>
      </c>
      <c r="G44" t="s" s="0">
        <v>1219</v>
      </c>
      <c r="H44" t="s" s="0">
        <v>82</v>
      </c>
      <c r="I44" t="s" s="0">
        <v>83</v>
      </c>
      <c r="J44" t="s" s="0">
        <v>1220</v>
      </c>
      <c r="K44" t="s" s="0">
        <v>1221</v>
      </c>
      <c r="L44" t="s" s="0">
        <v>1222</v>
      </c>
      <c r="M44" t="s" s="0">
        <v>1223</v>
      </c>
      <c r="N44" t="s" s="0">
        <v>1224</v>
      </c>
      <c r="O44" t="s" s="0">
        <v>1225</v>
      </c>
      <c r="P44" t="s" s="0">
        <v>1226</v>
      </c>
      <c r="Q44" t="s" s="0">
        <v>88</v>
      </c>
      <c r="R44" t="s" s="0">
        <v>82</v>
      </c>
      <c r="S44" t="s" s="0">
        <v>82</v>
      </c>
      <c r="T44" t="s" s="0">
        <v>82</v>
      </c>
      <c r="U44" t="s" s="0">
        <v>82</v>
      </c>
      <c r="V44" t="s" s="0">
        <v>1227</v>
      </c>
      <c r="W44" t="s" s="0">
        <v>1228</v>
      </c>
      <c r="X44" t="s" s="0">
        <v>82</v>
      </c>
      <c r="Y44" t="s" s="0">
        <v>82</v>
      </c>
      <c r="Z44" t="s" s="0">
        <v>91</v>
      </c>
      <c r="AA44" t="s" s="0">
        <v>92</v>
      </c>
      <c r="AB44" t="s" s="0">
        <v>82</v>
      </c>
      <c r="AC44" t="s" s="0">
        <v>82</v>
      </c>
      <c r="AD44" t="s" s="0">
        <v>82</v>
      </c>
      <c r="AE44" t="s" s="0">
        <v>82</v>
      </c>
      <c r="AF44" t="s" s="0">
        <v>82</v>
      </c>
      <c r="AG44" t="s" s="0">
        <v>1229</v>
      </c>
      <c r="AH44" t="s" s="0">
        <v>82</v>
      </c>
      <c r="AI44" t="s" s="0">
        <v>82</v>
      </c>
      <c r="AJ44" t="s" s="0">
        <v>82</v>
      </c>
      <c r="AK44" t="s" s="0">
        <v>82</v>
      </c>
      <c r="AL44" t="s" s="0">
        <v>168</v>
      </c>
      <c r="AM44" t="s" s="0">
        <v>77</v>
      </c>
      <c r="AN44" t="s" s="0">
        <v>77</v>
      </c>
      <c r="AO44" t="s" s="0">
        <v>77</v>
      </c>
      <c r="AP44" t="s" s="0">
        <v>77</v>
      </c>
      <c r="AQ44" t="s" s="0">
        <v>1230</v>
      </c>
      <c r="AR44" t="s" s="0">
        <v>1231</v>
      </c>
      <c r="AS44" t="s" s="0">
        <v>1232</v>
      </c>
      <c r="AT44" t="s" s="0">
        <v>1233</v>
      </c>
      <c r="AU44" t="s" s="0">
        <v>82</v>
      </c>
      <c r="AV44" t="s" s="0">
        <v>82</v>
      </c>
      <c r="AW44" t="s" s="0">
        <v>1234</v>
      </c>
      <c r="AX44" t="s" s="0">
        <v>1235</v>
      </c>
      <c r="AY44" t="s" s="0">
        <v>141</v>
      </c>
      <c r="AZ44" t="s" s="0">
        <v>141</v>
      </c>
      <c r="BA44" t="s" s="0">
        <v>379</v>
      </c>
      <c r="BB44" t="s" s="0">
        <v>82</v>
      </c>
      <c r="BC44" t="s" s="0">
        <v>82</v>
      </c>
      <c r="BD44" t="s" s="0">
        <v>82</v>
      </c>
      <c r="BE44" t="s" s="0">
        <v>82</v>
      </c>
      <c r="BF44" t="s" s="0">
        <v>82</v>
      </c>
      <c r="BG44" t="s" s="0">
        <v>82</v>
      </c>
      <c r="BH44" t="s" s="0">
        <v>82</v>
      </c>
      <c r="BI44" t="s" s="0">
        <v>1236</v>
      </c>
      <c r="BJ44" t="s" s="0">
        <v>1237</v>
      </c>
      <c r="BK44" t="s" s="85">
        <f>HYPERLINK("http://dx.doi.org/10.2147/IDR.S593763","http://dx.doi.org/10.2147/IDR.S593763")</f>
        <v>1238</v>
      </c>
      <c r="BL44" t="s" s="0">
        <v>82</v>
      </c>
      <c r="BM44" t="s" s="0">
        <v>82</v>
      </c>
      <c r="BN44" t="s" s="0">
        <v>346</v>
      </c>
      <c r="BO44" t="s" s="0">
        <v>1239</v>
      </c>
      <c r="BP44" t="s" s="0">
        <v>1239</v>
      </c>
      <c r="BQ44" t="s" s="0">
        <v>1240</v>
      </c>
      <c r="BR44" t="s" s="0">
        <v>1241</v>
      </c>
      <c r="BS44" t="s" s="0">
        <v>1242</v>
      </c>
      <c r="BT44" t="s" s="86">
        <f>HYPERLINK("https://www.webofscience.com/wos/woscc/full-record/WOS:001793831700001","View Record in Web of Science")</f>
        <v>118</v>
      </c>
      <c r="BU44" t="s" s="0">
        <v>187</v>
      </c>
      <c r="BV44" t="s" s="0">
        <v>82</v>
      </c>
      <c r="BW44" t="s" s="0">
        <v>82</v>
      </c>
      <c r="BX44" t="s" s="0">
        <v>119</v>
      </c>
    </row>
    <row r="45">
      <c r="A45" t="s" s="0">
        <v>77</v>
      </c>
      <c r="B45" t="s" s="0">
        <v>77</v>
      </c>
      <c r="C45" t="s" s="0">
        <v>77</v>
      </c>
      <c r="D45" t="s" s="0">
        <v>77</v>
      </c>
      <c r="E45" t="s" s="0">
        <v>1243</v>
      </c>
      <c r="F45" t="s" s="0">
        <v>1244</v>
      </c>
      <c r="G45" t="s" s="0">
        <v>1245</v>
      </c>
      <c r="H45" t="s" s="0">
        <v>82</v>
      </c>
      <c r="I45" t="s" s="0">
        <v>83</v>
      </c>
      <c r="J45" t="s" s="0">
        <v>1246</v>
      </c>
      <c r="K45" t="s" s="0">
        <v>1247</v>
      </c>
      <c r="L45" t="s" s="0">
        <v>1248</v>
      </c>
      <c r="M45" t="s" s="0">
        <v>1248</v>
      </c>
      <c r="N45" t="s" s="0">
        <v>1249</v>
      </c>
      <c r="O45" t="s" s="0">
        <v>1250</v>
      </c>
      <c r="P45" t="s" s="0">
        <v>1251</v>
      </c>
      <c r="Q45" t="s" s="0">
        <v>88</v>
      </c>
      <c r="R45" t="s" s="0">
        <v>82</v>
      </c>
      <c r="S45" t="s" s="0">
        <v>82</v>
      </c>
      <c r="T45" t="s" s="0">
        <v>82</v>
      </c>
      <c r="U45" t="s" s="0">
        <v>82</v>
      </c>
      <c r="V45" t="s" s="0">
        <v>1252</v>
      </c>
      <c r="W45" t="s" s="0">
        <v>1253</v>
      </c>
      <c r="X45" t="s" s="0">
        <v>82</v>
      </c>
      <c r="Y45" t="s" s="0">
        <v>82</v>
      </c>
      <c r="Z45" t="s" s="0">
        <v>91</v>
      </c>
      <c r="AA45" t="s" s="0">
        <v>92</v>
      </c>
      <c r="AB45" t="s" s="0">
        <v>82</v>
      </c>
      <c r="AC45" t="s" s="0">
        <v>82</v>
      </c>
      <c r="AD45" t="s" s="0">
        <v>82</v>
      </c>
      <c r="AE45" t="s" s="0">
        <v>82</v>
      </c>
      <c r="AF45" t="s" s="0">
        <v>82</v>
      </c>
      <c r="AG45" t="s" s="0">
        <v>1254</v>
      </c>
      <c r="AH45" t="s" s="0">
        <v>82</v>
      </c>
      <c r="AI45" t="s" s="0">
        <v>82</v>
      </c>
      <c r="AJ45" t="s" s="0">
        <v>1255</v>
      </c>
      <c r="AK45" t="s" s="0">
        <v>82</v>
      </c>
      <c r="AL45" t="s" s="0">
        <v>1256</v>
      </c>
      <c r="AM45" t="s" s="0">
        <v>272</v>
      </c>
      <c r="AN45" t="s" s="0">
        <v>272</v>
      </c>
      <c r="AO45" t="s" s="0">
        <v>176</v>
      </c>
      <c r="AP45" t="s" s="0">
        <v>1257</v>
      </c>
      <c r="AQ45" t="s" s="0">
        <v>170</v>
      </c>
      <c r="AR45" t="s" s="0">
        <v>171</v>
      </c>
      <c r="AS45" t="s" s="0">
        <v>172</v>
      </c>
      <c r="AT45" t="s" s="0">
        <v>82</v>
      </c>
      <c r="AU45" t="s" s="0">
        <v>1258</v>
      </c>
      <c r="AV45" t="s" s="0">
        <v>82</v>
      </c>
      <c r="AW45" t="s" s="0">
        <v>1259</v>
      </c>
      <c r="AX45" t="s" s="0">
        <v>1260</v>
      </c>
      <c r="AY45" t="s" s="0">
        <v>1261</v>
      </c>
      <c r="AZ45" t="s" s="0">
        <v>107</v>
      </c>
      <c r="BA45" t="s" s="0">
        <v>1068</v>
      </c>
      <c r="BB45" t="s" s="0">
        <v>346</v>
      </c>
      <c r="BC45" t="s" s="0">
        <v>82</v>
      </c>
      <c r="BD45" t="s" s="0">
        <v>82</v>
      </c>
      <c r="BE45" t="s" s="0">
        <v>82</v>
      </c>
      <c r="BF45" t="s" s="0">
        <v>82</v>
      </c>
      <c r="BG45" t="s" s="0">
        <v>82</v>
      </c>
      <c r="BH45" t="s" s="0">
        <v>82</v>
      </c>
      <c r="BI45" t="s" s="0">
        <v>1262</v>
      </c>
      <c r="BJ45" t="s" s="0">
        <v>1263</v>
      </c>
      <c r="BK45" t="s" s="87">
        <f>HYPERLINK("http://dx.doi.org/10.3390/s25123822","http://dx.doi.org/10.3390/s25123822")</f>
        <v>1264</v>
      </c>
      <c r="BL45" t="s" s="0">
        <v>82</v>
      </c>
      <c r="BM45" t="s" s="0">
        <v>82</v>
      </c>
      <c r="BN45" t="s" s="0">
        <v>862</v>
      </c>
      <c r="BO45" t="s" s="0">
        <v>1265</v>
      </c>
      <c r="BP45" t="s" s="0">
        <v>1266</v>
      </c>
      <c r="BQ45" t="s" s="0">
        <v>1267</v>
      </c>
      <c r="BR45" t="s" s="0">
        <v>1268</v>
      </c>
      <c r="BS45" t="s" s="0">
        <v>1269</v>
      </c>
      <c r="BT45" t="s" s="88">
        <f>HYPERLINK("https://www.webofscience.com/wos/woscc/full-record/WOS:001516375600001","View Record in Web of Science")</f>
        <v>118</v>
      </c>
      <c r="BU45" t="s" s="0">
        <v>187</v>
      </c>
      <c r="BV45" t="s" s="0">
        <v>82</v>
      </c>
      <c r="BW45" t="s" s="0">
        <v>82</v>
      </c>
      <c r="BX45" t="s" s="0">
        <v>119</v>
      </c>
    </row>
    <row r="46">
      <c r="A46" t="s" s="0">
        <v>77</v>
      </c>
      <c r="B46" t="s" s="0">
        <v>77</v>
      </c>
      <c r="C46" t="s" s="0">
        <v>77</v>
      </c>
      <c r="D46" t="s" s="0">
        <v>77</v>
      </c>
      <c r="E46" t="s" s="0">
        <v>1270</v>
      </c>
      <c r="F46" t="s" s="0">
        <v>1271</v>
      </c>
      <c r="G46" t="s" s="0">
        <v>1272</v>
      </c>
      <c r="H46" t="s" s="0">
        <v>82</v>
      </c>
      <c r="I46" t="s" s="0">
        <v>83</v>
      </c>
      <c r="J46" t="s" s="0">
        <v>1273</v>
      </c>
      <c r="K46" t="s" s="0">
        <v>1274</v>
      </c>
      <c r="L46" t="s" s="0">
        <v>82</v>
      </c>
      <c r="M46" t="s" s="0">
        <v>82</v>
      </c>
      <c r="N46" t="s" s="0">
        <v>82</v>
      </c>
      <c r="O46" t="s" s="0">
        <v>1275</v>
      </c>
      <c r="P46" t="s" s="0">
        <v>82</v>
      </c>
      <c r="Q46" t="s" s="0">
        <v>88</v>
      </c>
      <c r="R46" t="s" s="0">
        <v>82</v>
      </c>
      <c r="S46" t="s" s="0">
        <v>82</v>
      </c>
      <c r="T46" t="s" s="0">
        <v>82</v>
      </c>
      <c r="U46" t="s" s="0">
        <v>82</v>
      </c>
      <c r="V46" t="s" s="0">
        <v>1276</v>
      </c>
      <c r="W46" t="s" s="0">
        <v>1277</v>
      </c>
      <c r="X46" t="s" s="0">
        <v>82</v>
      </c>
      <c r="Y46" t="s" s="0">
        <v>82</v>
      </c>
      <c r="Z46" t="s" s="0">
        <v>91</v>
      </c>
      <c r="AA46" t="s" s="0">
        <v>92</v>
      </c>
      <c r="AB46" t="s" s="0">
        <v>82</v>
      </c>
      <c r="AC46" t="s" s="0">
        <v>82</v>
      </c>
      <c r="AD46" t="s" s="0">
        <v>82</v>
      </c>
      <c r="AE46" t="s" s="0">
        <v>82</v>
      </c>
      <c r="AF46" t="s" s="0">
        <v>82</v>
      </c>
      <c r="AG46" t="s" s="0">
        <v>1278</v>
      </c>
      <c r="AH46" t="s" s="0">
        <v>1279</v>
      </c>
      <c r="AI46" t="s" s="0">
        <v>82</v>
      </c>
      <c r="AJ46" t="s" s="0">
        <v>1280</v>
      </c>
      <c r="AK46" t="s" s="0">
        <v>82</v>
      </c>
      <c r="AL46" t="s" s="0">
        <v>689</v>
      </c>
      <c r="AM46" t="s" s="0">
        <v>264</v>
      </c>
      <c r="AN46" t="s" s="0">
        <v>264</v>
      </c>
      <c r="AO46" t="s" s="0">
        <v>229</v>
      </c>
      <c r="AP46" t="s" s="0">
        <v>169</v>
      </c>
      <c r="AQ46" t="s" s="0">
        <v>133</v>
      </c>
      <c r="AR46" t="s" s="0">
        <v>134</v>
      </c>
      <c r="AS46" t="s" s="0">
        <v>135</v>
      </c>
      <c r="AT46" t="s" s="0">
        <v>1281</v>
      </c>
      <c r="AU46" t="s" s="0">
        <v>1282</v>
      </c>
      <c r="AV46" t="s" s="0">
        <v>82</v>
      </c>
      <c r="AW46" t="s" s="0">
        <v>1283</v>
      </c>
      <c r="AX46" t="s" s="0">
        <v>1284</v>
      </c>
      <c r="AY46" t="s" s="0">
        <v>643</v>
      </c>
      <c r="AZ46" t="s" s="0">
        <v>141</v>
      </c>
      <c r="BA46" t="s" s="0">
        <v>329</v>
      </c>
      <c r="BB46" t="s" s="0">
        <v>229</v>
      </c>
      <c r="BC46" t="s" s="0">
        <v>1285</v>
      </c>
      <c r="BD46" t="s" s="0">
        <v>82</v>
      </c>
      <c r="BE46" t="s" s="0">
        <v>82</v>
      </c>
      <c r="BF46" t="s" s="0">
        <v>82</v>
      </c>
      <c r="BG46" t="s" s="0">
        <v>1286</v>
      </c>
      <c r="BH46" t="s" s="0">
        <v>1287</v>
      </c>
      <c r="BI46" t="s" s="0">
        <v>82</v>
      </c>
      <c r="BJ46" t="s" s="0">
        <v>1288</v>
      </c>
      <c r="BK46" t="s" s="89">
        <f>HYPERLINK("http://dx.doi.org/10.1002/nau.70160","http://dx.doi.org/10.1002/nau.70160")</f>
        <v>1289</v>
      </c>
      <c r="BL46" t="s" s="0">
        <v>82</v>
      </c>
      <c r="BM46" t="s" s="0">
        <v>106</v>
      </c>
      <c r="BN46" t="s" s="0">
        <v>346</v>
      </c>
      <c r="BO46" t="s" s="0">
        <v>1290</v>
      </c>
      <c r="BP46" t="s" s="0">
        <v>1290</v>
      </c>
      <c r="BQ46" t="s" s="0">
        <v>1291</v>
      </c>
      <c r="BR46" t="s" s="0">
        <v>1292</v>
      </c>
      <c r="BS46" t="s" s="0">
        <v>1293</v>
      </c>
      <c r="BT46" t="s" s="90">
        <f>HYPERLINK("https://www.webofscience.com/wos/woscc/full-record/WOS:001594143800001","View Record in Web of Science")</f>
        <v>118</v>
      </c>
      <c r="BU46" t="s" s="0">
        <v>82</v>
      </c>
      <c r="BV46" t="s" s="0">
        <v>82</v>
      </c>
      <c r="BW46" t="s" s="0">
        <v>82</v>
      </c>
      <c r="BX46" t="s" s="0">
        <v>119</v>
      </c>
    </row>
    <row r="47">
      <c r="A47" t="s" s="0">
        <v>77</v>
      </c>
      <c r="B47" t="s" s="0">
        <v>77</v>
      </c>
      <c r="C47" t="s" s="0">
        <v>244</v>
      </c>
      <c r="D47" t="s" s="0">
        <v>77</v>
      </c>
      <c r="E47" t="s" s="0">
        <v>1294</v>
      </c>
      <c r="F47" t="s" s="0">
        <v>1295</v>
      </c>
      <c r="G47" t="s" s="0">
        <v>1296</v>
      </c>
      <c r="H47" t="s" s="0">
        <v>82</v>
      </c>
      <c r="I47" t="s" s="0">
        <v>83</v>
      </c>
      <c r="J47" t="s" s="0">
        <v>1297</v>
      </c>
      <c r="K47" t="s" s="0">
        <v>1298</v>
      </c>
      <c r="L47" t="s" s="0">
        <v>1299</v>
      </c>
      <c r="M47" t="s" s="0">
        <v>1300</v>
      </c>
      <c r="N47" t="s" s="0">
        <v>1301</v>
      </c>
      <c r="O47" t="s" s="0">
        <v>1302</v>
      </c>
      <c r="P47" t="s" s="0">
        <v>1303</v>
      </c>
      <c r="Q47" t="s" s="0">
        <v>88</v>
      </c>
      <c r="R47" t="s" s="0">
        <v>82</v>
      </c>
      <c r="S47" t="s" s="0">
        <v>82</v>
      </c>
      <c r="T47" t="s" s="0">
        <v>82</v>
      </c>
      <c r="U47" t="s" s="0">
        <v>82</v>
      </c>
      <c r="V47" t="s" s="0">
        <v>1304</v>
      </c>
      <c r="W47" t="s" s="0">
        <v>261</v>
      </c>
      <c r="X47" t="s" s="0">
        <v>82</v>
      </c>
      <c r="Y47" t="s" s="0">
        <v>82</v>
      </c>
      <c r="Z47" t="s" s="0">
        <v>91</v>
      </c>
      <c r="AA47" t="s" s="0">
        <v>92</v>
      </c>
      <c r="AB47" t="s" s="0">
        <v>82</v>
      </c>
      <c r="AC47" t="s" s="0">
        <v>82</v>
      </c>
      <c r="AD47" t="s" s="0">
        <v>82</v>
      </c>
      <c r="AE47" t="s" s="0">
        <v>82</v>
      </c>
      <c r="AF47" t="s" s="0">
        <v>82</v>
      </c>
      <c r="AG47" t="s" s="0">
        <v>82</v>
      </c>
      <c r="AH47" t="s" s="0">
        <v>1305</v>
      </c>
      <c r="AI47" t="s" s="0">
        <v>1306</v>
      </c>
      <c r="AJ47" t="s" s="0">
        <v>1307</v>
      </c>
      <c r="AK47" t="s" s="0">
        <v>82</v>
      </c>
      <c r="AL47" t="s" s="0">
        <v>329</v>
      </c>
      <c r="AM47" t="s" s="0">
        <v>212</v>
      </c>
      <c r="AN47" t="s" s="0">
        <v>862</v>
      </c>
      <c r="AO47" t="s" s="0">
        <v>78</v>
      </c>
      <c r="AP47" t="s" s="0">
        <v>368</v>
      </c>
      <c r="AQ47" t="s" s="0">
        <v>265</v>
      </c>
      <c r="AR47" t="s" s="0">
        <v>266</v>
      </c>
      <c r="AS47" t="s" s="0">
        <v>267</v>
      </c>
      <c r="AT47" t="s" s="0">
        <v>268</v>
      </c>
      <c r="AU47" t="s" s="0">
        <v>82</v>
      </c>
      <c r="AV47" t="s" s="0">
        <v>82</v>
      </c>
      <c r="AW47" t="s" s="0">
        <v>269</v>
      </c>
      <c r="AX47" t="s" s="0">
        <v>270</v>
      </c>
      <c r="AY47" t="s" s="0">
        <v>1308</v>
      </c>
      <c r="AZ47" t="s" s="0">
        <v>107</v>
      </c>
      <c r="BA47" t="s" s="0">
        <v>244</v>
      </c>
      <c r="BB47" t="s" s="0">
        <v>229</v>
      </c>
      <c r="BC47" t="s" s="0">
        <v>82</v>
      </c>
      <c r="BD47" t="s" s="0">
        <v>82</v>
      </c>
      <c r="BE47" t="s" s="0">
        <v>82</v>
      </c>
      <c r="BF47" t="s" s="0">
        <v>82</v>
      </c>
      <c r="BG47" t="s" s="0">
        <v>82</v>
      </c>
      <c r="BH47" t="s" s="0">
        <v>82</v>
      </c>
      <c r="BI47" t="s" s="0">
        <v>1309</v>
      </c>
      <c r="BJ47" t="s" s="0">
        <v>1310</v>
      </c>
      <c r="BK47" t="s" s="91">
        <f>HYPERLINK("http://dx.doi.org/10.1038/s41746-025-01486-5","http://dx.doi.org/10.1038/s41746-025-01486-5")</f>
        <v>1311</v>
      </c>
      <c r="BL47" t="s" s="0">
        <v>82</v>
      </c>
      <c r="BM47" t="s" s="0">
        <v>82</v>
      </c>
      <c r="BN47" t="s" s="0">
        <v>346</v>
      </c>
      <c r="BO47" t="s" s="0">
        <v>213</v>
      </c>
      <c r="BP47" t="s" s="0">
        <v>213</v>
      </c>
      <c r="BQ47" t="s" s="0">
        <v>1312</v>
      </c>
      <c r="BR47" t="s" s="0">
        <v>1313</v>
      </c>
      <c r="BS47" t="s" s="0">
        <v>1314</v>
      </c>
      <c r="BT47" t="s" s="92">
        <f>HYPERLINK("https://www.webofscience.com/wos/woscc/full-record/WOS:001415277900002","View Record in Web of Science")</f>
        <v>118</v>
      </c>
      <c r="BU47" t="s" s="0">
        <v>187</v>
      </c>
      <c r="BV47" t="s" s="0">
        <v>82</v>
      </c>
      <c r="BW47" t="s" s="0">
        <v>82</v>
      </c>
      <c r="BX47" t="s" s="0">
        <v>119</v>
      </c>
    </row>
    <row r="48">
      <c r="A48" t="s" s="0">
        <v>77</v>
      </c>
      <c r="B48" t="s" s="0">
        <v>77</v>
      </c>
      <c r="C48" t="s" s="0">
        <v>77</v>
      </c>
      <c r="D48" t="s" s="0">
        <v>77</v>
      </c>
      <c r="E48" t="s" s="0">
        <v>1315</v>
      </c>
      <c r="F48" t="s" s="0">
        <v>1316</v>
      </c>
      <c r="G48" t="s" s="0">
        <v>1317</v>
      </c>
      <c r="H48" t="s" s="0">
        <v>82</v>
      </c>
      <c r="I48" t="s" s="0">
        <v>595</v>
      </c>
      <c r="J48" t="s" s="0">
        <v>1318</v>
      </c>
      <c r="K48" t="s" s="0">
        <v>1319</v>
      </c>
      <c r="L48" t="s" s="0">
        <v>82</v>
      </c>
      <c r="M48" t="s" s="0">
        <v>82</v>
      </c>
      <c r="N48" t="s" s="0">
        <v>82</v>
      </c>
      <c r="O48" t="s" s="0">
        <v>1320</v>
      </c>
      <c r="P48" t="s" s="0">
        <v>1321</v>
      </c>
      <c r="Q48" t="s" s="0">
        <v>88</v>
      </c>
      <c r="R48" t="s" s="0">
        <v>82</v>
      </c>
      <c r="S48" t="s" s="0">
        <v>82</v>
      </c>
      <c r="T48" t="s" s="0">
        <v>82</v>
      </c>
      <c r="U48" t="s" s="0">
        <v>82</v>
      </c>
      <c r="V48" t="s" s="0">
        <v>1322</v>
      </c>
      <c r="W48" t="s" s="0">
        <v>1323</v>
      </c>
      <c r="X48" t="s" s="0">
        <v>82</v>
      </c>
      <c r="Y48" t="s" s="0">
        <v>82</v>
      </c>
      <c r="Z48" t="s" s="0">
        <v>91</v>
      </c>
      <c r="AA48" t="s" s="0">
        <v>92</v>
      </c>
      <c r="AB48" t="s" s="0">
        <v>82</v>
      </c>
      <c r="AC48" t="s" s="0">
        <v>82</v>
      </c>
      <c r="AD48" t="s" s="0">
        <v>82</v>
      </c>
      <c r="AE48" t="s" s="0">
        <v>82</v>
      </c>
      <c r="AF48" t="s" s="0">
        <v>82</v>
      </c>
      <c r="AG48" t="s" s="0">
        <v>1324</v>
      </c>
      <c r="AH48" t="s" s="0">
        <v>82</v>
      </c>
      <c r="AI48" t="s" s="0">
        <v>1325</v>
      </c>
      <c r="AJ48" t="s" s="0">
        <v>1326</v>
      </c>
      <c r="AK48" t="s" s="0">
        <v>82</v>
      </c>
      <c r="AL48" t="s" s="0">
        <v>132</v>
      </c>
      <c r="AM48" t="s" s="0">
        <v>264</v>
      </c>
      <c r="AN48" t="s" s="0">
        <v>264</v>
      </c>
      <c r="AO48" t="s" s="0">
        <v>239</v>
      </c>
      <c r="AP48" t="s" s="0">
        <v>239</v>
      </c>
      <c r="AQ48" t="s" s="0">
        <v>998</v>
      </c>
      <c r="AR48" t="s" s="0">
        <v>999</v>
      </c>
      <c r="AS48" t="s" s="0">
        <v>1000</v>
      </c>
      <c r="AT48" t="s" s="0">
        <v>82</v>
      </c>
      <c r="AU48" t="s" s="0">
        <v>1327</v>
      </c>
      <c r="AV48" t="s" s="0">
        <v>82</v>
      </c>
      <c r="AW48" t="s" s="0">
        <v>1328</v>
      </c>
      <c r="AX48" t="s" s="0">
        <v>1329</v>
      </c>
      <c r="AY48" t="s" s="0">
        <v>643</v>
      </c>
      <c r="AZ48" t="s" s="0">
        <v>141</v>
      </c>
      <c r="BA48" t="s" s="0">
        <v>510</v>
      </c>
      <c r="BB48" t="s" s="0">
        <v>229</v>
      </c>
      <c r="BC48" t="s" s="0">
        <v>82</v>
      </c>
      <c r="BD48" t="s" s="0">
        <v>82</v>
      </c>
      <c r="BE48" t="s" s="0">
        <v>82</v>
      </c>
      <c r="BF48" t="s" s="0">
        <v>82</v>
      </c>
      <c r="BG48" t="s" s="0">
        <v>770</v>
      </c>
      <c r="BH48" t="s" s="0">
        <v>949</v>
      </c>
      <c r="BI48" t="s" s="0">
        <v>82</v>
      </c>
      <c r="BJ48" t="s" s="0">
        <v>1330</v>
      </c>
      <c r="BK48" t="s" s="93">
        <f>HYPERLINK("http://dx.doi.org/10.4274/ThoracResPract.2025.2025-6-3","http://dx.doi.org/10.4274/ThoracResPract.2025.2025-6-3")</f>
        <v>1331</v>
      </c>
      <c r="BL48" t="s" s="0">
        <v>82</v>
      </c>
      <c r="BM48" t="s" s="0">
        <v>82</v>
      </c>
      <c r="BN48" t="s" s="0">
        <v>272</v>
      </c>
      <c r="BO48" t="s" s="0">
        <v>1332</v>
      </c>
      <c r="BP48" t="s" s="0">
        <v>1332</v>
      </c>
      <c r="BQ48" t="s" s="0">
        <v>1333</v>
      </c>
      <c r="BR48" t="s" s="0">
        <v>1334</v>
      </c>
      <c r="BS48" t="s" s="0">
        <v>1335</v>
      </c>
      <c r="BT48" t="s" s="94">
        <f>HYPERLINK("https://www.webofscience.com/wos/woscc/full-record/WOS:001682846800001","View Record in Web of Science")</f>
        <v>118</v>
      </c>
      <c r="BU48" t="s" s="0">
        <v>187</v>
      </c>
      <c r="BV48" t="s" s="0">
        <v>82</v>
      </c>
      <c r="BW48" t="s" s="0">
        <v>82</v>
      </c>
      <c r="BX48" t="s" s="0">
        <v>119</v>
      </c>
    </row>
    <row r="49">
      <c r="A49" t="s" s="0">
        <v>77</v>
      </c>
      <c r="B49" t="s" s="0">
        <v>77</v>
      </c>
      <c r="C49" t="s" s="0">
        <v>77</v>
      </c>
      <c r="D49" t="s" s="0">
        <v>77</v>
      </c>
      <c r="E49" t="s" s="0">
        <v>1336</v>
      </c>
      <c r="F49" t="s" s="0">
        <v>1337</v>
      </c>
      <c r="G49" t="s" s="0">
        <v>1338</v>
      </c>
      <c r="H49" t="s" s="0">
        <v>82</v>
      </c>
      <c r="I49" t="s" s="0">
        <v>83</v>
      </c>
      <c r="J49" t="s" s="0">
        <v>1339</v>
      </c>
      <c r="K49" t="s" s="0">
        <v>1340</v>
      </c>
      <c r="L49" t="s" s="0">
        <v>1341</v>
      </c>
      <c r="M49" t="s" s="0">
        <v>1342</v>
      </c>
      <c r="N49" t="s" s="0">
        <v>1343</v>
      </c>
      <c r="O49" t="s" s="0">
        <v>1344</v>
      </c>
      <c r="P49" t="s" s="0">
        <v>1345</v>
      </c>
      <c r="Q49" t="s" s="0">
        <v>88</v>
      </c>
      <c r="R49" t="s" s="0">
        <v>82</v>
      </c>
      <c r="S49" t="s" s="0">
        <v>82</v>
      </c>
      <c r="T49" t="s" s="0">
        <v>82</v>
      </c>
      <c r="U49" t="s" s="0">
        <v>82</v>
      </c>
      <c r="V49" t="s" s="0">
        <v>1346</v>
      </c>
      <c r="W49" t="s" s="0">
        <v>261</v>
      </c>
      <c r="X49" t="s" s="0">
        <v>82</v>
      </c>
      <c r="Y49" t="s" s="0">
        <v>82</v>
      </c>
      <c r="Z49" t="s" s="0">
        <v>91</v>
      </c>
      <c r="AA49" t="s" s="0">
        <v>92</v>
      </c>
      <c r="AB49" t="s" s="0">
        <v>82</v>
      </c>
      <c r="AC49" t="s" s="0">
        <v>82</v>
      </c>
      <c r="AD49" t="s" s="0">
        <v>82</v>
      </c>
      <c r="AE49" t="s" s="0">
        <v>82</v>
      </c>
      <c r="AF49" t="s" s="0">
        <v>82</v>
      </c>
      <c r="AG49" t="s" s="0">
        <v>82</v>
      </c>
      <c r="AH49" t="s" s="0">
        <v>1347</v>
      </c>
      <c r="AI49" t="s" s="0">
        <v>1348</v>
      </c>
      <c r="AJ49" t="s" s="0">
        <v>1349</v>
      </c>
      <c r="AK49" t="s" s="0">
        <v>82</v>
      </c>
      <c r="AL49" t="s" s="0">
        <v>329</v>
      </c>
      <c r="AM49" t="s" s="0">
        <v>229</v>
      </c>
      <c r="AN49" t="s" s="0">
        <v>78</v>
      </c>
      <c r="AO49" t="s" s="0">
        <v>229</v>
      </c>
      <c r="AP49" t="s" s="0">
        <v>229</v>
      </c>
      <c r="AQ49" t="s" s="0">
        <v>265</v>
      </c>
      <c r="AR49" t="s" s="0">
        <v>266</v>
      </c>
      <c r="AS49" t="s" s="0">
        <v>267</v>
      </c>
      <c r="AT49" t="s" s="0">
        <v>268</v>
      </c>
      <c r="AU49" t="s" s="0">
        <v>82</v>
      </c>
      <c r="AV49" t="s" s="0">
        <v>82</v>
      </c>
      <c r="AW49" t="s" s="0">
        <v>269</v>
      </c>
      <c r="AX49" t="s" s="0">
        <v>270</v>
      </c>
      <c r="AY49" t="s" s="0">
        <v>1350</v>
      </c>
      <c r="AZ49" t="s" s="0">
        <v>141</v>
      </c>
      <c r="BA49" t="s" s="0">
        <v>272</v>
      </c>
      <c r="BB49" t="s" s="0">
        <v>229</v>
      </c>
      <c r="BC49" t="s" s="0">
        <v>82</v>
      </c>
      <c r="BD49" t="s" s="0">
        <v>82</v>
      </c>
      <c r="BE49" t="s" s="0">
        <v>82</v>
      </c>
      <c r="BF49" t="s" s="0">
        <v>82</v>
      </c>
      <c r="BG49" t="s" s="0">
        <v>82</v>
      </c>
      <c r="BH49" t="s" s="0">
        <v>82</v>
      </c>
      <c r="BI49" t="s" s="0">
        <v>1351</v>
      </c>
      <c r="BJ49" t="s" s="0">
        <v>1352</v>
      </c>
      <c r="BK49" t="s" s="95">
        <f>HYPERLINK("http://dx.doi.org/10.1038/s41746-026-02645-y","http://dx.doi.org/10.1038/s41746-026-02645-y")</f>
        <v>1353</v>
      </c>
      <c r="BL49" t="s" s="0">
        <v>82</v>
      </c>
      <c r="BM49" t="s" s="0">
        <v>276</v>
      </c>
      <c r="BN49" t="s" s="0">
        <v>346</v>
      </c>
      <c r="BO49" t="s" s="0">
        <v>213</v>
      </c>
      <c r="BP49" t="s" s="0">
        <v>213</v>
      </c>
      <c r="BQ49" t="s" s="0">
        <v>1354</v>
      </c>
      <c r="BR49" t="s" s="0">
        <v>1355</v>
      </c>
      <c r="BS49" t="s" s="0">
        <v>1356</v>
      </c>
      <c r="BT49" t="s" s="96">
        <f>HYPERLINK("https://www.webofscience.com/wos/woscc/full-record/WOS:001814708500001","View Record in Web of Science")</f>
        <v>118</v>
      </c>
      <c r="BU49" t="s" s="0">
        <v>187</v>
      </c>
      <c r="BV49" t="s" s="0">
        <v>82</v>
      </c>
      <c r="BW49" t="s" s="0">
        <v>82</v>
      </c>
      <c r="BX49" t="s" s="0">
        <v>119</v>
      </c>
    </row>
    <row r="50">
      <c r="A50" t="s" s="0">
        <v>78</v>
      </c>
      <c r="B50" t="s" s="0">
        <v>77</v>
      </c>
      <c r="C50" t="s" s="0">
        <v>169</v>
      </c>
      <c r="D50" t="s" s="0">
        <v>77</v>
      </c>
      <c r="E50" t="s" s="0">
        <v>1357</v>
      </c>
      <c r="F50" t="s" s="0">
        <v>1358</v>
      </c>
      <c r="G50" t="s" s="0">
        <v>1359</v>
      </c>
      <c r="H50" t="s" s="0">
        <v>82</v>
      </c>
      <c r="I50" t="s" s="0">
        <v>83</v>
      </c>
      <c r="J50" t="s" s="0">
        <v>1360</v>
      </c>
      <c r="K50" t="s" s="0">
        <v>1361</v>
      </c>
      <c r="L50" t="s" s="0">
        <v>82</v>
      </c>
      <c r="M50" t="s" s="0">
        <v>82</v>
      </c>
      <c r="N50" t="s" s="0">
        <v>82</v>
      </c>
      <c r="O50" t="s" s="0">
        <v>1362</v>
      </c>
      <c r="P50" t="s" s="0">
        <v>1363</v>
      </c>
      <c r="Q50" t="s" s="0">
        <v>88</v>
      </c>
      <c r="R50" t="s" s="0">
        <v>82</v>
      </c>
      <c r="S50" t="s" s="0">
        <v>82</v>
      </c>
      <c r="T50" t="s" s="0">
        <v>82</v>
      </c>
      <c r="U50" t="s" s="0">
        <v>82</v>
      </c>
      <c r="V50" t="s" s="0">
        <v>1364</v>
      </c>
      <c r="W50" t="s" s="0">
        <v>1365</v>
      </c>
      <c r="X50" t="s" s="0">
        <v>82</v>
      </c>
      <c r="Y50" t="s" s="0">
        <v>82</v>
      </c>
      <c r="Z50" t="s" s="0">
        <v>91</v>
      </c>
      <c r="AA50" t="s" s="0">
        <v>92</v>
      </c>
      <c r="AB50" t="s" s="0">
        <v>82</v>
      </c>
      <c r="AC50" t="s" s="0">
        <v>82</v>
      </c>
      <c r="AD50" t="s" s="0">
        <v>82</v>
      </c>
      <c r="AE50" t="s" s="0">
        <v>82</v>
      </c>
      <c r="AF50" t="s" s="0">
        <v>82</v>
      </c>
      <c r="AG50" t="s" s="0">
        <v>1366</v>
      </c>
      <c r="AH50" t="s" s="0">
        <v>82</v>
      </c>
      <c r="AI50" t="s" s="0">
        <v>1367</v>
      </c>
      <c r="AJ50" t="s" s="0">
        <v>1368</v>
      </c>
      <c r="AK50" t="s" s="0">
        <v>82</v>
      </c>
      <c r="AL50" t="s" s="0">
        <v>811</v>
      </c>
      <c r="AM50" t="s" s="0">
        <v>1369</v>
      </c>
      <c r="AN50" t="s" s="0">
        <v>746</v>
      </c>
      <c r="AO50" t="s" s="0">
        <v>78</v>
      </c>
      <c r="AP50" t="s" s="0">
        <v>176</v>
      </c>
      <c r="AQ50" t="s" s="0">
        <v>604</v>
      </c>
      <c r="AR50" t="s" s="0">
        <v>605</v>
      </c>
      <c r="AS50" t="s" s="0">
        <v>606</v>
      </c>
      <c r="AT50" t="s" s="0">
        <v>1370</v>
      </c>
      <c r="AU50" t="s" s="0">
        <v>1371</v>
      </c>
      <c r="AV50" t="s" s="0">
        <v>82</v>
      </c>
      <c r="AW50" t="s" s="0">
        <v>1372</v>
      </c>
      <c r="AX50" t="s" s="0">
        <v>1373</v>
      </c>
      <c r="AY50" t="s" s="0">
        <v>1374</v>
      </c>
      <c r="AZ50" t="s" s="0">
        <v>107</v>
      </c>
      <c r="BA50" t="s" s="0">
        <v>689</v>
      </c>
      <c r="BB50" t="s" s="0">
        <v>229</v>
      </c>
      <c r="BC50" t="s" s="0">
        <v>82</v>
      </c>
      <c r="BD50" t="s" s="0">
        <v>82</v>
      </c>
      <c r="BE50" t="s" s="0">
        <v>82</v>
      </c>
      <c r="BF50" t="s" s="0">
        <v>82</v>
      </c>
      <c r="BG50" t="s" s="0">
        <v>82</v>
      </c>
      <c r="BH50" t="s" s="0">
        <v>82</v>
      </c>
      <c r="BI50" t="s" s="0">
        <v>1375</v>
      </c>
      <c r="BJ50" t="s" s="0">
        <v>1376</v>
      </c>
      <c r="BK50" t="s" s="97">
        <f>HYPERLINK("http://dx.doi.org/10.1186/s13054-025-05468-7","http://dx.doi.org/10.1186/s13054-025-05468-7")</f>
        <v>1377</v>
      </c>
      <c r="BL50" t="s" s="0">
        <v>82</v>
      </c>
      <c r="BM50" t="s" s="0">
        <v>82</v>
      </c>
      <c r="BN50" t="s" s="0">
        <v>272</v>
      </c>
      <c r="BO50" t="s" s="0">
        <v>245</v>
      </c>
      <c r="BP50" t="s" s="0">
        <v>183</v>
      </c>
      <c r="BQ50" t="s" s="0">
        <v>1378</v>
      </c>
      <c r="BR50" t="s" s="0">
        <v>1379</v>
      </c>
      <c r="BS50" t="s" s="0">
        <v>1380</v>
      </c>
      <c r="BT50" t="s" s="98">
        <f>HYPERLINK("https://www.webofscience.com/wos/woscc/full-record/WOS:001504272000001","View Record in Web of Science")</f>
        <v>118</v>
      </c>
      <c r="BU50" t="s" s="0">
        <v>187</v>
      </c>
      <c r="BV50" t="s" s="0">
        <v>82</v>
      </c>
      <c r="BW50" t="s" s="0">
        <v>82</v>
      </c>
      <c r="BX50" t="s" s="0">
        <v>119</v>
      </c>
    </row>
    <row r="51">
      <c r="A51" t="s" s="0">
        <v>77</v>
      </c>
      <c r="B51" t="s" s="0">
        <v>77</v>
      </c>
      <c r="C51" t="s" s="0">
        <v>77</v>
      </c>
      <c r="D51" t="s" s="0">
        <v>77</v>
      </c>
      <c r="E51" t="s" s="0">
        <v>1381</v>
      </c>
      <c r="F51" t="s" s="0">
        <v>1382</v>
      </c>
      <c r="G51" t="s" s="0">
        <v>1383</v>
      </c>
      <c r="H51" t="s" s="0">
        <v>82</v>
      </c>
      <c r="I51" t="s" s="0">
        <v>595</v>
      </c>
      <c r="J51" t="s" s="0">
        <v>1384</v>
      </c>
      <c r="K51" t="s" s="0">
        <v>1385</v>
      </c>
      <c r="L51" t="s" s="0">
        <v>82</v>
      </c>
      <c r="M51" t="s" s="0">
        <v>82</v>
      </c>
      <c r="N51" t="s" s="0">
        <v>82</v>
      </c>
      <c r="O51" t="s" s="0">
        <v>1386</v>
      </c>
      <c r="P51" t="s" s="0">
        <v>1387</v>
      </c>
      <c r="Q51" t="s" s="0">
        <v>88</v>
      </c>
      <c r="R51" t="s" s="0">
        <v>82</v>
      </c>
      <c r="S51" t="s" s="0">
        <v>82</v>
      </c>
      <c r="T51" t="s" s="0">
        <v>82</v>
      </c>
      <c r="U51" t="s" s="0">
        <v>82</v>
      </c>
      <c r="V51" t="s" s="0">
        <v>1388</v>
      </c>
      <c r="W51" t="s" s="0">
        <v>1389</v>
      </c>
      <c r="X51" t="s" s="0">
        <v>82</v>
      </c>
      <c r="Y51" t="s" s="0">
        <v>82</v>
      </c>
      <c r="Z51" t="s" s="0">
        <v>91</v>
      </c>
      <c r="AA51" t="s" s="0">
        <v>92</v>
      </c>
      <c r="AB51" t="s" s="0">
        <v>82</v>
      </c>
      <c r="AC51" t="s" s="0">
        <v>82</v>
      </c>
      <c r="AD51" t="s" s="0">
        <v>82</v>
      </c>
      <c r="AE51" t="s" s="0">
        <v>82</v>
      </c>
      <c r="AF51" t="s" s="0">
        <v>82</v>
      </c>
      <c r="AG51" t="s" s="0">
        <v>1390</v>
      </c>
      <c r="AH51" t="s" s="0">
        <v>82</v>
      </c>
      <c r="AI51" t="s" s="0">
        <v>1391</v>
      </c>
      <c r="AJ51" t="s" s="0">
        <v>82</v>
      </c>
      <c r="AK51" t="s" s="0">
        <v>82</v>
      </c>
      <c r="AL51" t="s" s="0">
        <v>308</v>
      </c>
      <c r="AM51" t="s" s="0">
        <v>229</v>
      </c>
      <c r="AN51" t="s" s="0">
        <v>229</v>
      </c>
      <c r="AO51" t="s" s="0">
        <v>229</v>
      </c>
      <c r="AP51" t="s" s="0">
        <v>229</v>
      </c>
      <c r="AQ51" t="s" s="0">
        <v>444</v>
      </c>
      <c r="AR51" t="s" s="0">
        <v>445</v>
      </c>
      <c r="AS51" t="s" s="0">
        <v>446</v>
      </c>
      <c r="AT51" t="s" s="0">
        <v>1392</v>
      </c>
      <c r="AU51" t="s" s="0">
        <v>82</v>
      </c>
      <c r="AV51" t="s" s="0">
        <v>82</v>
      </c>
      <c r="AW51" t="s" s="0">
        <v>1393</v>
      </c>
      <c r="AX51" t="s" s="0">
        <v>1394</v>
      </c>
      <c r="AY51" t="s" s="0">
        <v>1395</v>
      </c>
      <c r="AZ51" t="s" s="0">
        <v>107</v>
      </c>
      <c r="BA51" t="s" s="0">
        <v>368</v>
      </c>
      <c r="BB51" t="s" s="0">
        <v>244</v>
      </c>
      <c r="BC51" t="s" s="0">
        <v>82</v>
      </c>
      <c r="BD51" t="s" s="0">
        <v>82</v>
      </c>
      <c r="BE51" t="s" s="0">
        <v>82</v>
      </c>
      <c r="BF51" t="s" s="0">
        <v>82</v>
      </c>
      <c r="BG51" t="s" s="0">
        <v>82</v>
      </c>
      <c r="BH51" t="s" s="0">
        <v>82</v>
      </c>
      <c r="BI51" t="s" s="0">
        <v>1396</v>
      </c>
      <c r="BJ51" t="s" s="0">
        <v>1397</v>
      </c>
      <c r="BK51" t="s" s="99">
        <f>HYPERLINK("http://dx.doi.org/10.4330/wjc.v17.i8.110489","http://dx.doi.org/10.4330/wjc.v17.i8.110489")</f>
        <v>1398</v>
      </c>
      <c r="BL51" t="s" s="0">
        <v>82</v>
      </c>
      <c r="BM51" t="s" s="0">
        <v>82</v>
      </c>
      <c r="BN51" t="s" s="0">
        <v>308</v>
      </c>
      <c r="BO51" t="s" s="0">
        <v>1399</v>
      </c>
      <c r="BP51" t="s" s="0">
        <v>1400</v>
      </c>
      <c r="BQ51" t="s" s="0">
        <v>1401</v>
      </c>
      <c r="BR51" t="s" s="0">
        <v>1402</v>
      </c>
      <c r="BS51" t="s" s="0">
        <v>1403</v>
      </c>
      <c r="BT51" t="s" s="100">
        <f>HYPERLINK("https://www.webofscience.com/wos/woscc/full-record/WOS:001559096800010","View Record in Web of Science")</f>
        <v>118</v>
      </c>
      <c r="BU51" t="s" s="0">
        <v>1404</v>
      </c>
      <c r="BV51" t="s" s="0">
        <v>82</v>
      </c>
      <c r="BW51" t="s" s="0">
        <v>82</v>
      </c>
      <c r="BX51" t="s" s="0">
        <v>119</v>
      </c>
    </row>
    <row r="52">
      <c r="A52" t="s" s="0">
        <v>229</v>
      </c>
      <c r="B52" t="s" s="0">
        <v>77</v>
      </c>
      <c r="C52" t="s" s="0">
        <v>77</v>
      </c>
      <c r="D52" t="s" s="0">
        <v>77</v>
      </c>
      <c r="E52" t="s" s="0">
        <v>1405</v>
      </c>
      <c r="F52" t="s" s="0">
        <v>1406</v>
      </c>
      <c r="G52" t="s" s="0">
        <v>1407</v>
      </c>
      <c r="H52" t="s" s="0">
        <v>82</v>
      </c>
      <c r="I52" t="s" s="0">
        <v>83</v>
      </c>
      <c r="J52" t="s" s="0">
        <v>1408</v>
      </c>
      <c r="K52" t="s" s="0">
        <v>1409</v>
      </c>
      <c r="L52" t="s" s="0">
        <v>1410</v>
      </c>
      <c r="M52" t="s" s="0">
        <v>1411</v>
      </c>
      <c r="N52" t="s" s="0">
        <v>1412</v>
      </c>
      <c r="O52" t="s" s="0">
        <v>1413</v>
      </c>
      <c r="P52" t="s" s="0">
        <v>1414</v>
      </c>
      <c r="Q52" t="s" s="0">
        <v>88</v>
      </c>
      <c r="R52" t="s" s="0">
        <v>82</v>
      </c>
      <c r="S52" t="s" s="0">
        <v>82</v>
      </c>
      <c r="T52" t="s" s="0">
        <v>82</v>
      </c>
      <c r="U52" t="s" s="0">
        <v>82</v>
      </c>
      <c r="V52" t="s" s="0">
        <v>1415</v>
      </c>
      <c r="W52" t="s" s="0">
        <v>1416</v>
      </c>
      <c r="X52" t="s" s="0">
        <v>82</v>
      </c>
      <c r="Y52" t="s" s="0">
        <v>82</v>
      </c>
      <c r="Z52" t="s" s="0">
        <v>91</v>
      </c>
      <c r="AA52" t="s" s="0">
        <v>92</v>
      </c>
      <c r="AB52" t="s" s="0">
        <v>82</v>
      </c>
      <c r="AC52" t="s" s="0">
        <v>82</v>
      </c>
      <c r="AD52" t="s" s="0">
        <v>82</v>
      </c>
      <c r="AE52" t="s" s="0">
        <v>82</v>
      </c>
      <c r="AF52" t="s" s="0">
        <v>82</v>
      </c>
      <c r="AG52" t="s" s="0">
        <v>1417</v>
      </c>
      <c r="AH52" t="s" s="0">
        <v>1418</v>
      </c>
      <c r="AI52" t="s" s="0">
        <v>82</v>
      </c>
      <c r="AJ52" t="s" s="0">
        <v>82</v>
      </c>
      <c r="AK52" t="s" s="0">
        <v>82</v>
      </c>
      <c r="AL52" t="s" s="0">
        <v>510</v>
      </c>
      <c r="AM52" t="s" s="0">
        <v>78</v>
      </c>
      <c r="AN52" t="s" s="0">
        <v>78</v>
      </c>
      <c r="AO52" t="s" s="0">
        <v>229</v>
      </c>
      <c r="AP52" t="s" s="0">
        <v>308</v>
      </c>
      <c r="AQ52" t="s" s="0">
        <v>1419</v>
      </c>
      <c r="AR52" t="s" s="0">
        <v>1420</v>
      </c>
      <c r="AS52" t="s" s="0">
        <v>1421</v>
      </c>
      <c r="AT52" t="s" s="0">
        <v>1422</v>
      </c>
      <c r="AU52" t="s" s="0">
        <v>82</v>
      </c>
      <c r="AV52" t="s" s="0">
        <v>82</v>
      </c>
      <c r="AW52" t="s" s="0">
        <v>1423</v>
      </c>
      <c r="AX52" t="s" s="0">
        <v>1424</v>
      </c>
      <c r="AY52" t="s" s="0">
        <v>688</v>
      </c>
      <c r="AZ52" t="s" s="0">
        <v>107</v>
      </c>
      <c r="BA52" t="s" s="0">
        <v>181</v>
      </c>
      <c r="BB52" t="s" s="0">
        <v>239</v>
      </c>
      <c r="BC52" t="s" s="0">
        <v>82</v>
      </c>
      <c r="BD52" t="s" s="0">
        <v>82</v>
      </c>
      <c r="BE52" t="s" s="0">
        <v>82</v>
      </c>
      <c r="BF52" t="s" s="0">
        <v>82</v>
      </c>
      <c r="BG52" t="s" s="0">
        <v>1425</v>
      </c>
      <c r="BH52" t="s" s="0">
        <v>1426</v>
      </c>
      <c r="BI52" t="s" s="0">
        <v>82</v>
      </c>
      <c r="BJ52" t="s" s="0">
        <v>1427</v>
      </c>
      <c r="BK52" t="s" s="101">
        <f>HYPERLINK("http://dx.doi.org/10.5847/wjem.j.1920-8642.2025.095","http://dx.doi.org/10.5847/wjem.j.1920-8642.2025.095")</f>
        <v>1428</v>
      </c>
      <c r="BL52" t="s" s="0">
        <v>82</v>
      </c>
      <c r="BM52" t="s" s="0">
        <v>82</v>
      </c>
      <c r="BN52" t="s" s="0">
        <v>272</v>
      </c>
      <c r="BO52" t="s" s="0">
        <v>615</v>
      </c>
      <c r="BP52" t="s" s="0">
        <v>615</v>
      </c>
      <c r="BQ52" t="s" s="0">
        <v>1429</v>
      </c>
      <c r="BR52" t="s" s="0">
        <v>1430</v>
      </c>
      <c r="BS52" t="s" s="0">
        <v>1431</v>
      </c>
      <c r="BT52" t="s" s="102">
        <f>HYPERLINK("https://www.webofscience.com/wos/woscc/full-record/WOS:001573058700005","View Record in Web of Science")</f>
        <v>118</v>
      </c>
      <c r="BU52" t="s" s="0">
        <v>1432</v>
      </c>
      <c r="BV52" t="s" s="0">
        <v>82</v>
      </c>
      <c r="BW52" t="s" s="0">
        <v>82</v>
      </c>
      <c r="BX52" t="s" s="0">
        <v>119</v>
      </c>
    </row>
    <row r="53">
      <c r="A53" t="s" s="0">
        <v>77</v>
      </c>
      <c r="B53" t="s" s="0">
        <v>77</v>
      </c>
      <c r="C53" t="s" s="0">
        <v>77</v>
      </c>
      <c r="D53" t="s" s="0">
        <v>77</v>
      </c>
      <c r="E53" t="s" s="0">
        <v>1433</v>
      </c>
      <c r="F53" t="s" s="0">
        <v>1434</v>
      </c>
      <c r="G53" t="s" s="0">
        <v>1435</v>
      </c>
      <c r="H53" t="s" s="0">
        <v>82</v>
      </c>
      <c r="I53" t="s" s="0">
        <v>83</v>
      </c>
      <c r="J53" t="s" s="0">
        <v>1436</v>
      </c>
      <c r="K53" t="s" s="0">
        <v>1437</v>
      </c>
      <c r="L53" t="s" s="0">
        <v>82</v>
      </c>
      <c r="M53" t="s" s="0">
        <v>82</v>
      </c>
      <c r="N53" t="s" s="0">
        <v>82</v>
      </c>
      <c r="O53" t="s" s="0">
        <v>1438</v>
      </c>
      <c r="P53" t="s" s="0">
        <v>1439</v>
      </c>
      <c r="Q53" t="s" s="0">
        <v>88</v>
      </c>
      <c r="R53" t="s" s="0">
        <v>82</v>
      </c>
      <c r="S53" t="s" s="0">
        <v>82</v>
      </c>
      <c r="T53" t="s" s="0">
        <v>82</v>
      </c>
      <c r="U53" t="s" s="0">
        <v>82</v>
      </c>
      <c r="V53" t="s" s="0">
        <v>1440</v>
      </c>
      <c r="W53" t="s" s="0">
        <v>1441</v>
      </c>
      <c r="X53" t="s" s="0">
        <v>82</v>
      </c>
      <c r="Y53" t="s" s="0">
        <v>82</v>
      </c>
      <c r="Z53" t="s" s="0">
        <v>91</v>
      </c>
      <c r="AA53" t="s" s="0">
        <v>526</v>
      </c>
      <c r="AB53" t="s" s="0">
        <v>82</v>
      </c>
      <c r="AC53" t="s" s="0">
        <v>82</v>
      </c>
      <c r="AD53" t="s" s="0">
        <v>82</v>
      </c>
      <c r="AE53" t="s" s="0">
        <v>82</v>
      </c>
      <c r="AF53" t="s" s="0">
        <v>82</v>
      </c>
      <c r="AG53" t="s" s="0">
        <v>1442</v>
      </c>
      <c r="AH53" t="s" s="0">
        <v>1443</v>
      </c>
      <c r="AI53" t="s" s="0">
        <v>82</v>
      </c>
      <c r="AJ53" t="s" s="0">
        <v>82</v>
      </c>
      <c r="AK53" t="s" s="0">
        <v>82</v>
      </c>
      <c r="AL53" t="s" s="0">
        <v>212</v>
      </c>
      <c r="AM53" t="s" s="0">
        <v>77</v>
      </c>
      <c r="AN53" t="s" s="0">
        <v>77</v>
      </c>
      <c r="AO53" t="s" s="0">
        <v>77</v>
      </c>
      <c r="AP53" t="s" s="0">
        <v>77</v>
      </c>
      <c r="AQ53" t="s" s="0">
        <v>550</v>
      </c>
      <c r="AR53" t="s" s="0">
        <v>739</v>
      </c>
      <c r="AS53" t="s" s="0">
        <v>740</v>
      </c>
      <c r="AT53" t="s" s="0">
        <v>1444</v>
      </c>
      <c r="AU53" t="s" s="0">
        <v>1445</v>
      </c>
      <c r="AV53" t="s" s="0">
        <v>82</v>
      </c>
      <c r="AW53" t="s" s="0">
        <v>1446</v>
      </c>
      <c r="AX53" t="s" s="0">
        <v>1447</v>
      </c>
      <c r="AY53" t="s" s="0">
        <v>82</v>
      </c>
      <c r="AZ53" t="s" s="0">
        <v>141</v>
      </c>
      <c r="BA53" t="s" s="0">
        <v>82</v>
      </c>
      <c r="BB53" t="s" s="0">
        <v>82</v>
      </c>
      <c r="BC53" t="s" s="0">
        <v>82</v>
      </c>
      <c r="BD53" t="s" s="0">
        <v>82</v>
      </c>
      <c r="BE53" t="s" s="0">
        <v>82</v>
      </c>
      <c r="BF53" t="s" s="0">
        <v>82</v>
      </c>
      <c r="BG53" t="s" s="0">
        <v>82</v>
      </c>
      <c r="BH53" t="s" s="0">
        <v>82</v>
      </c>
      <c r="BI53" t="s" s="0">
        <v>82</v>
      </c>
      <c r="BJ53" t="s" s="0">
        <v>1448</v>
      </c>
      <c r="BK53" t="s" s="103">
        <f>HYPERLINK("http://dx.doi.org/10.1007/s00405-026-10440-4","http://dx.doi.org/10.1007/s00405-026-10440-4")</f>
        <v>1449</v>
      </c>
      <c r="BL53" t="s" s="0">
        <v>82</v>
      </c>
      <c r="BM53" t="s" s="0">
        <v>534</v>
      </c>
      <c r="BN53" t="s" s="0">
        <v>272</v>
      </c>
      <c r="BO53" t="s" s="0">
        <v>1450</v>
      </c>
      <c r="BP53" t="s" s="0">
        <v>1450</v>
      </c>
      <c r="BQ53" t="s" s="0">
        <v>1451</v>
      </c>
      <c r="BR53" t="s" s="0">
        <v>1452</v>
      </c>
      <c r="BS53" t="s" s="0">
        <v>1453</v>
      </c>
      <c r="BT53" t="s" s="104">
        <f>HYPERLINK("https://www.webofscience.com/wos/woscc/full-record/WOS:001823795000001","View Record in Web of Science")</f>
        <v>118</v>
      </c>
      <c r="BU53" t="s" s="0">
        <v>82</v>
      </c>
      <c r="BV53" t="s" s="0">
        <v>82</v>
      </c>
      <c r="BW53" t="s" s="0">
        <v>82</v>
      </c>
      <c r="BX53" t="s" s="0">
        <v>119</v>
      </c>
    </row>
    <row r="54">
      <c r="A54" t="s" s="0">
        <v>77</v>
      </c>
      <c r="B54" t="s" s="0">
        <v>77</v>
      </c>
      <c r="C54" t="s" s="0">
        <v>77</v>
      </c>
      <c r="D54" t="s" s="0">
        <v>77</v>
      </c>
      <c r="E54" t="s" s="0">
        <v>1454</v>
      </c>
      <c r="F54" t="s" s="0">
        <v>1455</v>
      </c>
      <c r="G54" t="s" s="0">
        <v>1456</v>
      </c>
      <c r="H54" t="s" s="0">
        <v>82</v>
      </c>
      <c r="I54" t="s" s="0">
        <v>83</v>
      </c>
      <c r="J54" t="s" s="0">
        <v>1457</v>
      </c>
      <c r="K54" t="s" s="0">
        <v>1458</v>
      </c>
      <c r="L54" t="s" s="0">
        <v>82</v>
      </c>
      <c r="M54" t="s" s="0">
        <v>82</v>
      </c>
      <c r="N54" t="s" s="0">
        <v>82</v>
      </c>
      <c r="O54" t="s" s="0">
        <v>1459</v>
      </c>
      <c r="P54" t="s" s="0">
        <v>1460</v>
      </c>
      <c r="Q54" t="s" s="0">
        <v>88</v>
      </c>
      <c r="R54" t="s" s="0">
        <v>82</v>
      </c>
      <c r="S54" t="s" s="0">
        <v>82</v>
      </c>
      <c r="T54" t="s" s="0">
        <v>82</v>
      </c>
      <c r="U54" t="s" s="0">
        <v>82</v>
      </c>
      <c r="V54" t="s" s="0">
        <v>1461</v>
      </c>
      <c r="W54" t="s" s="0">
        <v>1462</v>
      </c>
      <c r="X54" t="s" s="0">
        <v>82</v>
      </c>
      <c r="Y54" t="s" s="0">
        <v>82</v>
      </c>
      <c r="Z54" t="s" s="0">
        <v>91</v>
      </c>
      <c r="AA54" t="s" s="0">
        <v>526</v>
      </c>
      <c r="AB54" t="s" s="0">
        <v>82</v>
      </c>
      <c r="AC54" t="s" s="0">
        <v>82</v>
      </c>
      <c r="AD54" t="s" s="0">
        <v>82</v>
      </c>
      <c r="AE54" t="s" s="0">
        <v>82</v>
      </c>
      <c r="AF54" t="s" s="0">
        <v>82</v>
      </c>
      <c r="AG54" t="s" s="0">
        <v>1463</v>
      </c>
      <c r="AH54" t="s" s="0">
        <v>1464</v>
      </c>
      <c r="AI54" t="s" s="0">
        <v>1465</v>
      </c>
      <c r="AJ54" t="s" s="0">
        <v>1466</v>
      </c>
      <c r="AK54" t="s" s="0">
        <v>82</v>
      </c>
      <c r="AL54" t="s" s="0">
        <v>177</v>
      </c>
      <c r="AM54" t="s" s="0">
        <v>77</v>
      </c>
      <c r="AN54" t="s" s="0">
        <v>77</v>
      </c>
      <c r="AO54" t="s" s="0">
        <v>77</v>
      </c>
      <c r="AP54" t="s" s="0">
        <v>77</v>
      </c>
      <c r="AQ54" t="s" s="0">
        <v>1467</v>
      </c>
      <c r="AR54" t="s" s="0">
        <v>1468</v>
      </c>
      <c r="AS54" t="s" s="0">
        <v>1469</v>
      </c>
      <c r="AT54" t="s" s="0">
        <v>1470</v>
      </c>
      <c r="AU54" t="s" s="0">
        <v>1471</v>
      </c>
      <c r="AV54" t="s" s="0">
        <v>82</v>
      </c>
      <c r="AW54" t="s" s="0">
        <v>1472</v>
      </c>
      <c r="AX54" t="s" s="0">
        <v>1473</v>
      </c>
      <c r="AY54" t="s" s="0">
        <v>82</v>
      </c>
      <c r="AZ54" t="s" s="0">
        <v>141</v>
      </c>
      <c r="BA54" t="s" s="0">
        <v>82</v>
      </c>
      <c r="BB54" t="s" s="0">
        <v>82</v>
      </c>
      <c r="BC54" t="s" s="0">
        <v>82</v>
      </c>
      <c r="BD54" t="s" s="0">
        <v>82</v>
      </c>
      <c r="BE54" t="s" s="0">
        <v>82</v>
      </c>
      <c r="BF54" t="s" s="0">
        <v>82</v>
      </c>
      <c r="BG54" t="s" s="0">
        <v>82</v>
      </c>
      <c r="BH54" t="s" s="0">
        <v>82</v>
      </c>
      <c r="BI54" t="s" s="0">
        <v>82</v>
      </c>
      <c r="BJ54" t="s" s="0">
        <v>1474</v>
      </c>
      <c r="BK54" t="s" s="105">
        <f>HYPERLINK("http://dx.doi.org/10.1007/s13312-026-00396-3","http://dx.doi.org/10.1007/s13312-026-00396-3")</f>
        <v>1475</v>
      </c>
      <c r="BL54" t="s" s="0">
        <v>82</v>
      </c>
      <c r="BM54" t="s" s="0">
        <v>534</v>
      </c>
      <c r="BN54" t="s" s="0">
        <v>308</v>
      </c>
      <c r="BO54" t="s" s="0">
        <v>820</v>
      </c>
      <c r="BP54" t="s" s="0">
        <v>820</v>
      </c>
      <c r="BQ54" t="s" s="0">
        <v>1476</v>
      </c>
      <c r="BR54" t="s" s="0">
        <v>1477</v>
      </c>
      <c r="BS54" t="s" s="0">
        <v>1478</v>
      </c>
      <c r="BT54" t="s" s="106">
        <f>HYPERLINK("https://www.webofscience.com/wos/woscc/full-record/WOS:001820680600001","View Record in Web of Science")</f>
        <v>118</v>
      </c>
      <c r="BU54" t="s" s="0">
        <v>82</v>
      </c>
      <c r="BV54" t="s" s="0">
        <v>82</v>
      </c>
      <c r="BW54" t="s" s="0">
        <v>82</v>
      </c>
      <c r="BX54" t="s" s="0">
        <v>119</v>
      </c>
    </row>
    <row r="55">
      <c r="A55" t="s" s="0">
        <v>77</v>
      </c>
      <c r="B55" t="s" s="0">
        <v>77</v>
      </c>
      <c r="C55" t="s" s="0">
        <v>77</v>
      </c>
      <c r="D55" t="s" s="0">
        <v>77</v>
      </c>
      <c r="E55" t="s" s="0">
        <v>1479</v>
      </c>
      <c r="F55" t="s" s="0">
        <v>1480</v>
      </c>
      <c r="G55" t="s" s="0">
        <v>1481</v>
      </c>
      <c r="H55" t="s" s="0">
        <v>82</v>
      </c>
      <c r="I55" t="s" s="0">
        <v>83</v>
      </c>
      <c r="J55" t="s" s="0">
        <v>1482</v>
      </c>
      <c r="K55" t="s" s="0">
        <v>1483</v>
      </c>
      <c r="L55" t="s" s="0">
        <v>1484</v>
      </c>
      <c r="M55" t="s" s="0">
        <v>1485</v>
      </c>
      <c r="N55" t="s" s="0">
        <v>1486</v>
      </c>
      <c r="O55" t="s" s="0">
        <v>1487</v>
      </c>
      <c r="P55" t="s" s="0">
        <v>1488</v>
      </c>
      <c r="Q55" t="s" s="0">
        <v>88</v>
      </c>
      <c r="R55" t="s" s="0">
        <v>82</v>
      </c>
      <c r="S55" t="s" s="0">
        <v>82</v>
      </c>
      <c r="T55" t="s" s="0">
        <v>82</v>
      </c>
      <c r="U55" t="s" s="0">
        <v>82</v>
      </c>
      <c r="V55" t="s" s="0">
        <v>1489</v>
      </c>
      <c r="W55" t="s" s="0">
        <v>1490</v>
      </c>
      <c r="X55" t="s" s="0">
        <v>82</v>
      </c>
      <c r="Y55" t="s" s="0">
        <v>82</v>
      </c>
      <c r="Z55" t="s" s="0">
        <v>91</v>
      </c>
      <c r="AA55" t="s" s="0">
        <v>92</v>
      </c>
      <c r="AB55" t="s" s="0">
        <v>82</v>
      </c>
      <c r="AC55" t="s" s="0">
        <v>82</v>
      </c>
      <c r="AD55" t="s" s="0">
        <v>82</v>
      </c>
      <c r="AE55" t="s" s="0">
        <v>82</v>
      </c>
      <c r="AF55" t="s" s="0">
        <v>82</v>
      </c>
      <c r="AG55" t="s" s="0">
        <v>1491</v>
      </c>
      <c r="AH55" t="s" s="0">
        <v>82</v>
      </c>
      <c r="AI55" t="s" s="0">
        <v>1492</v>
      </c>
      <c r="AJ55" t="s" s="0">
        <v>1493</v>
      </c>
      <c r="AK55" t="s" s="0">
        <v>82</v>
      </c>
      <c r="AL55" t="s" s="0">
        <v>746</v>
      </c>
      <c r="AM55" t="s" s="0">
        <v>229</v>
      </c>
      <c r="AN55" t="s" s="0">
        <v>229</v>
      </c>
      <c r="AO55" t="s" s="0">
        <v>78</v>
      </c>
      <c r="AP55" t="s" s="0">
        <v>78</v>
      </c>
      <c r="AQ55" t="s" s="0">
        <v>170</v>
      </c>
      <c r="AR55" t="s" s="0">
        <v>171</v>
      </c>
      <c r="AS55" t="s" s="0">
        <v>172</v>
      </c>
      <c r="AT55" t="s" s="0">
        <v>82</v>
      </c>
      <c r="AU55" t="s" s="0">
        <v>1494</v>
      </c>
      <c r="AV55" t="s" s="0">
        <v>82</v>
      </c>
      <c r="AW55" t="s" s="0">
        <v>1495</v>
      </c>
      <c r="AX55" t="s" s="0">
        <v>1496</v>
      </c>
      <c r="AY55" t="s" s="0">
        <v>1497</v>
      </c>
      <c r="AZ55" t="s" s="0">
        <v>141</v>
      </c>
      <c r="BA55" t="s" s="0">
        <v>181</v>
      </c>
      <c r="BB55" t="s" s="0">
        <v>98</v>
      </c>
      <c r="BC55" t="s" s="0">
        <v>82</v>
      </c>
      <c r="BD55" t="s" s="0">
        <v>82</v>
      </c>
      <c r="BE55" t="s" s="0">
        <v>82</v>
      </c>
      <c r="BF55" t="s" s="0">
        <v>82</v>
      </c>
      <c r="BG55" t="s" s="0">
        <v>82</v>
      </c>
      <c r="BH55" t="s" s="0">
        <v>82</v>
      </c>
      <c r="BI55" t="s" s="0">
        <v>1498</v>
      </c>
      <c r="BJ55" t="s" s="0">
        <v>1499</v>
      </c>
      <c r="BK55" t="s" s="107">
        <f>HYPERLINK("http://dx.doi.org/10.3390/app16073499","http://dx.doi.org/10.3390/app16073499")</f>
        <v>1500</v>
      </c>
      <c r="BL55" t="s" s="0">
        <v>82</v>
      </c>
      <c r="BM55" t="s" s="0">
        <v>276</v>
      </c>
      <c r="BN55" t="s" s="0">
        <v>332</v>
      </c>
      <c r="BO55" t="s" s="0">
        <v>1501</v>
      </c>
      <c r="BP55" t="s" s="0">
        <v>1502</v>
      </c>
      <c r="BQ55" t="s" s="0">
        <v>1503</v>
      </c>
      <c r="BR55" t="s" s="0">
        <v>82</v>
      </c>
      <c r="BS55" t="s" s="0">
        <v>1504</v>
      </c>
      <c r="BT55" t="s" s="108">
        <f>HYPERLINK("https://www.webofscience.com/wos/woscc/full-record/WOS:001739195600001","View Record in Web of Science")</f>
        <v>118</v>
      </c>
      <c r="BU55" t="s" s="0">
        <v>187</v>
      </c>
      <c r="BV55" t="s" s="0">
        <v>82</v>
      </c>
      <c r="BW55" t="s" s="0">
        <v>82</v>
      </c>
      <c r="BX55" t="s" s="0">
        <v>119</v>
      </c>
    </row>
    <row r="56">
      <c r="A56" t="s" s="0">
        <v>77</v>
      </c>
      <c r="B56" t="s" s="0">
        <v>77</v>
      </c>
      <c r="C56" t="s" s="0">
        <v>77</v>
      </c>
      <c r="D56" t="s" s="0">
        <v>77</v>
      </c>
      <c r="E56" t="s" s="0">
        <v>1505</v>
      </c>
      <c r="F56" t="s" s="0">
        <v>1506</v>
      </c>
      <c r="G56" t="s" s="0">
        <v>1507</v>
      </c>
      <c r="H56" t="s" s="0">
        <v>82</v>
      </c>
      <c r="I56" t="s" s="0">
        <v>595</v>
      </c>
      <c r="J56" t="s" s="0">
        <v>1508</v>
      </c>
      <c r="K56" t="s" s="0">
        <v>1509</v>
      </c>
      <c r="L56" t="s" s="0">
        <v>1510</v>
      </c>
      <c r="M56" t="s" s="0">
        <v>1511</v>
      </c>
      <c r="N56" t="s" s="0">
        <v>1512</v>
      </c>
      <c r="O56" t="s" s="0">
        <v>1513</v>
      </c>
      <c r="P56" t="s" s="0">
        <v>1514</v>
      </c>
      <c r="Q56" t="s" s="0">
        <v>88</v>
      </c>
      <c r="R56" t="s" s="0">
        <v>82</v>
      </c>
      <c r="S56" t="s" s="0">
        <v>82</v>
      </c>
      <c r="T56" t="s" s="0">
        <v>82</v>
      </c>
      <c r="U56" t="s" s="0">
        <v>82</v>
      </c>
      <c r="V56" t="s" s="0">
        <v>1515</v>
      </c>
      <c r="W56" t="s" s="0">
        <v>1516</v>
      </c>
      <c r="X56" t="s" s="0">
        <v>82</v>
      </c>
      <c r="Y56" t="s" s="0">
        <v>82</v>
      </c>
      <c r="Z56" t="s" s="0">
        <v>91</v>
      </c>
      <c r="AA56" t="s" s="0">
        <v>92</v>
      </c>
      <c r="AB56" t="s" s="0">
        <v>82</v>
      </c>
      <c r="AC56" t="s" s="0">
        <v>82</v>
      </c>
      <c r="AD56" t="s" s="0">
        <v>82</v>
      </c>
      <c r="AE56" t="s" s="0">
        <v>82</v>
      </c>
      <c r="AF56" t="s" s="0">
        <v>82</v>
      </c>
      <c r="AG56" t="s" s="0">
        <v>1517</v>
      </c>
      <c r="AH56" t="s" s="0">
        <v>1518</v>
      </c>
      <c r="AI56" t="s" s="0">
        <v>82</v>
      </c>
      <c r="AJ56" t="s" s="0">
        <v>82</v>
      </c>
      <c r="AK56" t="s" s="0">
        <v>82</v>
      </c>
      <c r="AL56" t="s" s="0">
        <v>97</v>
      </c>
      <c r="AM56" t="s" s="0">
        <v>77</v>
      </c>
      <c r="AN56" t="s" s="0">
        <v>77</v>
      </c>
      <c r="AO56" t="s" s="0">
        <v>77</v>
      </c>
      <c r="AP56" t="s" s="0">
        <v>77</v>
      </c>
      <c r="AQ56" t="s" s="0">
        <v>99</v>
      </c>
      <c r="AR56" t="s" s="0">
        <v>100</v>
      </c>
      <c r="AS56" t="s" s="0">
        <v>101</v>
      </c>
      <c r="AT56" t="s" s="0">
        <v>1519</v>
      </c>
      <c r="AU56" t="s" s="0">
        <v>82</v>
      </c>
      <c r="AV56" t="s" s="0">
        <v>82</v>
      </c>
      <c r="AW56" t="s" s="0">
        <v>1520</v>
      </c>
      <c r="AX56" t="s" s="0">
        <v>1521</v>
      </c>
      <c r="AY56" t="s" s="0">
        <v>140</v>
      </c>
      <c r="AZ56" t="s" s="0">
        <v>141</v>
      </c>
      <c r="BA56" t="s" s="0">
        <v>308</v>
      </c>
      <c r="BB56" t="s" s="0">
        <v>244</v>
      </c>
      <c r="BC56" t="s" s="0">
        <v>82</v>
      </c>
      <c r="BD56" t="s" s="0">
        <v>82</v>
      </c>
      <c r="BE56" t="s" s="0">
        <v>82</v>
      </c>
      <c r="BF56" t="s" s="0">
        <v>82</v>
      </c>
      <c r="BG56" t="s" s="0">
        <v>82</v>
      </c>
      <c r="BH56" t="s" s="0">
        <v>82</v>
      </c>
      <c r="BI56" t="s" s="0">
        <v>1522</v>
      </c>
      <c r="BJ56" t="s" s="0">
        <v>1523</v>
      </c>
      <c r="BK56" t="s" s="109">
        <f>HYPERLINK("http://dx.doi.org/10.1016/j.xops.2026.101265","http://dx.doi.org/10.1016/j.xops.2026.101265")</f>
        <v>1524</v>
      </c>
      <c r="BL56" t="s" s="0">
        <v>82</v>
      </c>
      <c r="BM56" t="s" s="0">
        <v>534</v>
      </c>
      <c r="BN56" t="s" s="0">
        <v>272</v>
      </c>
      <c r="BO56" t="s" s="0">
        <v>1525</v>
      </c>
      <c r="BP56" t="s" s="0">
        <v>1525</v>
      </c>
      <c r="BQ56" t="s" s="0">
        <v>1526</v>
      </c>
      <c r="BR56" t="s" s="0">
        <v>1527</v>
      </c>
      <c r="BS56" t="s" s="0">
        <v>1528</v>
      </c>
      <c r="BT56" t="s" s="110">
        <f>HYPERLINK("https://www.webofscience.com/wos/woscc/full-record/WOS:001821186100001","View Record in Web of Science")</f>
        <v>118</v>
      </c>
      <c r="BU56" t="s" s="0">
        <v>187</v>
      </c>
      <c r="BV56" t="s" s="0">
        <v>82</v>
      </c>
      <c r="BW56" t="s" s="0">
        <v>82</v>
      </c>
      <c r="BX56" t="s" s="0">
        <v>119</v>
      </c>
    </row>
    <row r="57">
      <c r="A57" t="s" s="0">
        <v>77</v>
      </c>
      <c r="B57" t="s" s="0">
        <v>77</v>
      </c>
      <c r="C57" t="s" s="0">
        <v>77</v>
      </c>
      <c r="D57" t="s" s="0">
        <v>77</v>
      </c>
      <c r="E57" t="s" s="0">
        <v>1529</v>
      </c>
      <c r="F57" t="s" s="0">
        <v>1530</v>
      </c>
      <c r="G57" t="s" s="0">
        <v>1531</v>
      </c>
      <c r="H57" t="s" s="0">
        <v>82</v>
      </c>
      <c r="I57" t="s" s="0">
        <v>83</v>
      </c>
      <c r="J57" t="s" s="0">
        <v>1532</v>
      </c>
      <c r="K57" t="s" s="0">
        <v>1533</v>
      </c>
      <c r="L57" t="s" s="0">
        <v>82</v>
      </c>
      <c r="M57" t="s" s="0">
        <v>82</v>
      </c>
      <c r="N57" t="s" s="0">
        <v>82</v>
      </c>
      <c r="O57" t="s" s="0">
        <v>1534</v>
      </c>
      <c r="P57" t="s" s="0">
        <v>1535</v>
      </c>
      <c r="Q57" t="s" s="0">
        <v>88</v>
      </c>
      <c r="R57" t="s" s="0">
        <v>82</v>
      </c>
      <c r="S57" t="s" s="0">
        <v>82</v>
      </c>
      <c r="T57" t="s" s="0">
        <v>82</v>
      </c>
      <c r="U57" t="s" s="0">
        <v>82</v>
      </c>
      <c r="V57" t="s" s="0">
        <v>1536</v>
      </c>
      <c r="W57" t="s" s="0">
        <v>1537</v>
      </c>
      <c r="X57" t="s" s="0">
        <v>82</v>
      </c>
      <c r="Y57" t="s" s="0">
        <v>82</v>
      </c>
      <c r="Z57" t="s" s="0">
        <v>91</v>
      </c>
      <c r="AA57" t="s" s="0">
        <v>92</v>
      </c>
      <c r="AB57" t="s" s="0">
        <v>82</v>
      </c>
      <c r="AC57" t="s" s="0">
        <v>82</v>
      </c>
      <c r="AD57" t="s" s="0">
        <v>82</v>
      </c>
      <c r="AE57" t="s" s="0">
        <v>82</v>
      </c>
      <c r="AF57" t="s" s="0">
        <v>82</v>
      </c>
      <c r="AG57" t="s" s="0">
        <v>1538</v>
      </c>
      <c r="AH57" t="s" s="0">
        <v>1539</v>
      </c>
      <c r="AI57" t="s" s="0">
        <v>1540</v>
      </c>
      <c r="AJ57" t="s" s="0">
        <v>82</v>
      </c>
      <c r="AK57" t="s" s="0">
        <v>82</v>
      </c>
      <c r="AL57" t="s" s="0">
        <v>208</v>
      </c>
      <c r="AM57" t="s" s="0">
        <v>77</v>
      </c>
      <c r="AN57" t="s" s="0">
        <v>77</v>
      </c>
      <c r="AO57" t="s" s="0">
        <v>77</v>
      </c>
      <c r="AP57" t="s" s="0">
        <v>77</v>
      </c>
      <c r="AQ57" t="s" s="0">
        <v>604</v>
      </c>
      <c r="AR57" t="s" s="0">
        <v>605</v>
      </c>
      <c r="AS57" t="s" s="0">
        <v>606</v>
      </c>
      <c r="AT57" t="s" s="0">
        <v>1541</v>
      </c>
      <c r="AU57" t="s" s="0">
        <v>82</v>
      </c>
      <c r="AV57" t="s" s="0">
        <v>82</v>
      </c>
      <c r="AW57" t="s" s="0">
        <v>1537</v>
      </c>
      <c r="AX57" t="s" s="0">
        <v>1542</v>
      </c>
      <c r="AY57" t="s" s="0">
        <v>1543</v>
      </c>
      <c r="AZ57" t="s" s="0">
        <v>141</v>
      </c>
      <c r="BA57" t="s" s="0">
        <v>332</v>
      </c>
      <c r="BB57" t="s" s="0">
        <v>229</v>
      </c>
      <c r="BC57" t="s" s="0">
        <v>82</v>
      </c>
      <c r="BD57" t="s" s="0">
        <v>82</v>
      </c>
      <c r="BE57" t="s" s="0">
        <v>82</v>
      </c>
      <c r="BF57" t="s" s="0">
        <v>82</v>
      </c>
      <c r="BG57" t="s" s="0">
        <v>82</v>
      </c>
      <c r="BH57" t="s" s="0">
        <v>82</v>
      </c>
      <c r="BI57" t="s" s="0">
        <v>1544</v>
      </c>
      <c r="BJ57" t="s" s="0">
        <v>1545</v>
      </c>
      <c r="BK57" t="s" s="111">
        <f>HYPERLINK("http://dx.doi.org/10.1186/s12903-026-08269-8","http://dx.doi.org/10.1186/s12903-026-08269-8")</f>
        <v>1546</v>
      </c>
      <c r="BL57" t="s" s="0">
        <v>82</v>
      </c>
      <c r="BM57" t="s" s="0">
        <v>276</v>
      </c>
      <c r="BN57" t="s" s="0">
        <v>277</v>
      </c>
      <c r="BO57" t="s" s="0">
        <v>588</v>
      </c>
      <c r="BP57" t="s" s="0">
        <v>588</v>
      </c>
      <c r="BQ57" t="s" s="0">
        <v>1547</v>
      </c>
      <c r="BR57" t="s" s="0">
        <v>1548</v>
      </c>
      <c r="BS57" t="s" s="0">
        <v>1549</v>
      </c>
      <c r="BT57" t="s" s="112">
        <f>HYPERLINK("https://www.webofscience.com/wos/woscc/full-record/WOS:001794613100001","View Record in Web of Science")</f>
        <v>118</v>
      </c>
      <c r="BU57" t="s" s="0">
        <v>187</v>
      </c>
      <c r="BV57" t="s" s="0">
        <v>82</v>
      </c>
      <c r="BW57" t="s" s="0">
        <v>82</v>
      </c>
      <c r="BX57" t="s" s="0">
        <v>119</v>
      </c>
    </row>
    <row r="58">
      <c r="A58" t="s" s="0">
        <v>77</v>
      </c>
      <c r="B58" t="s" s="0">
        <v>77</v>
      </c>
      <c r="C58" t="s" s="0">
        <v>78</v>
      </c>
      <c r="D58" t="s" s="0">
        <v>77</v>
      </c>
      <c r="E58" t="s" s="0">
        <v>1550</v>
      </c>
      <c r="F58" t="s" s="0">
        <v>1551</v>
      </c>
      <c r="G58" t="s" s="0">
        <v>1552</v>
      </c>
      <c r="H58" t="s" s="0">
        <v>82</v>
      </c>
      <c r="I58" t="s" s="0">
        <v>83</v>
      </c>
      <c r="J58" t="s" s="0">
        <v>1553</v>
      </c>
      <c r="K58" t="s" s="0">
        <v>1554</v>
      </c>
      <c r="L58" t="s" s="0">
        <v>1555</v>
      </c>
      <c r="M58" t="s" s="0">
        <v>1556</v>
      </c>
      <c r="N58" t="s" s="0">
        <v>1557</v>
      </c>
      <c r="O58" t="s" s="0">
        <v>1558</v>
      </c>
      <c r="P58" t="s" s="0">
        <v>1559</v>
      </c>
      <c r="Q58" t="s" s="0">
        <v>88</v>
      </c>
      <c r="R58" t="s" s="0">
        <v>82</v>
      </c>
      <c r="S58" t="s" s="0">
        <v>82</v>
      </c>
      <c r="T58" t="s" s="0">
        <v>82</v>
      </c>
      <c r="U58" t="s" s="0">
        <v>82</v>
      </c>
      <c r="V58" t="s" s="0">
        <v>1560</v>
      </c>
      <c r="W58" t="s" s="0">
        <v>261</v>
      </c>
      <c r="X58" t="s" s="0">
        <v>82</v>
      </c>
      <c r="Y58" t="s" s="0">
        <v>82</v>
      </c>
      <c r="Z58" t="s" s="0">
        <v>91</v>
      </c>
      <c r="AA58" t="s" s="0">
        <v>92</v>
      </c>
      <c r="AB58" t="s" s="0">
        <v>82</v>
      </c>
      <c r="AC58" t="s" s="0">
        <v>82</v>
      </c>
      <c r="AD58" t="s" s="0">
        <v>82</v>
      </c>
      <c r="AE58" t="s" s="0">
        <v>82</v>
      </c>
      <c r="AF58" t="s" s="0">
        <v>82</v>
      </c>
      <c r="AG58" t="s" s="0">
        <v>82</v>
      </c>
      <c r="AH58" t="s" s="0">
        <v>1518</v>
      </c>
      <c r="AI58" t="s" s="0">
        <v>1561</v>
      </c>
      <c r="AJ58" t="s" s="0">
        <v>1562</v>
      </c>
      <c r="AK58" t="s" s="0">
        <v>82</v>
      </c>
      <c r="AL58" t="s" s="0">
        <v>908</v>
      </c>
      <c r="AM58" t="s" s="0">
        <v>425</v>
      </c>
      <c r="AN58" t="s" s="0">
        <v>132</v>
      </c>
      <c r="AO58" t="s" s="0">
        <v>272</v>
      </c>
      <c r="AP58" t="s" s="0">
        <v>132</v>
      </c>
      <c r="AQ58" t="s" s="0">
        <v>265</v>
      </c>
      <c r="AR58" t="s" s="0">
        <v>266</v>
      </c>
      <c r="AS58" t="s" s="0">
        <v>267</v>
      </c>
      <c r="AT58" t="s" s="0">
        <v>268</v>
      </c>
      <c r="AU58" t="s" s="0">
        <v>82</v>
      </c>
      <c r="AV58" t="s" s="0">
        <v>82</v>
      </c>
      <c r="AW58" t="s" s="0">
        <v>269</v>
      </c>
      <c r="AX58" t="s" s="0">
        <v>270</v>
      </c>
      <c r="AY58" t="s" s="0">
        <v>1563</v>
      </c>
      <c r="AZ58" t="s" s="0">
        <v>107</v>
      </c>
      <c r="BA58" t="s" s="0">
        <v>244</v>
      </c>
      <c r="BB58" t="s" s="0">
        <v>229</v>
      </c>
      <c r="BC58" t="s" s="0">
        <v>82</v>
      </c>
      <c r="BD58" t="s" s="0">
        <v>82</v>
      </c>
      <c r="BE58" t="s" s="0">
        <v>82</v>
      </c>
      <c r="BF58" t="s" s="0">
        <v>82</v>
      </c>
      <c r="BG58" t="s" s="0">
        <v>82</v>
      </c>
      <c r="BH58" t="s" s="0">
        <v>82</v>
      </c>
      <c r="BI58" t="s" s="0">
        <v>1564</v>
      </c>
      <c r="BJ58" t="s" s="0">
        <v>1565</v>
      </c>
      <c r="BK58" t="s" s="113">
        <f>HYPERLINK("http://dx.doi.org/10.1038/s41746-025-02071-6","http://dx.doi.org/10.1038/s41746-025-02071-6")</f>
        <v>1566</v>
      </c>
      <c r="BL58" t="s" s="0">
        <v>82</v>
      </c>
      <c r="BM58" t="s" s="0">
        <v>82</v>
      </c>
      <c r="BN58" t="s" s="0">
        <v>425</v>
      </c>
      <c r="BO58" t="s" s="0">
        <v>213</v>
      </c>
      <c r="BP58" t="s" s="0">
        <v>213</v>
      </c>
      <c r="BQ58" t="s" s="0">
        <v>1567</v>
      </c>
      <c r="BR58" t="s" s="0">
        <v>1568</v>
      </c>
      <c r="BS58" t="s" s="0">
        <v>1569</v>
      </c>
      <c r="BT58" t="s" s="114">
        <f>HYPERLINK("https://www.webofscience.com/wos/woscc/full-record/WOS:001618552600004","View Record in Web of Science")</f>
        <v>118</v>
      </c>
      <c r="BU58" t="s" s="0">
        <v>187</v>
      </c>
      <c r="BV58" t="s" s="0">
        <v>82</v>
      </c>
      <c r="BW58" t="s" s="0">
        <v>82</v>
      </c>
      <c r="BX58" t="s" s="0">
        <v>119</v>
      </c>
    </row>
    <row r="59">
      <c r="A59" t="s" s="0">
        <v>77</v>
      </c>
      <c r="B59" t="s" s="0">
        <v>77</v>
      </c>
      <c r="C59" t="s" s="0">
        <v>77</v>
      </c>
      <c r="D59" t="s" s="0">
        <v>77</v>
      </c>
      <c r="E59" t="s" s="0">
        <v>1570</v>
      </c>
      <c r="F59" t="s" s="0">
        <v>1571</v>
      </c>
      <c r="G59" t="s" s="0">
        <v>1572</v>
      </c>
      <c r="H59" t="s" s="0">
        <v>82</v>
      </c>
      <c r="I59" t="s" s="0">
        <v>1573</v>
      </c>
      <c r="J59" t="s" s="0">
        <v>1574</v>
      </c>
      <c r="K59" t="s" s="0">
        <v>1575</v>
      </c>
      <c r="L59" t="s" s="0">
        <v>82</v>
      </c>
      <c r="M59" t="s" s="0">
        <v>82</v>
      </c>
      <c r="N59" t="s" s="0">
        <v>82</v>
      </c>
      <c r="O59" t="s" s="0">
        <v>1576</v>
      </c>
      <c r="P59" t="s" s="0">
        <v>1577</v>
      </c>
      <c r="Q59" t="s" s="0">
        <v>88</v>
      </c>
      <c r="R59" t="s" s="0">
        <v>82</v>
      </c>
      <c r="S59" t="s" s="0">
        <v>82</v>
      </c>
      <c r="T59" t="s" s="0">
        <v>82</v>
      </c>
      <c r="U59" t="s" s="0">
        <v>82</v>
      </c>
      <c r="V59" t="s" s="0">
        <v>1578</v>
      </c>
      <c r="W59" t="s" s="0">
        <v>1579</v>
      </c>
      <c r="X59" t="s" s="0">
        <v>82</v>
      </c>
      <c r="Y59" t="s" s="0">
        <v>82</v>
      </c>
      <c r="Z59" t="s" s="0">
        <v>91</v>
      </c>
      <c r="AA59" t="s" s="0">
        <v>92</v>
      </c>
      <c r="AB59" t="s" s="0">
        <v>82</v>
      </c>
      <c r="AC59" t="s" s="0">
        <v>82</v>
      </c>
      <c r="AD59" t="s" s="0">
        <v>82</v>
      </c>
      <c r="AE59" t="s" s="0">
        <v>82</v>
      </c>
      <c r="AF59" t="s" s="0">
        <v>82</v>
      </c>
      <c r="AG59" t="s" s="0">
        <v>1580</v>
      </c>
      <c r="AH59" t="s" s="0">
        <v>82</v>
      </c>
      <c r="AI59" t="s" s="0">
        <v>82</v>
      </c>
      <c r="AJ59" t="s" s="0">
        <v>1581</v>
      </c>
      <c r="AK59" t="s" s="0">
        <v>82</v>
      </c>
      <c r="AL59" t="s" s="0">
        <v>181</v>
      </c>
      <c r="AM59" t="s" s="0">
        <v>78</v>
      </c>
      <c r="AN59" t="s" s="0">
        <v>78</v>
      </c>
      <c r="AO59" t="s" s="0">
        <v>98</v>
      </c>
      <c r="AP59" t="s" s="0">
        <v>277</v>
      </c>
      <c r="AQ59" t="s" s="0">
        <v>1582</v>
      </c>
      <c r="AR59" t="s" s="0">
        <v>632</v>
      </c>
      <c r="AS59" t="s" s="0">
        <v>1583</v>
      </c>
      <c r="AT59" t="s" s="0">
        <v>1584</v>
      </c>
      <c r="AU59" t="s" s="0">
        <v>1585</v>
      </c>
      <c r="AV59" t="s" s="0">
        <v>82</v>
      </c>
      <c r="AW59" t="s" s="0">
        <v>1586</v>
      </c>
      <c r="AX59" t="s" s="0">
        <v>1587</v>
      </c>
      <c r="AY59" t="s" s="0">
        <v>106</v>
      </c>
      <c r="AZ59" t="s" s="0">
        <v>107</v>
      </c>
      <c r="BA59" t="s" s="0">
        <v>770</v>
      </c>
      <c r="BB59" t="s" s="0">
        <v>272</v>
      </c>
      <c r="BC59" t="s" s="0">
        <v>82</v>
      </c>
      <c r="BD59" t="s" s="0">
        <v>82</v>
      </c>
      <c r="BE59" t="s" s="0">
        <v>82</v>
      </c>
      <c r="BF59" t="s" s="0">
        <v>82</v>
      </c>
      <c r="BG59" t="s" s="0">
        <v>330</v>
      </c>
      <c r="BH59" t="s" s="0">
        <v>1588</v>
      </c>
      <c r="BI59" t="s" s="0">
        <v>82</v>
      </c>
      <c r="BJ59" t="s" s="0">
        <v>1589</v>
      </c>
      <c r="BK59" t="s" s="115">
        <f>HYPERLINK("http://dx.doi.org/10.1097/ASW.0000000000000353","http://dx.doi.org/10.1097/ASW.0000000000000353")</f>
        <v>1590</v>
      </c>
      <c r="BL59" t="s" s="0">
        <v>82</v>
      </c>
      <c r="BM59" t="s" s="0">
        <v>82</v>
      </c>
      <c r="BN59" t="s" s="0">
        <v>239</v>
      </c>
      <c r="BO59" t="s" s="0">
        <v>1591</v>
      </c>
      <c r="BP59" t="s" s="0">
        <v>1591</v>
      </c>
      <c r="BQ59" t="s" s="0">
        <v>1592</v>
      </c>
      <c r="BR59" t="s" s="0">
        <v>1593</v>
      </c>
      <c r="BS59" t="s" s="0">
        <v>1594</v>
      </c>
      <c r="BT59" t="s" s="116">
        <f>HYPERLINK("https://www.webofscience.com/wos/woscc/full-record/WOS:001578283400011","View Record in Web of Science")</f>
        <v>118</v>
      </c>
      <c r="BU59" t="s" s="0">
        <v>82</v>
      </c>
      <c r="BV59" t="s" s="0">
        <v>82</v>
      </c>
      <c r="BW59" t="s" s="0">
        <v>82</v>
      </c>
      <c r="BX59" t="s" s="0">
        <v>119</v>
      </c>
    </row>
    <row r="60">
      <c r="A60" t="s" s="0">
        <v>77</v>
      </c>
      <c r="B60" t="s" s="0">
        <v>77</v>
      </c>
      <c r="C60" t="s" s="0">
        <v>77</v>
      </c>
      <c r="D60" t="s" s="0">
        <v>77</v>
      </c>
      <c r="E60" t="s" s="0">
        <v>1595</v>
      </c>
      <c r="F60" t="s" s="0">
        <v>1596</v>
      </c>
      <c r="G60" t="s" s="0">
        <v>1597</v>
      </c>
      <c r="H60" t="s" s="0">
        <v>82</v>
      </c>
      <c r="I60" t="s" s="0">
        <v>83</v>
      </c>
      <c r="J60" t="s" s="0">
        <v>1598</v>
      </c>
      <c r="K60" t="s" s="0">
        <v>1599</v>
      </c>
      <c r="L60" t="s" s="0">
        <v>82</v>
      </c>
      <c r="M60" t="s" s="0">
        <v>82</v>
      </c>
      <c r="N60" t="s" s="0">
        <v>82</v>
      </c>
      <c r="O60" t="s" s="0">
        <v>1600</v>
      </c>
      <c r="P60" t="s" s="0">
        <v>1601</v>
      </c>
      <c r="Q60" t="s" s="0">
        <v>88</v>
      </c>
      <c r="R60" t="s" s="0">
        <v>82</v>
      </c>
      <c r="S60" t="s" s="0">
        <v>82</v>
      </c>
      <c r="T60" t="s" s="0">
        <v>82</v>
      </c>
      <c r="U60" t="s" s="0">
        <v>82</v>
      </c>
      <c r="V60" t="s" s="0">
        <v>1602</v>
      </c>
      <c r="W60" t="s" s="0">
        <v>857</v>
      </c>
      <c r="X60" t="s" s="0">
        <v>82</v>
      </c>
      <c r="Y60" t="s" s="0">
        <v>82</v>
      </c>
      <c r="Z60" t="s" s="0">
        <v>91</v>
      </c>
      <c r="AA60" t="s" s="0">
        <v>92</v>
      </c>
      <c r="AB60" t="s" s="0">
        <v>82</v>
      </c>
      <c r="AC60" t="s" s="0">
        <v>82</v>
      </c>
      <c r="AD60" t="s" s="0">
        <v>82</v>
      </c>
      <c r="AE60" t="s" s="0">
        <v>82</v>
      </c>
      <c r="AF60" t="s" s="0">
        <v>82</v>
      </c>
      <c r="AG60" t="s" s="0">
        <v>1603</v>
      </c>
      <c r="AH60" t="s" s="0">
        <v>82</v>
      </c>
      <c r="AI60" t="s" s="0">
        <v>1604</v>
      </c>
      <c r="AJ60" t="s" s="0">
        <v>82</v>
      </c>
      <c r="AK60" t="s" s="0">
        <v>82</v>
      </c>
      <c r="AL60" t="s" s="0">
        <v>1068</v>
      </c>
      <c r="AM60" t="s" s="0">
        <v>239</v>
      </c>
      <c r="AN60" t="s" s="0">
        <v>239</v>
      </c>
      <c r="AO60" t="s" s="0">
        <v>78</v>
      </c>
      <c r="AP60" t="s" s="0">
        <v>78</v>
      </c>
      <c r="AQ60" t="s" s="0">
        <v>265</v>
      </c>
      <c r="AR60" t="s" s="0">
        <v>266</v>
      </c>
      <c r="AS60" t="s" s="0">
        <v>267</v>
      </c>
      <c r="AT60" t="s" s="0">
        <v>863</v>
      </c>
      <c r="AU60" t="s" s="0">
        <v>82</v>
      </c>
      <c r="AV60" t="s" s="0">
        <v>82</v>
      </c>
      <c r="AW60" t="s" s="0">
        <v>864</v>
      </c>
      <c r="AX60" t="s" s="0">
        <v>865</v>
      </c>
      <c r="AY60" t="s" s="0">
        <v>1605</v>
      </c>
      <c r="AZ60" t="s" s="0">
        <v>141</v>
      </c>
      <c r="BA60" t="s" s="0">
        <v>181</v>
      </c>
      <c r="BB60" t="s" s="0">
        <v>229</v>
      </c>
      <c r="BC60" t="s" s="0">
        <v>82</v>
      </c>
      <c r="BD60" t="s" s="0">
        <v>82</v>
      </c>
      <c r="BE60" t="s" s="0">
        <v>82</v>
      </c>
      <c r="BF60" t="s" s="0">
        <v>82</v>
      </c>
      <c r="BG60" t="s" s="0">
        <v>82</v>
      </c>
      <c r="BH60" t="s" s="0">
        <v>82</v>
      </c>
      <c r="BI60" t="s" s="0">
        <v>1606</v>
      </c>
      <c r="BJ60" t="s" s="0">
        <v>1607</v>
      </c>
      <c r="BK60" t="s" s="117">
        <f>HYPERLINK("http://dx.doi.org/10.1038/s41598-025-34773-y","http://dx.doi.org/10.1038/s41598-025-34773-y")</f>
        <v>1608</v>
      </c>
      <c r="BL60" t="s" s="0">
        <v>82</v>
      </c>
      <c r="BM60" t="s" s="0">
        <v>82</v>
      </c>
      <c r="BN60" t="s" s="0">
        <v>244</v>
      </c>
      <c r="BO60" t="s" s="0">
        <v>380</v>
      </c>
      <c r="BP60" t="s" s="0">
        <v>381</v>
      </c>
      <c r="BQ60" t="s" s="0">
        <v>1609</v>
      </c>
      <c r="BR60" t="s" s="0">
        <v>1610</v>
      </c>
      <c r="BS60" t="s" s="0">
        <v>1611</v>
      </c>
      <c r="BT60" t="s" s="118">
        <f>HYPERLINK("https://www.webofscience.com/wos/woscc/full-record/WOS:001680933200003","View Record in Web of Science")</f>
        <v>118</v>
      </c>
      <c r="BU60" t="s" s="0">
        <v>187</v>
      </c>
      <c r="BV60" t="s" s="0">
        <v>82</v>
      </c>
      <c r="BW60" t="s" s="0">
        <v>82</v>
      </c>
      <c r="BX60" t="s" s="0">
        <v>119</v>
      </c>
    </row>
    <row r="61">
      <c r="A61" t="s" s="0">
        <v>308</v>
      </c>
      <c r="B61" t="s" s="0">
        <v>77</v>
      </c>
      <c r="C61" t="s" s="0">
        <v>264</v>
      </c>
      <c r="D61" t="s" s="0">
        <v>77</v>
      </c>
      <c r="E61" t="s" s="0">
        <v>1612</v>
      </c>
      <c r="F61" t="s" s="0">
        <v>1613</v>
      </c>
      <c r="G61" t="s" s="0">
        <v>1614</v>
      </c>
      <c r="H61" t="s" s="0">
        <v>82</v>
      </c>
      <c r="I61" t="s" s="0">
        <v>595</v>
      </c>
      <c r="J61" t="s" s="0">
        <v>1615</v>
      </c>
      <c r="K61" t="s" s="0">
        <v>1616</v>
      </c>
      <c r="L61" t="s" s="0">
        <v>1617</v>
      </c>
      <c r="M61" t="s" s="0">
        <v>1618</v>
      </c>
      <c r="N61" t="s" s="0">
        <v>1619</v>
      </c>
      <c r="O61" t="s" s="0">
        <v>1620</v>
      </c>
      <c r="P61" t="s" s="0">
        <v>194</v>
      </c>
      <c r="Q61" t="s" s="0">
        <v>88</v>
      </c>
      <c r="R61" t="s" s="0">
        <v>82</v>
      </c>
      <c r="S61" t="s" s="0">
        <v>82</v>
      </c>
      <c r="T61" t="s" s="0">
        <v>82</v>
      </c>
      <c r="U61" t="s" s="0">
        <v>82</v>
      </c>
      <c r="V61" t="s" s="0">
        <v>1621</v>
      </c>
      <c r="W61" t="s" s="0">
        <v>1622</v>
      </c>
      <c r="X61" t="s" s="0">
        <v>82</v>
      </c>
      <c r="Y61" t="s" s="0">
        <v>82</v>
      </c>
      <c r="Z61" t="s" s="0">
        <v>91</v>
      </c>
      <c r="AA61" t="s" s="0">
        <v>92</v>
      </c>
      <c r="AB61" t="s" s="0">
        <v>82</v>
      </c>
      <c r="AC61" t="s" s="0">
        <v>82</v>
      </c>
      <c r="AD61" t="s" s="0">
        <v>82</v>
      </c>
      <c r="AE61" t="s" s="0">
        <v>82</v>
      </c>
      <c r="AF61" t="s" s="0">
        <v>82</v>
      </c>
      <c r="AG61" t="s" s="0">
        <v>1623</v>
      </c>
      <c r="AH61" t="s" s="0">
        <v>1624</v>
      </c>
      <c r="AI61" t="s" s="0">
        <v>1625</v>
      </c>
      <c r="AJ61" t="s" s="0">
        <v>82</v>
      </c>
      <c r="AK61" t="s" s="0">
        <v>82</v>
      </c>
      <c r="AL61" t="s" s="0">
        <v>811</v>
      </c>
      <c r="AM61" t="s" s="0">
        <v>97</v>
      </c>
      <c r="AN61" t="s" s="0">
        <v>887</v>
      </c>
      <c r="AO61" t="s" s="0">
        <v>78</v>
      </c>
      <c r="AP61" t="s" s="0">
        <v>425</v>
      </c>
      <c r="AQ61" t="s" s="0">
        <v>99</v>
      </c>
      <c r="AR61" t="s" s="0">
        <v>100</v>
      </c>
      <c r="AS61" t="s" s="0">
        <v>101</v>
      </c>
      <c r="AT61" t="s" s="0">
        <v>1626</v>
      </c>
      <c r="AU61" t="s" s="0">
        <v>82</v>
      </c>
      <c r="AV61" t="s" s="0">
        <v>82</v>
      </c>
      <c r="AW61" t="s" s="0">
        <v>1627</v>
      </c>
      <c r="AX61" t="s" s="0">
        <v>1628</v>
      </c>
      <c r="AY61" t="s" s="0">
        <v>1629</v>
      </c>
      <c r="AZ61" t="s" s="0">
        <v>107</v>
      </c>
      <c r="BA61" t="s" s="0">
        <v>239</v>
      </c>
      <c r="BB61" t="s" s="0">
        <v>229</v>
      </c>
      <c r="BC61" t="s" s="0">
        <v>82</v>
      </c>
      <c r="BD61" t="s" s="0">
        <v>82</v>
      </c>
      <c r="BE61" t="s" s="0">
        <v>82</v>
      </c>
      <c r="BF61" t="s" s="0">
        <v>82</v>
      </c>
      <c r="BG61" t="s" s="0">
        <v>229</v>
      </c>
      <c r="BH61" t="s" s="0">
        <v>169</v>
      </c>
      <c r="BI61" t="s" s="0">
        <v>82</v>
      </c>
      <c r="BJ61" t="s" s="0">
        <v>1630</v>
      </c>
      <c r="BK61" t="s" s="119">
        <f>HYPERLINK("http://dx.doi.org/10.1016/j.imed.2025.01.001","http://dx.doi.org/10.1016/j.imed.2025.01.001")</f>
        <v>1631</v>
      </c>
      <c r="BL61" t="s" s="0">
        <v>82</v>
      </c>
      <c r="BM61" t="s" s="0">
        <v>1629</v>
      </c>
      <c r="BN61" t="s" s="0">
        <v>169</v>
      </c>
      <c r="BO61" t="s" s="0">
        <v>1145</v>
      </c>
      <c r="BP61" t="s" s="0">
        <v>1146</v>
      </c>
      <c r="BQ61" t="s" s="0">
        <v>1632</v>
      </c>
      <c r="BR61" t="s" s="0">
        <v>82</v>
      </c>
      <c r="BS61" t="s" s="0">
        <v>1633</v>
      </c>
      <c r="BT61" t="s" s="120">
        <f>HYPERLINK("https://www.webofscience.com/wos/woscc/full-record/WOS:001431039900001","View Record in Web of Science")</f>
        <v>118</v>
      </c>
      <c r="BU61" t="s" s="0">
        <v>1634</v>
      </c>
      <c r="BV61" t="s" s="0">
        <v>82</v>
      </c>
      <c r="BW61" t="s" s="0">
        <v>82</v>
      </c>
      <c r="BX61" t="s" s="0">
        <v>119</v>
      </c>
    </row>
    <row r="62">
      <c r="A62" t="s" s="0">
        <v>77</v>
      </c>
      <c r="B62" t="s" s="0">
        <v>77</v>
      </c>
      <c r="C62" t="s" s="0">
        <v>77</v>
      </c>
      <c r="D62" t="s" s="0">
        <v>77</v>
      </c>
      <c r="E62" t="s" s="0">
        <v>1635</v>
      </c>
      <c r="F62" t="s" s="0">
        <v>1636</v>
      </c>
      <c r="G62" t="s" s="0">
        <v>1637</v>
      </c>
      <c r="H62" t="s" s="0">
        <v>82</v>
      </c>
      <c r="I62" t="s" s="0">
        <v>83</v>
      </c>
      <c r="J62" t="s" s="0">
        <v>1638</v>
      </c>
      <c r="K62" t="s" s="0">
        <v>1639</v>
      </c>
      <c r="L62" t="s" s="0">
        <v>1640</v>
      </c>
      <c r="M62" t="s" s="0">
        <v>1641</v>
      </c>
      <c r="N62" t="s" s="0">
        <v>1642</v>
      </c>
      <c r="O62" t="s" s="0">
        <v>1643</v>
      </c>
      <c r="P62" t="s" s="0">
        <v>1644</v>
      </c>
      <c r="Q62" t="s" s="0">
        <v>88</v>
      </c>
      <c r="R62" t="s" s="0">
        <v>82</v>
      </c>
      <c r="S62" t="s" s="0">
        <v>82</v>
      </c>
      <c r="T62" t="s" s="0">
        <v>82</v>
      </c>
      <c r="U62" t="s" s="0">
        <v>82</v>
      </c>
      <c r="V62" t="s" s="0">
        <v>1645</v>
      </c>
      <c r="W62" t="s" s="0">
        <v>1646</v>
      </c>
      <c r="X62" t="s" s="0">
        <v>82</v>
      </c>
      <c r="Y62" t="s" s="0">
        <v>82</v>
      </c>
      <c r="Z62" t="s" s="0">
        <v>91</v>
      </c>
      <c r="AA62" t="s" s="0">
        <v>92</v>
      </c>
      <c r="AB62" t="s" s="0">
        <v>82</v>
      </c>
      <c r="AC62" t="s" s="0">
        <v>82</v>
      </c>
      <c r="AD62" t="s" s="0">
        <v>82</v>
      </c>
      <c r="AE62" t="s" s="0">
        <v>82</v>
      </c>
      <c r="AF62" t="s" s="0">
        <v>82</v>
      </c>
      <c r="AG62" t="s" s="0">
        <v>1647</v>
      </c>
      <c r="AH62" t="s" s="0">
        <v>82</v>
      </c>
      <c r="AI62" t="s" s="0">
        <v>1648</v>
      </c>
      <c r="AJ62" t="s" s="0">
        <v>1649</v>
      </c>
      <c r="AK62" t="s" s="0">
        <v>82</v>
      </c>
      <c r="AL62" t="s" s="0">
        <v>199</v>
      </c>
      <c r="AM62" t="s" s="0">
        <v>229</v>
      </c>
      <c r="AN62" t="s" s="0">
        <v>229</v>
      </c>
      <c r="AO62" t="s" s="0">
        <v>98</v>
      </c>
      <c r="AP62" t="s" s="0">
        <v>342</v>
      </c>
      <c r="AQ62" t="s" s="0">
        <v>550</v>
      </c>
      <c r="AR62" t="s" s="0">
        <v>739</v>
      </c>
      <c r="AS62" t="s" s="0">
        <v>740</v>
      </c>
      <c r="AT62" t="s" s="0">
        <v>1650</v>
      </c>
      <c r="AU62" t="s" s="0">
        <v>82</v>
      </c>
      <c r="AV62" t="s" s="0">
        <v>82</v>
      </c>
      <c r="AW62" t="s" s="0">
        <v>1651</v>
      </c>
      <c r="AX62" t="s" s="0">
        <v>1652</v>
      </c>
      <c r="AY62" t="s" s="0">
        <v>1653</v>
      </c>
      <c r="AZ62" t="s" s="0">
        <v>107</v>
      </c>
      <c r="BA62" t="s" s="0">
        <v>425</v>
      </c>
      <c r="BB62" t="s" s="0">
        <v>229</v>
      </c>
      <c r="BC62" t="s" s="0">
        <v>82</v>
      </c>
      <c r="BD62" t="s" s="0">
        <v>82</v>
      </c>
      <c r="BE62" t="s" s="0">
        <v>82</v>
      </c>
      <c r="BF62" t="s" s="0">
        <v>82</v>
      </c>
      <c r="BG62" t="s" s="0">
        <v>82</v>
      </c>
      <c r="BH62" t="s" s="0">
        <v>82</v>
      </c>
      <c r="BI62" t="s" s="0">
        <v>1654</v>
      </c>
      <c r="BJ62" t="s" s="0">
        <v>1655</v>
      </c>
      <c r="BK62" t="s" s="121">
        <f>HYPERLINK("http://dx.doi.org/10.1007/s13755-025-00380-4","http://dx.doi.org/10.1007/s13755-025-00380-4")</f>
        <v>1656</v>
      </c>
      <c r="BL62" t="s" s="0">
        <v>82</v>
      </c>
      <c r="BM62" t="s" s="0">
        <v>82</v>
      </c>
      <c r="BN62" t="s" s="0">
        <v>181</v>
      </c>
      <c r="BO62" t="s" s="0">
        <v>1069</v>
      </c>
      <c r="BP62" t="s" s="0">
        <v>1069</v>
      </c>
      <c r="BQ62" t="s" s="0">
        <v>1657</v>
      </c>
      <c r="BR62" t="s" s="0">
        <v>1658</v>
      </c>
      <c r="BS62" t="s" s="0">
        <v>1659</v>
      </c>
      <c r="BT62" t="s" s="122">
        <f>HYPERLINK("https://www.webofscience.com/wos/woscc/full-record/WOS:001581976800001","View Record in Web of Science")</f>
        <v>118</v>
      </c>
      <c r="BU62" t="s" s="0">
        <v>1660</v>
      </c>
      <c r="BV62" t="s" s="0">
        <v>82</v>
      </c>
      <c r="BW62" t="s" s="0">
        <v>82</v>
      </c>
      <c r="BX62" t="s" s="0">
        <v>119</v>
      </c>
    </row>
    <row r="63">
      <c r="A63" t="s" s="0">
        <v>77</v>
      </c>
      <c r="B63" t="s" s="0">
        <v>77</v>
      </c>
      <c r="C63" t="s" s="0">
        <v>77</v>
      </c>
      <c r="D63" t="s" s="0">
        <v>77</v>
      </c>
      <c r="E63" t="s" s="0">
        <v>1661</v>
      </c>
      <c r="F63" t="s" s="0">
        <v>1662</v>
      </c>
      <c r="G63" t="s" s="0">
        <v>1663</v>
      </c>
      <c r="H63" t="s" s="0">
        <v>82</v>
      </c>
      <c r="I63" t="s" s="0">
        <v>83</v>
      </c>
      <c r="J63" t="s" s="0">
        <v>1664</v>
      </c>
      <c r="K63" t="s" s="0">
        <v>1665</v>
      </c>
      <c r="L63" t="s" s="0">
        <v>1666</v>
      </c>
      <c r="M63" t="s" s="0">
        <v>1667</v>
      </c>
      <c r="N63" t="s" s="0">
        <v>1668</v>
      </c>
      <c r="O63" t="s" s="0">
        <v>1669</v>
      </c>
      <c r="P63" t="s" s="0">
        <v>1670</v>
      </c>
      <c r="Q63" t="s" s="0">
        <v>88</v>
      </c>
      <c r="R63" t="s" s="0">
        <v>82</v>
      </c>
      <c r="S63" t="s" s="0">
        <v>82</v>
      </c>
      <c r="T63" t="s" s="0">
        <v>82</v>
      </c>
      <c r="U63" t="s" s="0">
        <v>82</v>
      </c>
      <c r="V63" t="s" s="0">
        <v>1671</v>
      </c>
      <c r="W63" t="s" s="0">
        <v>1672</v>
      </c>
      <c r="X63" t="s" s="0">
        <v>82</v>
      </c>
      <c r="Y63" t="s" s="0">
        <v>82</v>
      </c>
      <c r="Z63" t="s" s="0">
        <v>91</v>
      </c>
      <c r="AA63" t="s" s="0">
        <v>92</v>
      </c>
      <c r="AB63" t="s" s="0">
        <v>82</v>
      </c>
      <c r="AC63" t="s" s="0">
        <v>82</v>
      </c>
      <c r="AD63" t="s" s="0">
        <v>82</v>
      </c>
      <c r="AE63" t="s" s="0">
        <v>82</v>
      </c>
      <c r="AF63" t="s" s="0">
        <v>82</v>
      </c>
      <c r="AG63" t="s" s="0">
        <v>1673</v>
      </c>
      <c r="AH63" t="s" s="0">
        <v>82</v>
      </c>
      <c r="AI63" t="s" s="0">
        <v>82</v>
      </c>
      <c r="AJ63" t="s" s="0">
        <v>1674</v>
      </c>
      <c r="AK63" t="s" s="0">
        <v>82</v>
      </c>
      <c r="AL63" t="s" s="0">
        <v>887</v>
      </c>
      <c r="AM63" t="s" s="0">
        <v>77</v>
      </c>
      <c r="AN63" t="s" s="0">
        <v>77</v>
      </c>
      <c r="AO63" t="s" s="0">
        <v>78</v>
      </c>
      <c r="AP63" t="s" s="0">
        <v>78</v>
      </c>
      <c r="AQ63" t="s" s="0">
        <v>604</v>
      </c>
      <c r="AR63" t="s" s="0">
        <v>605</v>
      </c>
      <c r="AS63" t="s" s="0">
        <v>606</v>
      </c>
      <c r="AT63" t="s" s="0">
        <v>82</v>
      </c>
      <c r="AU63" t="s" s="0">
        <v>1675</v>
      </c>
      <c r="AV63" t="s" s="0">
        <v>82</v>
      </c>
      <c r="AW63" t="s" s="0">
        <v>1676</v>
      </c>
      <c r="AX63" t="s" s="0">
        <v>1677</v>
      </c>
      <c r="AY63" t="s" s="0">
        <v>1678</v>
      </c>
      <c r="AZ63" t="s" s="0">
        <v>141</v>
      </c>
      <c r="BA63" t="s" s="0">
        <v>332</v>
      </c>
      <c r="BB63" t="s" s="0">
        <v>229</v>
      </c>
      <c r="BC63" t="s" s="0">
        <v>82</v>
      </c>
      <c r="BD63" t="s" s="0">
        <v>82</v>
      </c>
      <c r="BE63" t="s" s="0">
        <v>82</v>
      </c>
      <c r="BF63" t="s" s="0">
        <v>82</v>
      </c>
      <c r="BG63" t="s" s="0">
        <v>82</v>
      </c>
      <c r="BH63" t="s" s="0">
        <v>82</v>
      </c>
      <c r="BI63" t="s" s="0">
        <v>1679</v>
      </c>
      <c r="BJ63" t="s" s="0">
        <v>1680</v>
      </c>
      <c r="BK63" t="s" s="123">
        <f>HYPERLINK("http://dx.doi.org/10.1186/s12911-026-03586-y","http://dx.doi.org/10.1186/s12911-026-03586-y")</f>
        <v>1681</v>
      </c>
      <c r="BL63" t="s" s="0">
        <v>82</v>
      </c>
      <c r="BM63" t="s" s="0">
        <v>237</v>
      </c>
      <c r="BN63" t="s" s="0">
        <v>346</v>
      </c>
      <c r="BO63" t="s" s="0">
        <v>1069</v>
      </c>
      <c r="BP63" t="s" s="0">
        <v>1069</v>
      </c>
      <c r="BQ63" t="s" s="0">
        <v>1682</v>
      </c>
      <c r="BR63" t="s" s="0">
        <v>1683</v>
      </c>
      <c r="BS63" t="s" s="0">
        <v>1684</v>
      </c>
      <c r="BT63" t="s" s="124">
        <f>HYPERLINK("https://www.webofscience.com/wos/woscc/full-record/WOS:001807315200001","View Record in Web of Science")</f>
        <v>118</v>
      </c>
      <c r="BU63" t="s" s="0">
        <v>187</v>
      </c>
      <c r="BV63" t="s" s="0">
        <v>82</v>
      </c>
      <c r="BW63" t="s" s="0">
        <v>82</v>
      </c>
      <c r="BX63" t="s" s="0">
        <v>119</v>
      </c>
    </row>
    <row r="64">
      <c r="A64" t="s" s="0">
        <v>77</v>
      </c>
      <c r="B64" t="s" s="0">
        <v>77</v>
      </c>
      <c r="C64" t="s" s="0">
        <v>77</v>
      </c>
      <c r="D64" t="s" s="0">
        <v>77</v>
      </c>
      <c r="E64" t="s" s="0">
        <v>1685</v>
      </c>
      <c r="F64" t="s" s="0">
        <v>1686</v>
      </c>
      <c r="G64" t="s" s="0">
        <v>1687</v>
      </c>
      <c r="H64" t="s" s="0">
        <v>82</v>
      </c>
      <c r="I64" t="s" s="0">
        <v>595</v>
      </c>
      <c r="J64" t="s" s="0">
        <v>1688</v>
      </c>
      <c r="K64" t="s" s="0">
        <v>1689</v>
      </c>
      <c r="L64" t="s" s="0">
        <v>1690</v>
      </c>
      <c r="M64" t="s" s="0">
        <v>1690</v>
      </c>
      <c r="N64" t="s" s="0">
        <v>1691</v>
      </c>
      <c r="O64" t="s" s="0">
        <v>1692</v>
      </c>
      <c r="P64" t="s" s="0">
        <v>1693</v>
      </c>
      <c r="Q64" t="s" s="0">
        <v>88</v>
      </c>
      <c r="R64" t="s" s="0">
        <v>82</v>
      </c>
      <c r="S64" t="s" s="0">
        <v>82</v>
      </c>
      <c r="T64" t="s" s="0">
        <v>82</v>
      </c>
      <c r="U64" t="s" s="0">
        <v>82</v>
      </c>
      <c r="V64" t="s" s="0">
        <v>1694</v>
      </c>
      <c r="W64" t="s" s="0">
        <v>707</v>
      </c>
      <c r="X64" t="s" s="0">
        <v>82</v>
      </c>
      <c r="Y64" t="s" s="0">
        <v>82</v>
      </c>
      <c r="Z64" t="s" s="0">
        <v>91</v>
      </c>
      <c r="AA64" t="s" s="0">
        <v>92</v>
      </c>
      <c r="AB64" t="s" s="0">
        <v>82</v>
      </c>
      <c r="AC64" t="s" s="0">
        <v>82</v>
      </c>
      <c r="AD64" t="s" s="0">
        <v>82</v>
      </c>
      <c r="AE64" t="s" s="0">
        <v>82</v>
      </c>
      <c r="AF64" t="s" s="0">
        <v>82</v>
      </c>
      <c r="AG64" t="s" s="0">
        <v>1695</v>
      </c>
      <c r="AH64" t="s" s="0">
        <v>82</v>
      </c>
      <c r="AI64" t="s" s="0">
        <v>1696</v>
      </c>
      <c r="AJ64" t="s" s="0">
        <v>1697</v>
      </c>
      <c r="AK64" t="s" s="0">
        <v>82</v>
      </c>
      <c r="AL64" t="s" s="0">
        <v>208</v>
      </c>
      <c r="AM64" t="s" s="0">
        <v>78</v>
      </c>
      <c r="AN64" t="s" s="0">
        <v>78</v>
      </c>
      <c r="AO64" t="s" s="0">
        <v>264</v>
      </c>
      <c r="AP64" t="s" s="0">
        <v>169</v>
      </c>
      <c r="AQ64" t="s" s="0">
        <v>711</v>
      </c>
      <c r="AR64" t="s" s="0">
        <v>712</v>
      </c>
      <c r="AS64" t="s" s="0">
        <v>713</v>
      </c>
      <c r="AT64" t="s" s="0">
        <v>82</v>
      </c>
      <c r="AU64" t="s" s="0">
        <v>714</v>
      </c>
      <c r="AV64" t="s" s="0">
        <v>82</v>
      </c>
      <c r="AW64" t="s" s="0">
        <v>715</v>
      </c>
      <c r="AX64" t="s" s="0">
        <v>716</v>
      </c>
      <c r="AY64" t="s" s="0">
        <v>1698</v>
      </c>
      <c r="AZ64" t="s" s="0">
        <v>107</v>
      </c>
      <c r="BA64" t="s" s="0">
        <v>98</v>
      </c>
      <c r="BB64" t="s" s="0">
        <v>82</v>
      </c>
      <c r="BC64" t="s" s="0">
        <v>82</v>
      </c>
      <c r="BD64" t="s" s="0">
        <v>82</v>
      </c>
      <c r="BE64" t="s" s="0">
        <v>82</v>
      </c>
      <c r="BF64" t="s" s="0">
        <v>82</v>
      </c>
      <c r="BG64" t="s" s="0">
        <v>82</v>
      </c>
      <c r="BH64" t="s" s="0">
        <v>82</v>
      </c>
      <c r="BI64" t="s" s="0">
        <v>1699</v>
      </c>
      <c r="BJ64" t="s" s="0">
        <v>1700</v>
      </c>
      <c r="BK64" t="s" s="125">
        <f>HYPERLINK("http://dx.doi.org/10.3389/fdgth.2025.1633278","http://dx.doi.org/10.3389/fdgth.2025.1633278")</f>
        <v>1701</v>
      </c>
      <c r="BL64" t="s" s="0">
        <v>82</v>
      </c>
      <c r="BM64" t="s" s="0">
        <v>82</v>
      </c>
      <c r="BN64" t="s" s="0">
        <v>98</v>
      </c>
      <c r="BO64" t="s" s="0">
        <v>213</v>
      </c>
      <c r="BP64" t="s" s="0">
        <v>213</v>
      </c>
      <c r="BQ64" t="s" s="0">
        <v>1702</v>
      </c>
      <c r="BR64" t="s" s="0">
        <v>1703</v>
      </c>
      <c r="BS64" t="s" s="0">
        <v>1704</v>
      </c>
      <c r="BT64" t="s" s="126">
        <f>HYPERLINK("https://www.webofscience.com/wos/woscc/full-record/WOS:001627259000001","View Record in Web of Science")</f>
        <v>118</v>
      </c>
      <c r="BU64" t="s" s="0">
        <v>187</v>
      </c>
      <c r="BV64" t="s" s="0">
        <v>82</v>
      </c>
      <c r="BW64" t="s" s="0">
        <v>82</v>
      </c>
      <c r="BX64" t="s" s="0">
        <v>119</v>
      </c>
    </row>
    <row r="65">
      <c r="A65" t="s" s="0">
        <v>77</v>
      </c>
      <c r="B65" t="s" s="0">
        <v>77</v>
      </c>
      <c r="C65" t="s" s="0">
        <v>77</v>
      </c>
      <c r="D65" t="s" s="0">
        <v>77</v>
      </c>
      <c r="E65" t="s" s="0">
        <v>1705</v>
      </c>
      <c r="F65" t="s" s="0">
        <v>1706</v>
      </c>
      <c r="G65" t="s" s="0">
        <v>1707</v>
      </c>
      <c r="H65" t="s" s="0">
        <v>82</v>
      </c>
      <c r="I65" t="s" s="0">
        <v>83</v>
      </c>
      <c r="J65" t="s" s="0">
        <v>1708</v>
      </c>
      <c r="K65" t="s" s="0">
        <v>1709</v>
      </c>
      <c r="L65" t="s" s="0">
        <v>82</v>
      </c>
      <c r="M65" t="s" s="0">
        <v>82</v>
      </c>
      <c r="N65" t="s" s="0">
        <v>82</v>
      </c>
      <c r="O65" t="s" s="0">
        <v>1710</v>
      </c>
      <c r="P65" t="s" s="0">
        <v>82</v>
      </c>
      <c r="Q65" t="s" s="0">
        <v>88</v>
      </c>
      <c r="R65" t="s" s="0">
        <v>82</v>
      </c>
      <c r="S65" t="s" s="0">
        <v>82</v>
      </c>
      <c r="T65" t="s" s="0">
        <v>82</v>
      </c>
      <c r="U65" t="s" s="0">
        <v>82</v>
      </c>
      <c r="V65" t="s" s="0">
        <v>1711</v>
      </c>
      <c r="W65" t="s" s="0">
        <v>1712</v>
      </c>
      <c r="X65" t="s" s="0">
        <v>82</v>
      </c>
      <c r="Y65" t="s" s="0">
        <v>82</v>
      </c>
      <c r="Z65" t="s" s="0">
        <v>91</v>
      </c>
      <c r="AA65" t="s" s="0">
        <v>92</v>
      </c>
      <c r="AB65" t="s" s="0">
        <v>82</v>
      </c>
      <c r="AC65" t="s" s="0">
        <v>82</v>
      </c>
      <c r="AD65" t="s" s="0">
        <v>82</v>
      </c>
      <c r="AE65" t="s" s="0">
        <v>82</v>
      </c>
      <c r="AF65" t="s" s="0">
        <v>82</v>
      </c>
      <c r="AG65" t="s" s="0">
        <v>1713</v>
      </c>
      <c r="AH65" t="s" s="0">
        <v>1714</v>
      </c>
      <c r="AI65" t="s" s="0">
        <v>82</v>
      </c>
      <c r="AJ65" t="s" s="0">
        <v>82</v>
      </c>
      <c r="AK65" t="s" s="0">
        <v>82</v>
      </c>
      <c r="AL65" t="s" s="0">
        <v>1369</v>
      </c>
      <c r="AM65" t="s" s="0">
        <v>77</v>
      </c>
      <c r="AN65" t="s" s="0">
        <v>77</v>
      </c>
      <c r="AO65" t="s" s="0">
        <v>77</v>
      </c>
      <c r="AP65" t="s" s="0">
        <v>77</v>
      </c>
      <c r="AQ65" t="s" s="0">
        <v>1715</v>
      </c>
      <c r="AR65" t="s" s="0">
        <v>1716</v>
      </c>
      <c r="AS65" t="s" s="0">
        <v>1717</v>
      </c>
      <c r="AT65" t="s" s="0">
        <v>1718</v>
      </c>
      <c r="AU65" t="s" s="0">
        <v>1719</v>
      </c>
      <c r="AV65" t="s" s="0">
        <v>82</v>
      </c>
      <c r="AW65" t="s" s="0">
        <v>1720</v>
      </c>
      <c r="AX65" t="s" s="0">
        <v>1721</v>
      </c>
      <c r="AY65" t="s" s="0">
        <v>1722</v>
      </c>
      <c r="AZ65" t="s" s="0">
        <v>141</v>
      </c>
      <c r="BA65" t="s" s="0">
        <v>1723</v>
      </c>
      <c r="BB65" t="s" s="0">
        <v>82</v>
      </c>
      <c r="BC65" t="s" s="0">
        <v>82</v>
      </c>
      <c r="BD65" t="s" s="0">
        <v>82</v>
      </c>
      <c r="BE65" t="s" s="0">
        <v>82</v>
      </c>
      <c r="BF65" t="s" s="0">
        <v>82</v>
      </c>
      <c r="BG65" t="s" s="0">
        <v>82</v>
      </c>
      <c r="BH65" t="s" s="0">
        <v>82</v>
      </c>
      <c r="BI65" t="s" s="0">
        <v>1724</v>
      </c>
      <c r="BJ65" t="s" s="0">
        <v>1725</v>
      </c>
      <c r="BK65" t="s" s="127">
        <f>HYPERLINK("http://dx.doi.org/10.1016/j.ijmedinf.2026.106550","http://dx.doi.org/10.1016/j.ijmedinf.2026.106550")</f>
        <v>1726</v>
      </c>
      <c r="BL65" t="s" s="0">
        <v>82</v>
      </c>
      <c r="BM65" t="s" s="0">
        <v>147</v>
      </c>
      <c r="BN65" t="s" s="0">
        <v>98</v>
      </c>
      <c r="BO65" t="s" s="0">
        <v>1727</v>
      </c>
      <c r="BP65" t="s" s="0">
        <v>1728</v>
      </c>
      <c r="BQ65" t="s" s="0">
        <v>1729</v>
      </c>
      <c r="BR65" t="s" s="0">
        <v>1730</v>
      </c>
      <c r="BS65" t="s" s="0">
        <v>1731</v>
      </c>
      <c r="BT65" t="s" s="128">
        <f>HYPERLINK("https://www.webofscience.com/wos/woscc/full-record/WOS:001808496900001","View Record in Web of Science")</f>
        <v>118</v>
      </c>
      <c r="BU65" t="s" s="0">
        <v>82</v>
      </c>
      <c r="BV65" t="s" s="0">
        <v>82</v>
      </c>
      <c r="BW65" t="s" s="0">
        <v>82</v>
      </c>
      <c r="BX65" t="s" s="0">
        <v>119</v>
      </c>
    </row>
    <row r="66">
      <c r="A66" t="s" s="0">
        <v>77</v>
      </c>
      <c r="B66" t="s" s="0">
        <v>77</v>
      </c>
      <c r="C66" t="s" s="0">
        <v>77</v>
      </c>
      <c r="D66" t="s" s="0">
        <v>77</v>
      </c>
      <c r="E66" t="s" s="0">
        <v>1732</v>
      </c>
      <c r="F66" t="s" s="0">
        <v>1733</v>
      </c>
      <c r="G66" t="s" s="0">
        <v>1734</v>
      </c>
      <c r="H66" t="s" s="0">
        <v>82</v>
      </c>
      <c r="I66" t="s" s="0">
        <v>595</v>
      </c>
      <c r="J66" t="s" s="0">
        <v>1735</v>
      </c>
      <c r="K66" t="s" s="0">
        <v>1736</v>
      </c>
      <c r="L66" t="s" s="0">
        <v>82</v>
      </c>
      <c r="M66" t="s" s="0">
        <v>82</v>
      </c>
      <c r="N66" t="s" s="0">
        <v>82</v>
      </c>
      <c r="O66" t="s" s="0">
        <v>1737</v>
      </c>
      <c r="P66" t="s" s="0">
        <v>1738</v>
      </c>
      <c r="Q66" t="s" s="0">
        <v>88</v>
      </c>
      <c r="R66" t="s" s="0">
        <v>82</v>
      </c>
      <c r="S66" t="s" s="0">
        <v>82</v>
      </c>
      <c r="T66" t="s" s="0">
        <v>82</v>
      </c>
      <c r="U66" t="s" s="0">
        <v>82</v>
      </c>
      <c r="V66" t="s" s="0">
        <v>1739</v>
      </c>
      <c r="W66" t="s" s="0">
        <v>1740</v>
      </c>
      <c r="X66" t="s" s="0">
        <v>82</v>
      </c>
      <c r="Y66" t="s" s="0">
        <v>82</v>
      </c>
      <c r="Z66" t="s" s="0">
        <v>91</v>
      </c>
      <c r="AA66" t="s" s="0">
        <v>92</v>
      </c>
      <c r="AB66" t="s" s="0">
        <v>82</v>
      </c>
      <c r="AC66" t="s" s="0">
        <v>82</v>
      </c>
      <c r="AD66" t="s" s="0">
        <v>82</v>
      </c>
      <c r="AE66" t="s" s="0">
        <v>82</v>
      </c>
      <c r="AF66" t="s" s="0">
        <v>82</v>
      </c>
      <c r="AG66" t="s" s="0">
        <v>1741</v>
      </c>
      <c r="AH66" t="s" s="0">
        <v>82</v>
      </c>
      <c r="AI66" t="s" s="0">
        <v>1742</v>
      </c>
      <c r="AJ66" t="s" s="0">
        <v>1743</v>
      </c>
      <c r="AK66" t="s" s="0">
        <v>82</v>
      </c>
      <c r="AL66" t="s" s="0">
        <v>329</v>
      </c>
      <c r="AM66" t="s" s="0">
        <v>77</v>
      </c>
      <c r="AN66" t="s" s="0">
        <v>77</v>
      </c>
      <c r="AO66" t="s" s="0">
        <v>77</v>
      </c>
      <c r="AP66" t="s" s="0">
        <v>77</v>
      </c>
      <c r="AQ66" t="s" s="0">
        <v>550</v>
      </c>
      <c r="AR66" t="s" s="0">
        <v>739</v>
      </c>
      <c r="AS66" t="s" s="0">
        <v>740</v>
      </c>
      <c r="AT66" t="s" s="0">
        <v>1744</v>
      </c>
      <c r="AU66" t="s" s="0">
        <v>1745</v>
      </c>
      <c r="AV66" t="s" s="0">
        <v>82</v>
      </c>
      <c r="AW66" t="s" s="0">
        <v>1746</v>
      </c>
      <c r="AX66" t="s" s="0">
        <v>1747</v>
      </c>
      <c r="AY66" t="s" s="0">
        <v>1748</v>
      </c>
      <c r="AZ66" t="s" s="0">
        <v>141</v>
      </c>
      <c r="BA66" t="s" s="0">
        <v>212</v>
      </c>
      <c r="BB66" t="s" s="0">
        <v>229</v>
      </c>
      <c r="BC66" t="s" s="0">
        <v>82</v>
      </c>
      <c r="BD66" t="s" s="0">
        <v>82</v>
      </c>
      <c r="BE66" t="s" s="0">
        <v>82</v>
      </c>
      <c r="BF66" t="s" s="0">
        <v>82</v>
      </c>
      <c r="BG66" t="s" s="0">
        <v>82</v>
      </c>
      <c r="BH66" t="s" s="0">
        <v>82</v>
      </c>
      <c r="BI66" t="s" s="0">
        <v>1749</v>
      </c>
      <c r="BJ66" t="s" s="0">
        <v>1750</v>
      </c>
      <c r="BK66" t="s" s="129">
        <f>HYPERLINK("http://dx.doi.org/10.1007/s12105-026-01929-9","http://dx.doi.org/10.1007/s12105-026-01929-9")</f>
        <v>1751</v>
      </c>
      <c r="BL66" t="s" s="0">
        <v>82</v>
      </c>
      <c r="BM66" t="s" s="0">
        <v>147</v>
      </c>
      <c r="BN66" t="s" s="0">
        <v>132</v>
      </c>
      <c r="BO66" t="s" s="0">
        <v>1752</v>
      </c>
      <c r="BP66" t="s" s="0">
        <v>1752</v>
      </c>
      <c r="BQ66" t="s" s="0">
        <v>1753</v>
      </c>
      <c r="BR66" t="s" s="0">
        <v>1754</v>
      </c>
      <c r="BS66" t="s" s="0">
        <v>1755</v>
      </c>
      <c r="BT66" t="s" s="130">
        <f>HYPERLINK("https://www.webofscience.com/wos/woscc/full-record/WOS:001790869800002","View Record in Web of Science")</f>
        <v>118</v>
      </c>
      <c r="BU66" t="s" s="0">
        <v>1660</v>
      </c>
      <c r="BV66" t="s" s="0">
        <v>82</v>
      </c>
      <c r="BW66" t="s" s="0">
        <v>82</v>
      </c>
      <c r="BX66" t="s" s="0">
        <v>119</v>
      </c>
    </row>
    <row r="67">
      <c r="A67" t="s" s="0">
        <v>77</v>
      </c>
      <c r="B67" t="s" s="0">
        <v>77</v>
      </c>
      <c r="C67" t="s" s="0">
        <v>229</v>
      </c>
      <c r="D67" t="s" s="0">
        <v>77</v>
      </c>
      <c r="E67" t="s" s="0">
        <v>1756</v>
      </c>
      <c r="F67" t="s" s="0">
        <v>1757</v>
      </c>
      <c r="G67" t="s" s="0">
        <v>1758</v>
      </c>
      <c r="H67" t="s" s="0">
        <v>82</v>
      </c>
      <c r="I67" t="s" s="0">
        <v>1573</v>
      </c>
      <c r="J67" t="s" s="0">
        <v>1759</v>
      </c>
      <c r="K67" t="s" s="0">
        <v>1760</v>
      </c>
      <c r="L67" t="s" s="0">
        <v>1761</v>
      </c>
      <c r="M67" t="s" s="0">
        <v>1762</v>
      </c>
      <c r="N67" t="s" s="0">
        <v>1763</v>
      </c>
      <c r="O67" t="s" s="0">
        <v>1764</v>
      </c>
      <c r="P67" t="s" s="0">
        <v>1765</v>
      </c>
      <c r="Q67" t="s" s="0">
        <v>88</v>
      </c>
      <c r="R67" t="s" s="0">
        <v>82</v>
      </c>
      <c r="S67" t="s" s="0">
        <v>82</v>
      </c>
      <c r="T67" t="s" s="0">
        <v>82</v>
      </c>
      <c r="U67" t="s" s="0">
        <v>82</v>
      </c>
      <c r="V67" t="s" s="0">
        <v>1766</v>
      </c>
      <c r="W67" t="s" s="0">
        <v>1767</v>
      </c>
      <c r="X67" t="s" s="0">
        <v>82</v>
      </c>
      <c r="Y67" t="s" s="0">
        <v>82</v>
      </c>
      <c r="Z67" t="s" s="0">
        <v>91</v>
      </c>
      <c r="AA67" t="s" s="0">
        <v>92</v>
      </c>
      <c r="AB67" t="s" s="0">
        <v>82</v>
      </c>
      <c r="AC67" t="s" s="0">
        <v>82</v>
      </c>
      <c r="AD67" t="s" s="0">
        <v>82</v>
      </c>
      <c r="AE67" t="s" s="0">
        <v>82</v>
      </c>
      <c r="AF67" t="s" s="0">
        <v>82</v>
      </c>
      <c r="AG67" t="s" s="0">
        <v>1768</v>
      </c>
      <c r="AH67" t="s" s="0">
        <v>1769</v>
      </c>
      <c r="AI67" t="s" s="0">
        <v>1770</v>
      </c>
      <c r="AJ67" t="s" s="0">
        <v>1771</v>
      </c>
      <c r="AK67" t="s" s="0">
        <v>82</v>
      </c>
      <c r="AL67" t="s" s="0">
        <v>229</v>
      </c>
      <c r="AM67" t="s" s="0">
        <v>239</v>
      </c>
      <c r="AN67" t="s" s="0">
        <v>239</v>
      </c>
      <c r="AO67" t="s" s="0">
        <v>264</v>
      </c>
      <c r="AP67" t="s" s="0">
        <v>169</v>
      </c>
      <c r="AQ67" t="s" s="0">
        <v>1715</v>
      </c>
      <c r="AR67" t="s" s="0">
        <v>1716</v>
      </c>
      <c r="AS67" t="s" s="0">
        <v>1717</v>
      </c>
      <c r="AT67" t="s" s="0">
        <v>1772</v>
      </c>
      <c r="AU67" t="s" s="0">
        <v>1773</v>
      </c>
      <c r="AV67" t="s" s="0">
        <v>82</v>
      </c>
      <c r="AW67" t="s" s="0">
        <v>1774</v>
      </c>
      <c r="AX67" t="s" s="0">
        <v>1775</v>
      </c>
      <c r="AY67" t="s" s="0">
        <v>643</v>
      </c>
      <c r="AZ67" t="s" s="0">
        <v>141</v>
      </c>
      <c r="BA67" t="s" s="0">
        <v>1776</v>
      </c>
      <c r="BB67" t="s" s="0">
        <v>82</v>
      </c>
      <c r="BC67" t="s" s="0">
        <v>82</v>
      </c>
      <c r="BD67" t="s" s="0">
        <v>82</v>
      </c>
      <c r="BE67" t="s" s="0">
        <v>82</v>
      </c>
      <c r="BF67" t="s" s="0">
        <v>82</v>
      </c>
      <c r="BG67" t="s" s="0">
        <v>82</v>
      </c>
      <c r="BH67" t="s" s="0">
        <v>82</v>
      </c>
      <c r="BI67" t="s" s="0">
        <v>1777</v>
      </c>
      <c r="BJ67" t="s" s="0">
        <v>1778</v>
      </c>
      <c r="BK67" t="s" s="131">
        <f>HYPERLINK("http://dx.doi.org/10.1016/j.psychres.2025.116844","http://dx.doi.org/10.1016/j.psychres.2025.116844")</f>
        <v>1779</v>
      </c>
      <c r="BL67" t="s" s="0">
        <v>82</v>
      </c>
      <c r="BM67" t="s" s="0">
        <v>307</v>
      </c>
      <c r="BN67" t="s" s="0">
        <v>425</v>
      </c>
      <c r="BO67" t="s" s="0">
        <v>1780</v>
      </c>
      <c r="BP67" t="s" s="0">
        <v>1780</v>
      </c>
      <c r="BQ67" t="s" s="0">
        <v>1781</v>
      </c>
      <c r="BR67" t="s" s="0">
        <v>1782</v>
      </c>
      <c r="BS67" t="s" s="0">
        <v>1783</v>
      </c>
      <c r="BT67" t="s" s="132">
        <f>HYPERLINK("https://www.webofscience.com/wos/woscc/full-record/WOS:001628021900006","View Record in Web of Science")</f>
        <v>118</v>
      </c>
      <c r="BU67" t="s" s="0">
        <v>152</v>
      </c>
      <c r="BV67" t="s" s="0">
        <v>82</v>
      </c>
      <c r="BW67" t="s" s="0">
        <v>82</v>
      </c>
      <c r="BX67" t="s" s="0">
        <v>119</v>
      </c>
    </row>
    <row r="68">
      <c r="A68" t="s" s="0">
        <v>77</v>
      </c>
      <c r="B68" t="s" s="0">
        <v>77</v>
      </c>
      <c r="C68" t="s" s="0">
        <v>77</v>
      </c>
      <c r="D68" t="s" s="0">
        <v>77</v>
      </c>
      <c r="E68" t="s" s="0">
        <v>1784</v>
      </c>
      <c r="F68" t="s" s="0">
        <v>1785</v>
      </c>
      <c r="G68" t="s" s="0">
        <v>1786</v>
      </c>
      <c r="H68" t="s" s="0">
        <v>82</v>
      </c>
      <c r="I68" t="s" s="0">
        <v>83</v>
      </c>
      <c r="J68" t="s" s="0">
        <v>1787</v>
      </c>
      <c r="K68" t="s" s="0">
        <v>1788</v>
      </c>
      <c r="L68" t="s" s="0">
        <v>1789</v>
      </c>
      <c r="M68" t="s" s="0">
        <v>1790</v>
      </c>
      <c r="N68" t="s" s="0">
        <v>1791</v>
      </c>
      <c r="O68" t="s" s="0">
        <v>1792</v>
      </c>
      <c r="P68" t="s" s="0">
        <v>1793</v>
      </c>
      <c r="Q68" t="s" s="0">
        <v>88</v>
      </c>
      <c r="R68" t="s" s="0">
        <v>82</v>
      </c>
      <c r="S68" t="s" s="0">
        <v>82</v>
      </c>
      <c r="T68" t="s" s="0">
        <v>82</v>
      </c>
      <c r="U68" t="s" s="0">
        <v>82</v>
      </c>
      <c r="V68" t="s" s="0">
        <v>1794</v>
      </c>
      <c r="W68" t="s" s="0">
        <v>261</v>
      </c>
      <c r="X68" t="s" s="0">
        <v>82</v>
      </c>
      <c r="Y68" t="s" s="0">
        <v>82</v>
      </c>
      <c r="Z68" t="s" s="0">
        <v>91</v>
      </c>
      <c r="AA68" t="s" s="0">
        <v>92</v>
      </c>
      <c r="AB68" t="s" s="0">
        <v>82</v>
      </c>
      <c r="AC68" t="s" s="0">
        <v>82</v>
      </c>
      <c r="AD68" t="s" s="0">
        <v>82</v>
      </c>
      <c r="AE68" t="s" s="0">
        <v>82</v>
      </c>
      <c r="AF68" t="s" s="0">
        <v>82</v>
      </c>
      <c r="AG68" t="s" s="0">
        <v>82</v>
      </c>
      <c r="AH68" t="s" s="0">
        <v>1795</v>
      </c>
      <c r="AI68" t="s" s="0">
        <v>1796</v>
      </c>
      <c r="AJ68" t="s" s="0">
        <v>82</v>
      </c>
      <c r="AK68" t="s" s="0">
        <v>82</v>
      </c>
      <c r="AL68" t="s" s="0">
        <v>476</v>
      </c>
      <c r="AM68" t="s" s="0">
        <v>229</v>
      </c>
      <c r="AN68" t="s" s="0">
        <v>264</v>
      </c>
      <c r="AO68" t="s" s="0">
        <v>239</v>
      </c>
      <c r="AP68" t="s" s="0">
        <v>98</v>
      </c>
      <c r="AQ68" t="s" s="0">
        <v>265</v>
      </c>
      <c r="AR68" t="s" s="0">
        <v>266</v>
      </c>
      <c r="AS68" t="s" s="0">
        <v>267</v>
      </c>
      <c r="AT68" t="s" s="0">
        <v>268</v>
      </c>
      <c r="AU68" t="s" s="0">
        <v>82</v>
      </c>
      <c r="AV68" t="s" s="0">
        <v>82</v>
      </c>
      <c r="AW68" t="s" s="0">
        <v>269</v>
      </c>
      <c r="AX68" t="s" s="0">
        <v>270</v>
      </c>
      <c r="AY68" t="s" s="0">
        <v>1797</v>
      </c>
      <c r="AZ68" t="s" s="0">
        <v>107</v>
      </c>
      <c r="BA68" t="s" s="0">
        <v>244</v>
      </c>
      <c r="BB68" t="s" s="0">
        <v>229</v>
      </c>
      <c r="BC68" t="s" s="0">
        <v>82</v>
      </c>
      <c r="BD68" t="s" s="0">
        <v>82</v>
      </c>
      <c r="BE68" t="s" s="0">
        <v>82</v>
      </c>
      <c r="BF68" t="s" s="0">
        <v>82</v>
      </c>
      <c r="BG68" t="s" s="0">
        <v>82</v>
      </c>
      <c r="BH68" t="s" s="0">
        <v>82</v>
      </c>
      <c r="BI68" t="s" s="0">
        <v>1798</v>
      </c>
      <c r="BJ68" t="s" s="0">
        <v>1799</v>
      </c>
      <c r="BK68" t="s" s="133">
        <f>HYPERLINK("http://dx.doi.org/10.1038/s41746-025-02139-3","http://dx.doi.org/10.1038/s41746-025-02139-3")</f>
        <v>1800</v>
      </c>
      <c r="BL68" t="s" s="0">
        <v>82</v>
      </c>
      <c r="BM68" t="s" s="0">
        <v>82</v>
      </c>
      <c r="BN68" t="s" s="0">
        <v>368</v>
      </c>
      <c r="BO68" t="s" s="0">
        <v>213</v>
      </c>
      <c r="BP68" t="s" s="0">
        <v>213</v>
      </c>
      <c r="BQ68" t="s" s="0">
        <v>1801</v>
      </c>
      <c r="BR68" t="s" s="0">
        <v>1802</v>
      </c>
      <c r="BS68" t="s" s="0">
        <v>1803</v>
      </c>
      <c r="BT68" t="s" s="134">
        <f>HYPERLINK("https://www.webofscience.com/wos/woscc/full-record/WOS:001643634200001","View Record in Web of Science")</f>
        <v>118</v>
      </c>
      <c r="BU68" t="s" s="0">
        <v>187</v>
      </c>
      <c r="BV68" t="s" s="0">
        <v>82</v>
      </c>
      <c r="BW68" t="s" s="0">
        <v>82</v>
      </c>
      <c r="BX68" t="s" s="0">
        <v>119</v>
      </c>
    </row>
    <row r="69">
      <c r="A69" t="s" s="0">
        <v>77</v>
      </c>
      <c r="B69" t="s" s="0">
        <v>77</v>
      </c>
      <c r="C69" t="s" s="0">
        <v>229</v>
      </c>
      <c r="D69" t="s" s="0">
        <v>77</v>
      </c>
      <c r="E69" t="s" s="0">
        <v>1804</v>
      </c>
      <c r="F69" t="s" s="0">
        <v>1805</v>
      </c>
      <c r="G69" t="s" s="0">
        <v>1806</v>
      </c>
      <c r="H69" t="s" s="0">
        <v>82</v>
      </c>
      <c r="I69" t="s" s="0">
        <v>83</v>
      </c>
      <c r="J69" t="s" s="0">
        <v>1807</v>
      </c>
      <c r="K69" t="s" s="0">
        <v>1808</v>
      </c>
      <c r="L69" t="s" s="0">
        <v>1809</v>
      </c>
      <c r="M69" t="s" s="0">
        <v>1809</v>
      </c>
      <c r="N69" t="s" s="0">
        <v>1810</v>
      </c>
      <c r="O69" t="s" s="0">
        <v>1811</v>
      </c>
      <c r="P69" t="s" s="0">
        <v>1812</v>
      </c>
      <c r="Q69" t="s" s="0">
        <v>88</v>
      </c>
      <c r="R69" t="s" s="0">
        <v>82</v>
      </c>
      <c r="S69" t="s" s="0">
        <v>1813</v>
      </c>
      <c r="T69" t="s" s="0">
        <v>82</v>
      </c>
      <c r="U69" t="s" s="0">
        <v>82</v>
      </c>
      <c r="V69" t="s" s="0">
        <v>1814</v>
      </c>
      <c r="W69" t="s" s="0">
        <v>1815</v>
      </c>
      <c r="X69" t="s" s="0">
        <v>82</v>
      </c>
      <c r="Y69" t="s" s="0">
        <v>82</v>
      </c>
      <c r="Z69" t="s" s="0">
        <v>91</v>
      </c>
      <c r="AA69" t="s" s="0">
        <v>92</v>
      </c>
      <c r="AB69" t="s" s="0">
        <v>82</v>
      </c>
      <c r="AC69" t="s" s="0">
        <v>82</v>
      </c>
      <c r="AD69" t="s" s="0">
        <v>82</v>
      </c>
      <c r="AE69" t="s" s="0">
        <v>82</v>
      </c>
      <c r="AF69" t="s" s="0">
        <v>82</v>
      </c>
      <c r="AG69" t="s" s="0">
        <v>1816</v>
      </c>
      <c r="AH69" t="s" s="0">
        <v>82</v>
      </c>
      <c r="AI69" t="s" s="0">
        <v>82</v>
      </c>
      <c r="AJ69" t="s" s="0">
        <v>1817</v>
      </c>
      <c r="AK69" t="s" s="0">
        <v>82</v>
      </c>
      <c r="AL69" t="s" s="0">
        <v>199</v>
      </c>
      <c r="AM69" t="s" s="0">
        <v>169</v>
      </c>
      <c r="AN69" t="s" s="0">
        <v>169</v>
      </c>
      <c r="AO69" t="s" s="0">
        <v>264</v>
      </c>
      <c r="AP69" t="s" s="0">
        <v>264</v>
      </c>
      <c r="AQ69" t="s" s="0">
        <v>1818</v>
      </c>
      <c r="AR69" t="s" s="0">
        <v>739</v>
      </c>
      <c r="AS69" t="s" s="0">
        <v>1819</v>
      </c>
      <c r="AT69" t="s" s="0">
        <v>1820</v>
      </c>
      <c r="AU69" t="s" s="0">
        <v>1821</v>
      </c>
      <c r="AV69" t="s" s="0">
        <v>82</v>
      </c>
      <c r="AW69" t="s" s="0">
        <v>1822</v>
      </c>
      <c r="AX69" t="s" s="0">
        <v>1823</v>
      </c>
      <c r="AY69" t="s" s="0">
        <v>562</v>
      </c>
      <c r="AZ69" t="s" s="0">
        <v>141</v>
      </c>
      <c r="BA69" t="s" s="0">
        <v>845</v>
      </c>
      <c r="BB69" t="s" s="0">
        <v>264</v>
      </c>
      <c r="BC69" t="s" s="0">
        <v>82</v>
      </c>
      <c r="BD69" t="s" s="0">
        <v>82</v>
      </c>
      <c r="BE69" t="s" s="0">
        <v>82</v>
      </c>
      <c r="BF69" t="s" s="0">
        <v>82</v>
      </c>
      <c r="BG69" t="s" s="0">
        <v>1824</v>
      </c>
      <c r="BH69" t="s" s="0">
        <v>1825</v>
      </c>
      <c r="BI69" t="s" s="0">
        <v>82</v>
      </c>
      <c r="BJ69" t="s" s="0">
        <v>1826</v>
      </c>
      <c r="BK69" t="s" s="135">
        <f>HYPERLINK("http://dx.doi.org/10.1016/j.jtha.2025.09.004","http://dx.doi.org/10.1016/j.jtha.2025.09.004")</f>
        <v>1827</v>
      </c>
      <c r="BL69" t="s" s="0">
        <v>82</v>
      </c>
      <c r="BM69" t="s" s="0">
        <v>82</v>
      </c>
      <c r="BN69" t="s" s="0">
        <v>346</v>
      </c>
      <c r="BO69" t="s" s="0">
        <v>1828</v>
      </c>
      <c r="BP69" t="s" s="0">
        <v>1829</v>
      </c>
      <c r="BQ69" t="s" s="0">
        <v>1830</v>
      </c>
      <c r="BR69" t="s" s="0">
        <v>1831</v>
      </c>
      <c r="BS69" t="s" s="0">
        <v>1832</v>
      </c>
      <c r="BT69" t="s" s="136">
        <f>HYPERLINK("https://www.webofscience.com/wos/woscc/full-record/WOS:001709685400001","View Record in Web of Science")</f>
        <v>118</v>
      </c>
      <c r="BU69" t="s" s="0">
        <v>538</v>
      </c>
      <c r="BV69" t="s" s="0">
        <v>82</v>
      </c>
      <c r="BW69" t="s" s="0">
        <v>82</v>
      </c>
      <c r="BX69" t="s" s="0">
        <v>119</v>
      </c>
    </row>
    <row r="70">
      <c r="A70" t="s" s="0">
        <v>77</v>
      </c>
      <c r="B70" t="s" s="0">
        <v>77</v>
      </c>
      <c r="C70" t="s" s="0">
        <v>77</v>
      </c>
      <c r="D70" t="s" s="0">
        <v>77</v>
      </c>
      <c r="E70" t="s" s="0">
        <v>1833</v>
      </c>
      <c r="F70" t="s" s="0">
        <v>1834</v>
      </c>
      <c r="G70" t="s" s="0">
        <v>1835</v>
      </c>
      <c r="H70" t="s" s="0">
        <v>82</v>
      </c>
      <c r="I70" t="s" s="0">
        <v>83</v>
      </c>
      <c r="J70" t="s" s="0">
        <v>1836</v>
      </c>
      <c r="K70" t="s" s="0">
        <v>1837</v>
      </c>
      <c r="L70" t="s" s="0">
        <v>1838</v>
      </c>
      <c r="M70" t="s" s="0">
        <v>1839</v>
      </c>
      <c r="N70" t="s" s="0">
        <v>1840</v>
      </c>
      <c r="O70" t="s" s="0">
        <v>1841</v>
      </c>
      <c r="P70" t="s" s="0">
        <v>1842</v>
      </c>
      <c r="Q70" t="s" s="0">
        <v>88</v>
      </c>
      <c r="R70" t="s" s="0">
        <v>82</v>
      </c>
      <c r="S70" t="s" s="0">
        <v>82</v>
      </c>
      <c r="T70" t="s" s="0">
        <v>82</v>
      </c>
      <c r="U70" t="s" s="0">
        <v>82</v>
      </c>
      <c r="V70" t="s" s="0">
        <v>1843</v>
      </c>
      <c r="W70" t="s" s="0">
        <v>261</v>
      </c>
      <c r="X70" t="s" s="0">
        <v>82</v>
      </c>
      <c r="Y70" t="s" s="0">
        <v>82</v>
      </c>
      <c r="Z70" t="s" s="0">
        <v>91</v>
      </c>
      <c r="AA70" t="s" s="0">
        <v>92</v>
      </c>
      <c r="AB70" t="s" s="0">
        <v>82</v>
      </c>
      <c r="AC70" t="s" s="0">
        <v>82</v>
      </c>
      <c r="AD70" t="s" s="0">
        <v>82</v>
      </c>
      <c r="AE70" t="s" s="0">
        <v>82</v>
      </c>
      <c r="AF70" t="s" s="0">
        <v>82</v>
      </c>
      <c r="AG70" t="s" s="0">
        <v>82</v>
      </c>
      <c r="AH70" t="s" s="0">
        <v>1844</v>
      </c>
      <c r="AI70" t="s" s="0">
        <v>1845</v>
      </c>
      <c r="AJ70" t="s" s="0">
        <v>1846</v>
      </c>
      <c r="AK70" t="s" s="0">
        <v>82</v>
      </c>
      <c r="AL70" t="s" s="0">
        <v>1847</v>
      </c>
      <c r="AM70" t="s" s="0">
        <v>77</v>
      </c>
      <c r="AN70" t="s" s="0">
        <v>77</v>
      </c>
      <c r="AO70" t="s" s="0">
        <v>78</v>
      </c>
      <c r="AP70" t="s" s="0">
        <v>78</v>
      </c>
      <c r="AQ70" t="s" s="0">
        <v>265</v>
      </c>
      <c r="AR70" t="s" s="0">
        <v>266</v>
      </c>
      <c r="AS70" t="s" s="0">
        <v>267</v>
      </c>
      <c r="AT70" t="s" s="0">
        <v>268</v>
      </c>
      <c r="AU70" t="s" s="0">
        <v>82</v>
      </c>
      <c r="AV70" t="s" s="0">
        <v>82</v>
      </c>
      <c r="AW70" t="s" s="0">
        <v>269</v>
      </c>
      <c r="AX70" t="s" s="0">
        <v>270</v>
      </c>
      <c r="AY70" t="s" s="0">
        <v>1848</v>
      </c>
      <c r="AZ70" t="s" s="0">
        <v>141</v>
      </c>
      <c r="BA70" t="s" s="0">
        <v>272</v>
      </c>
      <c r="BB70" t="s" s="0">
        <v>229</v>
      </c>
      <c r="BC70" t="s" s="0">
        <v>82</v>
      </c>
      <c r="BD70" t="s" s="0">
        <v>82</v>
      </c>
      <c r="BE70" t="s" s="0">
        <v>82</v>
      </c>
      <c r="BF70" t="s" s="0">
        <v>82</v>
      </c>
      <c r="BG70" t="s" s="0">
        <v>82</v>
      </c>
      <c r="BH70" t="s" s="0">
        <v>82</v>
      </c>
      <c r="BI70" t="s" s="0">
        <v>1849</v>
      </c>
      <c r="BJ70" t="s" s="0">
        <v>1850</v>
      </c>
      <c r="BK70" t="s" s="137">
        <f>HYPERLINK("http://dx.doi.org/10.1038/s41746-026-02537-1","http://dx.doi.org/10.1038/s41746-026-02537-1")</f>
        <v>1851</v>
      </c>
      <c r="BL70" t="s" s="0">
        <v>82</v>
      </c>
      <c r="BM70" t="s" s="0">
        <v>562</v>
      </c>
      <c r="BN70" t="s" s="0">
        <v>342</v>
      </c>
      <c r="BO70" t="s" s="0">
        <v>213</v>
      </c>
      <c r="BP70" t="s" s="0">
        <v>213</v>
      </c>
      <c r="BQ70" t="s" s="0">
        <v>1852</v>
      </c>
      <c r="BR70" t="s" s="0">
        <v>1853</v>
      </c>
      <c r="BS70" t="s" s="0">
        <v>1854</v>
      </c>
      <c r="BT70" t="s" s="138">
        <f>HYPERLINK("https://www.webofscience.com/wos/woscc/full-record/WOS:001754451700001","View Record in Web of Science")</f>
        <v>118</v>
      </c>
      <c r="BU70" t="s" s="0">
        <v>187</v>
      </c>
      <c r="BV70" t="s" s="0">
        <v>82</v>
      </c>
      <c r="BW70" t="s" s="0">
        <v>82</v>
      </c>
      <c r="BX70" t="s" s="0">
        <v>119</v>
      </c>
    </row>
    <row r="71">
      <c r="A71" t="s" s="0">
        <v>77</v>
      </c>
      <c r="B71" t="s" s="0">
        <v>77</v>
      </c>
      <c r="C71" t="s" s="0">
        <v>229</v>
      </c>
      <c r="D71" t="s" s="0">
        <v>77</v>
      </c>
      <c r="E71" t="s" s="0">
        <v>1855</v>
      </c>
      <c r="F71" t="s" s="0">
        <v>1856</v>
      </c>
      <c r="G71" t="s" s="0">
        <v>1857</v>
      </c>
      <c r="H71" t="s" s="0">
        <v>82</v>
      </c>
      <c r="I71" t="s" s="0">
        <v>83</v>
      </c>
      <c r="J71" t="s" s="0">
        <v>1858</v>
      </c>
      <c r="K71" t="s" s="0">
        <v>1859</v>
      </c>
      <c r="L71" t="s" s="0">
        <v>82</v>
      </c>
      <c r="M71" t="s" s="0">
        <v>82</v>
      </c>
      <c r="N71" t="s" s="0">
        <v>82</v>
      </c>
      <c r="O71" t="s" s="0">
        <v>1860</v>
      </c>
      <c r="P71" t="s" s="0">
        <v>82</v>
      </c>
      <c r="Q71" t="s" s="0">
        <v>88</v>
      </c>
      <c r="R71" t="s" s="0">
        <v>82</v>
      </c>
      <c r="S71" t="s" s="0">
        <v>82</v>
      </c>
      <c r="T71" t="s" s="0">
        <v>82</v>
      </c>
      <c r="U71" t="s" s="0">
        <v>82</v>
      </c>
      <c r="V71" t="s" s="0">
        <v>1861</v>
      </c>
      <c r="W71" t="s" s="0">
        <v>1862</v>
      </c>
      <c r="X71" t="s" s="0">
        <v>82</v>
      </c>
      <c r="Y71" t="s" s="0">
        <v>82</v>
      </c>
      <c r="Z71" t="s" s="0">
        <v>91</v>
      </c>
      <c r="AA71" t="s" s="0">
        <v>92</v>
      </c>
      <c r="AB71" t="s" s="0">
        <v>82</v>
      </c>
      <c r="AC71" t="s" s="0">
        <v>82</v>
      </c>
      <c r="AD71" t="s" s="0">
        <v>82</v>
      </c>
      <c r="AE71" t="s" s="0">
        <v>82</v>
      </c>
      <c r="AF71" t="s" s="0">
        <v>82</v>
      </c>
      <c r="AG71" t="s" s="0">
        <v>82</v>
      </c>
      <c r="AH71" t="s" s="0">
        <v>82</v>
      </c>
      <c r="AI71" t="s" s="0">
        <v>1863</v>
      </c>
      <c r="AJ71" t="s" s="0">
        <v>1864</v>
      </c>
      <c r="AK71" t="s" s="0">
        <v>82</v>
      </c>
      <c r="AL71" t="s" s="0">
        <v>811</v>
      </c>
      <c r="AM71" t="s" s="0">
        <v>169</v>
      </c>
      <c r="AN71" t="s" s="0">
        <v>169</v>
      </c>
      <c r="AO71" t="s" s="0">
        <v>77</v>
      </c>
      <c r="AP71" t="s" s="0">
        <v>229</v>
      </c>
      <c r="AQ71" t="s" s="0">
        <v>1865</v>
      </c>
      <c r="AR71" t="s" s="0">
        <v>1866</v>
      </c>
      <c r="AS71" t="s" s="0">
        <v>1867</v>
      </c>
      <c r="AT71" t="s" s="0">
        <v>82</v>
      </c>
      <c r="AU71" t="s" s="0">
        <v>1868</v>
      </c>
      <c r="AV71" t="s" s="0">
        <v>82</v>
      </c>
      <c r="AW71" t="s" s="0">
        <v>1862</v>
      </c>
      <c r="AX71" t="s" s="0">
        <v>1869</v>
      </c>
      <c r="AY71" t="s" s="0">
        <v>1870</v>
      </c>
      <c r="AZ71" t="s" s="0">
        <v>107</v>
      </c>
      <c r="BA71" t="s" s="0">
        <v>212</v>
      </c>
      <c r="BB71" t="s" s="0">
        <v>346</v>
      </c>
      <c r="BC71" t="s" s="0">
        <v>82</v>
      </c>
      <c r="BD71" t="s" s="0">
        <v>82</v>
      </c>
      <c r="BE71" t="s" s="0">
        <v>82</v>
      </c>
      <c r="BF71" t="s" s="0">
        <v>82</v>
      </c>
      <c r="BG71" t="s" s="0">
        <v>82</v>
      </c>
      <c r="BH71" t="s" s="0">
        <v>82</v>
      </c>
      <c r="BI71" t="s" s="0">
        <v>1871</v>
      </c>
      <c r="BJ71" t="s" s="0">
        <v>1872</v>
      </c>
      <c r="BK71" t="s" s="139">
        <f>HYPERLINK("http://dx.doi.org/10.1371/journal.pone.0340220","http://dx.doi.org/10.1371/journal.pone.0340220")</f>
        <v>1873</v>
      </c>
      <c r="BL71" t="s" s="0">
        <v>82</v>
      </c>
      <c r="BM71" t="s" s="0">
        <v>82</v>
      </c>
      <c r="BN71" t="s" s="0">
        <v>132</v>
      </c>
      <c r="BO71" t="s" s="0">
        <v>380</v>
      </c>
      <c r="BP71" t="s" s="0">
        <v>381</v>
      </c>
      <c r="BQ71" t="s" s="0">
        <v>1874</v>
      </c>
      <c r="BR71" t="s" s="0">
        <v>1875</v>
      </c>
      <c r="BS71" t="s" s="0">
        <v>1876</v>
      </c>
      <c r="BT71" t="s" s="140">
        <f>HYPERLINK("https://www.webofscience.com/wos/woscc/full-record/WOS:001651939400005","View Record in Web of Science")</f>
        <v>118</v>
      </c>
      <c r="BU71" t="s" s="0">
        <v>187</v>
      </c>
      <c r="BV71" t="s" s="0">
        <v>82</v>
      </c>
      <c r="BW71" t="s" s="0">
        <v>82</v>
      </c>
      <c r="BX71" t="s" s="0">
        <v>119</v>
      </c>
    </row>
    <row r="72">
      <c r="A72" t="s" s="0">
        <v>77</v>
      </c>
      <c r="B72" t="s" s="0">
        <v>77</v>
      </c>
      <c r="C72" t="s" s="0">
        <v>77</v>
      </c>
      <c r="D72" t="s" s="0">
        <v>77</v>
      </c>
      <c r="E72" t="s" s="0">
        <v>1877</v>
      </c>
      <c r="F72" t="s" s="0">
        <v>1878</v>
      </c>
      <c r="G72" t="s" s="0">
        <v>1879</v>
      </c>
      <c r="H72" t="s" s="0">
        <v>82</v>
      </c>
      <c r="I72" t="s" s="0">
        <v>595</v>
      </c>
      <c r="J72" t="s" s="0">
        <v>1880</v>
      </c>
      <c r="K72" t="s" s="0">
        <v>1881</v>
      </c>
      <c r="L72" t="s" s="0">
        <v>82</v>
      </c>
      <c r="M72" t="s" s="0">
        <v>82</v>
      </c>
      <c r="N72" t="s" s="0">
        <v>82</v>
      </c>
      <c r="O72" t="s" s="0">
        <v>1882</v>
      </c>
      <c r="P72" t="s" s="0">
        <v>1883</v>
      </c>
      <c r="Q72" t="s" s="0">
        <v>88</v>
      </c>
      <c r="R72" t="s" s="0">
        <v>82</v>
      </c>
      <c r="S72" t="s" s="0">
        <v>82</v>
      </c>
      <c r="T72" t="s" s="0">
        <v>82</v>
      </c>
      <c r="U72" t="s" s="0">
        <v>82</v>
      </c>
      <c r="V72" t="s" s="0">
        <v>1884</v>
      </c>
      <c r="W72" t="s" s="0">
        <v>1885</v>
      </c>
      <c r="X72" t="s" s="0">
        <v>82</v>
      </c>
      <c r="Y72" t="s" s="0">
        <v>82</v>
      </c>
      <c r="Z72" t="s" s="0">
        <v>91</v>
      </c>
      <c r="AA72" t="s" s="0">
        <v>92</v>
      </c>
      <c r="AB72" t="s" s="0">
        <v>82</v>
      </c>
      <c r="AC72" t="s" s="0">
        <v>82</v>
      </c>
      <c r="AD72" t="s" s="0">
        <v>82</v>
      </c>
      <c r="AE72" t="s" s="0">
        <v>82</v>
      </c>
      <c r="AF72" t="s" s="0">
        <v>82</v>
      </c>
      <c r="AG72" t="s" s="0">
        <v>1886</v>
      </c>
      <c r="AH72" t="s" s="0">
        <v>82</v>
      </c>
      <c r="AI72" t="s" s="0">
        <v>1887</v>
      </c>
      <c r="AJ72" t="s" s="0">
        <v>1888</v>
      </c>
      <c r="AK72" t="s" s="0">
        <v>82</v>
      </c>
      <c r="AL72" t="s" s="0">
        <v>294</v>
      </c>
      <c r="AM72" t="s" s="0">
        <v>77</v>
      </c>
      <c r="AN72" t="s" s="0">
        <v>77</v>
      </c>
      <c r="AO72" t="s" s="0">
        <v>78</v>
      </c>
      <c r="AP72" t="s" s="0">
        <v>78</v>
      </c>
      <c r="AQ72" t="s" s="0">
        <v>1889</v>
      </c>
      <c r="AR72" t="s" s="0">
        <v>1890</v>
      </c>
      <c r="AS72" t="s" s="0">
        <v>1891</v>
      </c>
      <c r="AT72" t="s" s="0">
        <v>82</v>
      </c>
      <c r="AU72" t="s" s="0">
        <v>1892</v>
      </c>
      <c r="AV72" t="s" s="0">
        <v>82</v>
      </c>
      <c r="AW72" t="s" s="0">
        <v>1893</v>
      </c>
      <c r="AX72" t="s" s="0">
        <v>1894</v>
      </c>
      <c r="AY72" t="s" s="0">
        <v>141</v>
      </c>
      <c r="AZ72" t="s" s="0">
        <v>141</v>
      </c>
      <c r="BA72" t="s" s="0">
        <v>98</v>
      </c>
      <c r="BB72" t="s" s="0">
        <v>229</v>
      </c>
      <c r="BC72" t="s" s="0">
        <v>82</v>
      </c>
      <c r="BD72" t="s" s="0">
        <v>82</v>
      </c>
      <c r="BE72" t="s" s="0">
        <v>82</v>
      </c>
      <c r="BF72" t="s" s="0">
        <v>82</v>
      </c>
      <c r="BG72" t="s" s="0">
        <v>229</v>
      </c>
      <c r="BH72" t="s" s="0">
        <v>277</v>
      </c>
      <c r="BI72" t="s" s="0">
        <v>82</v>
      </c>
      <c r="BJ72" t="s" s="0">
        <v>1895</v>
      </c>
      <c r="BK72" t="s" s="141">
        <f>HYPERLINK("http://dx.doi.org/10.6018/edumed.695571","http://dx.doi.org/10.6018/edumed.695571")</f>
        <v>1896</v>
      </c>
      <c r="BL72" t="s" s="0">
        <v>82</v>
      </c>
      <c r="BM72" t="s" s="0">
        <v>82</v>
      </c>
      <c r="BN72" t="s" s="0">
        <v>277</v>
      </c>
      <c r="BO72" t="s" s="0">
        <v>1897</v>
      </c>
      <c r="BP72" t="s" s="0">
        <v>1898</v>
      </c>
      <c r="BQ72" t="s" s="0">
        <v>1899</v>
      </c>
      <c r="BR72" t="s" s="0">
        <v>82</v>
      </c>
      <c r="BS72" t="s" s="0">
        <v>1900</v>
      </c>
      <c r="BT72" t="s" s="142">
        <f>HYPERLINK("https://www.webofscience.com/wos/woscc/full-record/WOS:001686056000004","View Record in Web of Science")</f>
        <v>118</v>
      </c>
      <c r="BU72" t="s" s="0">
        <v>187</v>
      </c>
      <c r="BV72" t="s" s="0">
        <v>82</v>
      </c>
      <c r="BW72" t="s" s="0">
        <v>82</v>
      </c>
      <c r="BX72" t="s" s="0">
        <v>119</v>
      </c>
    </row>
    <row r="73">
      <c r="A73" t="s" s="0">
        <v>264</v>
      </c>
      <c r="B73" t="s" s="0">
        <v>77</v>
      </c>
      <c r="C73" t="s" s="0">
        <v>177</v>
      </c>
      <c r="D73" t="s" s="0">
        <v>77</v>
      </c>
      <c r="E73" t="s" s="0">
        <v>1901</v>
      </c>
      <c r="F73" t="s" s="0">
        <v>1902</v>
      </c>
      <c r="G73" t="s" s="0">
        <v>1903</v>
      </c>
      <c r="H73" t="s" s="0">
        <v>82</v>
      </c>
      <c r="I73" t="s" s="0">
        <v>83</v>
      </c>
      <c r="J73" t="s" s="0">
        <v>1904</v>
      </c>
      <c r="K73" t="s" s="0">
        <v>1905</v>
      </c>
      <c r="L73" t="s" s="0">
        <v>1906</v>
      </c>
      <c r="M73" t="s" s="0">
        <v>1906</v>
      </c>
      <c r="N73" t="s" s="0">
        <v>1907</v>
      </c>
      <c r="O73" t="s" s="0">
        <v>1908</v>
      </c>
      <c r="P73" t="s" s="0">
        <v>1909</v>
      </c>
      <c r="Q73" t="s" s="0">
        <v>88</v>
      </c>
      <c r="R73" t="s" s="0">
        <v>82</v>
      </c>
      <c r="S73" t="s" s="0">
        <v>82</v>
      </c>
      <c r="T73" t="s" s="0">
        <v>82</v>
      </c>
      <c r="U73" t="s" s="0">
        <v>82</v>
      </c>
      <c r="V73" t="s" s="0">
        <v>1910</v>
      </c>
      <c r="W73" t="s" s="0">
        <v>1911</v>
      </c>
      <c r="X73" t="s" s="0">
        <v>82</v>
      </c>
      <c r="Y73" t="s" s="0">
        <v>82</v>
      </c>
      <c r="Z73" t="s" s="0">
        <v>91</v>
      </c>
      <c r="AA73" t="s" s="0">
        <v>92</v>
      </c>
      <c r="AB73" t="s" s="0">
        <v>82</v>
      </c>
      <c r="AC73" t="s" s="0">
        <v>82</v>
      </c>
      <c r="AD73" t="s" s="0">
        <v>82</v>
      </c>
      <c r="AE73" t="s" s="0">
        <v>82</v>
      </c>
      <c r="AF73" t="s" s="0">
        <v>82</v>
      </c>
      <c r="AG73" t="s" s="0">
        <v>1912</v>
      </c>
      <c r="AH73" t="s" s="0">
        <v>82</v>
      </c>
      <c r="AI73" t="s" s="0">
        <v>1913</v>
      </c>
      <c r="AJ73" t="s" s="0">
        <v>1914</v>
      </c>
      <c r="AK73" t="s" s="0">
        <v>82</v>
      </c>
      <c r="AL73" t="s" s="0">
        <v>342</v>
      </c>
      <c r="AM73" t="s" s="0">
        <v>485</v>
      </c>
      <c r="AN73" t="s" s="0">
        <v>1915</v>
      </c>
      <c r="AO73" t="s" s="0">
        <v>229</v>
      </c>
      <c r="AP73" t="s" s="0">
        <v>1916</v>
      </c>
      <c r="AQ73" t="s" s="0">
        <v>133</v>
      </c>
      <c r="AR73" t="s" s="0">
        <v>134</v>
      </c>
      <c r="AS73" t="s" s="0">
        <v>135</v>
      </c>
      <c r="AT73" t="s" s="0">
        <v>1917</v>
      </c>
      <c r="AU73" t="s" s="0">
        <v>1918</v>
      </c>
      <c r="AV73" t="s" s="0">
        <v>82</v>
      </c>
      <c r="AW73" t="s" s="0">
        <v>1919</v>
      </c>
      <c r="AX73" t="s" s="0">
        <v>1920</v>
      </c>
      <c r="AY73" t="s" s="0">
        <v>1921</v>
      </c>
      <c r="AZ73" t="s" s="0">
        <v>341</v>
      </c>
      <c r="BA73" t="s" s="0">
        <v>1369</v>
      </c>
      <c r="BB73" t="s" s="0">
        <v>264</v>
      </c>
      <c r="BC73" t="s" s="0">
        <v>82</v>
      </c>
      <c r="BD73" t="s" s="0">
        <v>82</v>
      </c>
      <c r="BE73" t="s" s="0">
        <v>82</v>
      </c>
      <c r="BF73" t="s" s="0">
        <v>82</v>
      </c>
      <c r="BG73" t="s" s="0">
        <v>82</v>
      </c>
      <c r="BH73" t="s" s="0">
        <v>82</v>
      </c>
      <c r="BI73" t="s" s="0">
        <v>82</v>
      </c>
      <c r="BJ73" t="s" s="0">
        <v>1922</v>
      </c>
      <c r="BK73" t="s" s="143">
        <f>HYPERLINK("http://dx.doi.org/10.1111/bpa.13207","http://dx.doi.org/10.1111/bpa.13207")</f>
        <v>1923</v>
      </c>
      <c r="BL73" t="s" s="0">
        <v>82</v>
      </c>
      <c r="BM73" t="s" s="0">
        <v>1924</v>
      </c>
      <c r="BN73" t="s" s="0">
        <v>169</v>
      </c>
      <c r="BO73" t="s" s="0">
        <v>1925</v>
      </c>
      <c r="BP73" t="s" s="0">
        <v>1926</v>
      </c>
      <c r="BQ73" t="s" s="0">
        <v>1927</v>
      </c>
      <c r="BR73" t="s" s="0">
        <v>1928</v>
      </c>
      <c r="BS73" t="s" s="0">
        <v>1929</v>
      </c>
      <c r="BT73" t="s" s="144">
        <f>HYPERLINK("https://www.webofscience.com/wos/woscc/full-record/WOS:001044510300001","View Record in Web of Science")</f>
        <v>118</v>
      </c>
      <c r="BU73" t="s" s="0">
        <v>187</v>
      </c>
      <c r="BV73" t="s" s="0">
        <v>82</v>
      </c>
      <c r="BW73" t="s" s="0">
        <v>82</v>
      </c>
      <c r="BX73" t="s" s="0">
        <v>119</v>
      </c>
    </row>
    <row r="74">
      <c r="A74" t="s" s="0">
        <v>77</v>
      </c>
      <c r="B74" t="s" s="0">
        <v>77</v>
      </c>
      <c r="C74" t="s" s="0">
        <v>77</v>
      </c>
      <c r="D74" t="s" s="0">
        <v>77</v>
      </c>
      <c r="E74" t="s" s="0">
        <v>1930</v>
      </c>
      <c r="F74" t="s" s="0">
        <v>1931</v>
      </c>
      <c r="G74" t="s" s="0">
        <v>1932</v>
      </c>
      <c r="H74" t="s" s="0">
        <v>82</v>
      </c>
      <c r="I74" t="s" s="0">
        <v>595</v>
      </c>
      <c r="J74" t="s" s="0">
        <v>1933</v>
      </c>
      <c r="K74" t="s" s="0">
        <v>1934</v>
      </c>
      <c r="L74" t="s" s="0">
        <v>82</v>
      </c>
      <c r="M74" t="s" s="0">
        <v>82</v>
      </c>
      <c r="N74" t="s" s="0">
        <v>82</v>
      </c>
      <c r="O74" t="s" s="0">
        <v>1935</v>
      </c>
      <c r="P74" t="s" s="0">
        <v>1936</v>
      </c>
      <c r="Q74" t="s" s="0">
        <v>88</v>
      </c>
      <c r="R74" t="s" s="0">
        <v>82</v>
      </c>
      <c r="S74" t="s" s="0">
        <v>82</v>
      </c>
      <c r="T74" t="s" s="0">
        <v>82</v>
      </c>
      <c r="U74" t="s" s="0">
        <v>82</v>
      </c>
      <c r="V74" t="s" s="0">
        <v>1937</v>
      </c>
      <c r="W74" t="s" s="0">
        <v>1938</v>
      </c>
      <c r="X74" t="s" s="0">
        <v>82</v>
      </c>
      <c r="Y74" t="s" s="0">
        <v>82</v>
      </c>
      <c r="Z74" t="s" s="0">
        <v>91</v>
      </c>
      <c r="AA74" t="s" s="0">
        <v>92</v>
      </c>
      <c r="AB74" t="s" s="0">
        <v>82</v>
      </c>
      <c r="AC74" t="s" s="0">
        <v>82</v>
      </c>
      <c r="AD74" t="s" s="0">
        <v>82</v>
      </c>
      <c r="AE74" t="s" s="0">
        <v>82</v>
      </c>
      <c r="AF74" t="s" s="0">
        <v>82</v>
      </c>
      <c r="AG74" t="s" s="0">
        <v>1939</v>
      </c>
      <c r="AH74" t="s" s="0">
        <v>82</v>
      </c>
      <c r="AI74" t="s" s="0">
        <v>1940</v>
      </c>
      <c r="AJ74" t="s" s="0">
        <v>82</v>
      </c>
      <c r="AK74" t="s" s="0">
        <v>82</v>
      </c>
      <c r="AL74" t="s" s="0">
        <v>952</v>
      </c>
      <c r="AM74" t="s" s="0">
        <v>77</v>
      </c>
      <c r="AN74" t="s" s="0">
        <v>77</v>
      </c>
      <c r="AO74" t="s" s="0">
        <v>229</v>
      </c>
      <c r="AP74" t="s" s="0">
        <v>229</v>
      </c>
      <c r="AQ74" t="s" s="0">
        <v>99</v>
      </c>
      <c r="AR74" t="s" s="0">
        <v>100</v>
      </c>
      <c r="AS74" t="s" s="0">
        <v>101</v>
      </c>
      <c r="AT74" t="s" s="0">
        <v>1941</v>
      </c>
      <c r="AU74" t="s" s="0">
        <v>1942</v>
      </c>
      <c r="AV74" t="s" s="0">
        <v>82</v>
      </c>
      <c r="AW74" t="s" s="0">
        <v>1943</v>
      </c>
      <c r="AX74" t="s" s="0">
        <v>1944</v>
      </c>
      <c r="AY74" t="s" s="0">
        <v>1945</v>
      </c>
      <c r="AZ74" t="s" s="0">
        <v>141</v>
      </c>
      <c r="BA74" t="s" s="0">
        <v>510</v>
      </c>
      <c r="BB74" t="s" s="0">
        <v>78</v>
      </c>
      <c r="BC74" t="s" s="0">
        <v>82</v>
      </c>
      <c r="BD74" t="s" s="0">
        <v>82</v>
      </c>
      <c r="BE74" t="s" s="0">
        <v>82</v>
      </c>
      <c r="BF74" t="s" s="0">
        <v>82</v>
      </c>
      <c r="BG74" t="s" s="0">
        <v>82</v>
      </c>
      <c r="BH74" t="s" s="0">
        <v>82</v>
      </c>
      <c r="BI74" t="s" s="0">
        <v>1946</v>
      </c>
      <c r="BJ74" t="s" s="0">
        <v>1947</v>
      </c>
      <c r="BK74" t="s" s="145">
        <f>HYPERLINK("http://dx.doi.org/10.1016/j.edumed.2026.101161","http://dx.doi.org/10.1016/j.edumed.2026.101161")</f>
        <v>1948</v>
      </c>
      <c r="BL74" t="s" s="0">
        <v>82</v>
      </c>
      <c r="BM74" t="s" s="0">
        <v>643</v>
      </c>
      <c r="BN74" t="s" s="0">
        <v>272</v>
      </c>
      <c r="BO74" t="s" s="0">
        <v>1897</v>
      </c>
      <c r="BP74" t="s" s="0">
        <v>1898</v>
      </c>
      <c r="BQ74" t="s" s="0">
        <v>1949</v>
      </c>
      <c r="BR74" t="s" s="0">
        <v>82</v>
      </c>
      <c r="BS74" t="s" s="0">
        <v>1950</v>
      </c>
      <c r="BT74" t="s" s="146">
        <f>HYPERLINK("https://www.webofscience.com/wos/woscc/full-record/WOS:001697104400001","View Record in Web of Science")</f>
        <v>118</v>
      </c>
      <c r="BU74" t="s" s="0">
        <v>1634</v>
      </c>
      <c r="BV74" t="s" s="0">
        <v>82</v>
      </c>
      <c r="BW74" t="s" s="0">
        <v>82</v>
      </c>
      <c r="BX74" t="s" s="0">
        <v>119</v>
      </c>
    </row>
    <row r="75">
      <c r="A75" t="s" s="0">
        <v>77</v>
      </c>
      <c r="B75" t="s" s="0">
        <v>77</v>
      </c>
      <c r="C75" t="s" s="0">
        <v>342</v>
      </c>
      <c r="D75" t="s" s="0">
        <v>77</v>
      </c>
      <c r="E75" t="s" s="0">
        <v>1951</v>
      </c>
      <c r="F75" t="s" s="0">
        <v>1952</v>
      </c>
      <c r="G75" t="s" s="0">
        <v>1953</v>
      </c>
      <c r="H75" t="s" s="0">
        <v>82</v>
      </c>
      <c r="I75" t="s" s="0">
        <v>595</v>
      </c>
      <c r="J75" t="s" s="0">
        <v>1954</v>
      </c>
      <c r="K75" t="s" s="0">
        <v>1955</v>
      </c>
      <c r="L75" t="s" s="0">
        <v>82</v>
      </c>
      <c r="M75" t="s" s="0">
        <v>82</v>
      </c>
      <c r="N75" t="s" s="0">
        <v>82</v>
      </c>
      <c r="O75" t="s" s="0">
        <v>1956</v>
      </c>
      <c r="P75" t="s" s="0">
        <v>1957</v>
      </c>
      <c r="Q75" t="s" s="0">
        <v>88</v>
      </c>
      <c r="R75" t="s" s="0">
        <v>82</v>
      </c>
      <c r="S75" t="s" s="0">
        <v>82</v>
      </c>
      <c r="T75" t="s" s="0">
        <v>82</v>
      </c>
      <c r="U75" t="s" s="0">
        <v>82</v>
      </c>
      <c r="V75" t="s" s="0">
        <v>1958</v>
      </c>
      <c r="W75" t="s" s="0">
        <v>1084</v>
      </c>
      <c r="X75" t="s" s="0">
        <v>82</v>
      </c>
      <c r="Y75" t="s" s="0">
        <v>82</v>
      </c>
      <c r="Z75" t="s" s="0">
        <v>91</v>
      </c>
      <c r="AA75" t="s" s="0">
        <v>92</v>
      </c>
      <c r="AB75" t="s" s="0">
        <v>82</v>
      </c>
      <c r="AC75" t="s" s="0">
        <v>82</v>
      </c>
      <c r="AD75" t="s" s="0">
        <v>82</v>
      </c>
      <c r="AE75" t="s" s="0">
        <v>82</v>
      </c>
      <c r="AF75" t="s" s="0">
        <v>82</v>
      </c>
      <c r="AG75" t="s" s="0">
        <v>82</v>
      </c>
      <c r="AH75" t="s" s="0">
        <v>1959</v>
      </c>
      <c r="AI75" t="s" s="0">
        <v>1960</v>
      </c>
      <c r="AJ75" t="s" s="0">
        <v>1961</v>
      </c>
      <c r="AK75" t="s" s="0">
        <v>82</v>
      </c>
      <c r="AL75" t="s" s="0">
        <v>272</v>
      </c>
      <c r="AM75" t="s" s="0">
        <v>238</v>
      </c>
      <c r="AN75" t="s" s="0">
        <v>329</v>
      </c>
      <c r="AO75" t="s" s="0">
        <v>308</v>
      </c>
      <c r="AP75" t="s" s="0">
        <v>277</v>
      </c>
      <c r="AQ75" t="s" s="0">
        <v>99</v>
      </c>
      <c r="AR75" t="s" s="0">
        <v>100</v>
      </c>
      <c r="AS75" t="s" s="0">
        <v>101</v>
      </c>
      <c r="AT75" t="s" s="0">
        <v>82</v>
      </c>
      <c r="AU75" t="s" s="0">
        <v>1088</v>
      </c>
      <c r="AV75" t="s" s="0">
        <v>82</v>
      </c>
      <c r="AW75" t="s" s="0">
        <v>1089</v>
      </c>
      <c r="AX75" t="s" s="0">
        <v>1090</v>
      </c>
      <c r="AY75" t="s" s="0">
        <v>1962</v>
      </c>
      <c r="AZ75" t="s" s="0">
        <v>341</v>
      </c>
      <c r="BA75" t="s" s="0">
        <v>78</v>
      </c>
      <c r="BB75" t="s" s="0">
        <v>78</v>
      </c>
      <c r="BC75" t="s" s="0">
        <v>82</v>
      </c>
      <c r="BD75" t="s" s="0">
        <v>82</v>
      </c>
      <c r="BE75" t="s" s="0">
        <v>82</v>
      </c>
      <c r="BF75" t="s" s="0">
        <v>82</v>
      </c>
      <c r="BG75" t="s" s="0">
        <v>1963</v>
      </c>
      <c r="BH75" t="s" s="0">
        <v>585</v>
      </c>
      <c r="BI75" t="s" s="0">
        <v>82</v>
      </c>
      <c r="BJ75" t="s" s="0">
        <v>1964</v>
      </c>
      <c r="BK75" t="s" s="147">
        <f>HYPERLINK("http://dx.doi.org/10.1016/j.mcpdig.2024.03.003","http://dx.doi.org/10.1016/j.mcpdig.2024.03.003")</f>
        <v>1965</v>
      </c>
      <c r="BL75" t="s" s="0">
        <v>82</v>
      </c>
      <c r="BM75" t="s" s="0">
        <v>1966</v>
      </c>
      <c r="BN75" t="s" s="0">
        <v>308</v>
      </c>
      <c r="BO75" t="s" s="0">
        <v>213</v>
      </c>
      <c r="BP75" t="s" s="0">
        <v>213</v>
      </c>
      <c r="BQ75" t="s" s="0">
        <v>1967</v>
      </c>
      <c r="BR75" t="s" s="0">
        <v>1968</v>
      </c>
      <c r="BS75" t="s" s="0">
        <v>1969</v>
      </c>
      <c r="BT75" t="s" s="148">
        <f>HYPERLINK("https://www.webofscience.com/wos/woscc/full-record/WOS:001546328900003","View Record in Web of Science")</f>
        <v>118</v>
      </c>
      <c r="BU75" t="s" s="0">
        <v>187</v>
      </c>
      <c r="BV75" t="s" s="0">
        <v>82</v>
      </c>
      <c r="BW75" t="s" s="0">
        <v>82</v>
      </c>
      <c r="BX75" t="s" s="0">
        <v>119</v>
      </c>
    </row>
    <row r="76">
      <c r="A76" t="s" s="0">
        <v>77</v>
      </c>
      <c r="B76" t="s" s="0">
        <v>77</v>
      </c>
      <c r="C76" t="s" s="0">
        <v>77</v>
      </c>
      <c r="D76" t="s" s="0">
        <v>77</v>
      </c>
      <c r="E76" t="s" s="0">
        <v>1970</v>
      </c>
      <c r="F76" t="s" s="0">
        <v>1971</v>
      </c>
      <c r="G76" t="s" s="0">
        <v>1972</v>
      </c>
      <c r="H76" t="s" s="0">
        <v>82</v>
      </c>
      <c r="I76" t="s" s="0">
        <v>595</v>
      </c>
      <c r="J76" t="s" s="0">
        <v>1973</v>
      </c>
      <c r="K76" t="s" s="0">
        <v>1974</v>
      </c>
      <c r="L76" t="s" s="0">
        <v>1975</v>
      </c>
      <c r="M76" t="s" s="0">
        <v>1976</v>
      </c>
      <c r="N76" t="s" s="0">
        <v>82</v>
      </c>
      <c r="O76" t="s" s="0">
        <v>1977</v>
      </c>
      <c r="P76" t="s" s="0">
        <v>1978</v>
      </c>
      <c r="Q76" t="s" s="0">
        <v>88</v>
      </c>
      <c r="R76" t="s" s="0">
        <v>82</v>
      </c>
      <c r="S76" t="s" s="0">
        <v>82</v>
      </c>
      <c r="T76" t="s" s="0">
        <v>82</v>
      </c>
      <c r="U76" t="s" s="0">
        <v>82</v>
      </c>
      <c r="V76" t="s" s="0">
        <v>1979</v>
      </c>
      <c r="W76" t="s" s="0">
        <v>1980</v>
      </c>
      <c r="X76" t="s" s="0">
        <v>82</v>
      </c>
      <c r="Y76" t="s" s="0">
        <v>82</v>
      </c>
      <c r="Z76" t="s" s="0">
        <v>91</v>
      </c>
      <c r="AA76" t="s" s="0">
        <v>526</v>
      </c>
      <c r="AB76" t="s" s="0">
        <v>82</v>
      </c>
      <c r="AC76" t="s" s="0">
        <v>82</v>
      </c>
      <c r="AD76" t="s" s="0">
        <v>82</v>
      </c>
      <c r="AE76" t="s" s="0">
        <v>82</v>
      </c>
      <c r="AF76" t="s" s="0">
        <v>82</v>
      </c>
      <c r="AG76" t="s" s="0">
        <v>1981</v>
      </c>
      <c r="AH76" t="s" s="0">
        <v>82</v>
      </c>
      <c r="AI76" t="s" s="0">
        <v>82</v>
      </c>
      <c r="AJ76" t="s" s="0">
        <v>82</v>
      </c>
      <c r="AK76" t="s" s="0">
        <v>82</v>
      </c>
      <c r="AL76" t="s" s="0">
        <v>1369</v>
      </c>
      <c r="AM76" t="s" s="0">
        <v>77</v>
      </c>
      <c r="AN76" t="s" s="0">
        <v>77</v>
      </c>
      <c r="AO76" t="s" s="0">
        <v>308</v>
      </c>
      <c r="AP76" t="s" s="0">
        <v>308</v>
      </c>
      <c r="AQ76" t="s" s="0">
        <v>550</v>
      </c>
      <c r="AR76" t="s" s="0">
        <v>739</v>
      </c>
      <c r="AS76" t="s" s="0">
        <v>740</v>
      </c>
      <c r="AT76" t="s" s="0">
        <v>1982</v>
      </c>
      <c r="AU76" t="s" s="0">
        <v>1983</v>
      </c>
      <c r="AV76" t="s" s="0">
        <v>82</v>
      </c>
      <c r="AW76" t="s" s="0">
        <v>1984</v>
      </c>
      <c r="AX76" t="s" s="0">
        <v>1985</v>
      </c>
      <c r="AY76" t="s" s="0">
        <v>82</v>
      </c>
      <c r="AZ76" t="s" s="0">
        <v>141</v>
      </c>
      <c r="BA76" t="s" s="0">
        <v>82</v>
      </c>
      <c r="BB76" t="s" s="0">
        <v>82</v>
      </c>
      <c r="BC76" t="s" s="0">
        <v>82</v>
      </c>
      <c r="BD76" t="s" s="0">
        <v>82</v>
      </c>
      <c r="BE76" t="s" s="0">
        <v>82</v>
      </c>
      <c r="BF76" t="s" s="0">
        <v>82</v>
      </c>
      <c r="BG76" t="s" s="0">
        <v>82</v>
      </c>
      <c r="BH76" t="s" s="0">
        <v>82</v>
      </c>
      <c r="BI76" t="s" s="0">
        <v>82</v>
      </c>
      <c r="BJ76" t="s" s="0">
        <v>1986</v>
      </c>
      <c r="BK76" t="s" s="149">
        <f>HYPERLINK("http://dx.doi.org/10.1007/s10912-026-10019-4","http://dx.doi.org/10.1007/s10912-026-10019-4")</f>
        <v>1987</v>
      </c>
      <c r="BL76" t="s" s="0">
        <v>82</v>
      </c>
      <c r="BM76" t="s" s="0">
        <v>562</v>
      </c>
      <c r="BN76" t="s" s="0">
        <v>425</v>
      </c>
      <c r="BO76" t="s" s="0">
        <v>1988</v>
      </c>
      <c r="BP76" t="s" s="0">
        <v>1989</v>
      </c>
      <c r="BQ76" t="s" s="0">
        <v>1990</v>
      </c>
      <c r="BR76" t="s" s="0">
        <v>1991</v>
      </c>
      <c r="BS76" t="s" s="0">
        <v>1992</v>
      </c>
      <c r="BT76" t="s" s="150">
        <f>HYPERLINK("https://www.webofscience.com/wos/woscc/full-record/WOS:001713978500001","View Record in Web of Science")</f>
        <v>118</v>
      </c>
      <c r="BU76" t="s" s="0">
        <v>82</v>
      </c>
      <c r="BV76" t="s" s="0">
        <v>82</v>
      </c>
      <c r="BW76" t="s" s="0">
        <v>82</v>
      </c>
      <c r="BX76" t="s" s="0">
        <v>119</v>
      </c>
    </row>
    <row r="77">
      <c r="A77" t="s" s="0">
        <v>78</v>
      </c>
      <c r="B77" t="s" s="0">
        <v>77</v>
      </c>
      <c r="C77" t="s" s="0">
        <v>229</v>
      </c>
      <c r="D77" t="s" s="0">
        <v>77</v>
      </c>
      <c r="E77" t="s" s="0">
        <v>1993</v>
      </c>
      <c r="F77" t="s" s="0">
        <v>1994</v>
      </c>
      <c r="G77" t="s" s="0">
        <v>1995</v>
      </c>
      <c r="H77" t="s" s="0">
        <v>82</v>
      </c>
      <c r="I77" t="s" s="0">
        <v>83</v>
      </c>
      <c r="J77" t="s" s="0">
        <v>1996</v>
      </c>
      <c r="K77" t="s" s="0">
        <v>1997</v>
      </c>
      <c r="L77" t="s" s="0">
        <v>82</v>
      </c>
      <c r="M77" t="s" s="0">
        <v>82</v>
      </c>
      <c r="N77" t="s" s="0">
        <v>82</v>
      </c>
      <c r="O77" t="s" s="0">
        <v>1998</v>
      </c>
      <c r="P77" t="s" s="0">
        <v>1999</v>
      </c>
      <c r="Q77" t="s" s="0">
        <v>88</v>
      </c>
      <c r="R77" t="s" s="0">
        <v>82</v>
      </c>
      <c r="S77" t="s" s="0">
        <v>82</v>
      </c>
      <c r="T77" t="s" s="0">
        <v>82</v>
      </c>
      <c r="U77" t="s" s="0">
        <v>82</v>
      </c>
      <c r="V77" t="s" s="0">
        <v>2000</v>
      </c>
      <c r="W77" t="s" s="0">
        <v>261</v>
      </c>
      <c r="X77" t="s" s="0">
        <v>82</v>
      </c>
      <c r="Y77" t="s" s="0">
        <v>82</v>
      </c>
      <c r="Z77" t="s" s="0">
        <v>91</v>
      </c>
      <c r="AA77" t="s" s="0">
        <v>92</v>
      </c>
      <c r="AB77" t="s" s="0">
        <v>82</v>
      </c>
      <c r="AC77" t="s" s="0">
        <v>82</v>
      </c>
      <c r="AD77" t="s" s="0">
        <v>82</v>
      </c>
      <c r="AE77" t="s" s="0">
        <v>82</v>
      </c>
      <c r="AF77" t="s" s="0">
        <v>82</v>
      </c>
      <c r="AG77" t="s" s="0">
        <v>82</v>
      </c>
      <c r="AH77" t="s" s="0">
        <v>2001</v>
      </c>
      <c r="AI77" t="s" s="0">
        <v>2002</v>
      </c>
      <c r="AJ77" t="s" s="0">
        <v>2003</v>
      </c>
      <c r="AK77" t="s" s="0">
        <v>82</v>
      </c>
      <c r="AL77" t="s" s="0">
        <v>369</v>
      </c>
      <c r="AM77" t="s" s="0">
        <v>181</v>
      </c>
      <c r="AN77" t="s" s="0">
        <v>790</v>
      </c>
      <c r="AO77" t="s" s="0">
        <v>368</v>
      </c>
      <c r="AP77" t="s" s="0">
        <v>508</v>
      </c>
      <c r="AQ77" t="s" s="0">
        <v>265</v>
      </c>
      <c r="AR77" t="s" s="0">
        <v>266</v>
      </c>
      <c r="AS77" t="s" s="0">
        <v>267</v>
      </c>
      <c r="AT77" t="s" s="0">
        <v>268</v>
      </c>
      <c r="AU77" t="s" s="0">
        <v>82</v>
      </c>
      <c r="AV77" t="s" s="0">
        <v>82</v>
      </c>
      <c r="AW77" t="s" s="0">
        <v>269</v>
      </c>
      <c r="AX77" t="s" s="0">
        <v>270</v>
      </c>
      <c r="AY77" t="s" s="0">
        <v>2004</v>
      </c>
      <c r="AZ77" t="s" s="0">
        <v>107</v>
      </c>
      <c r="BA77" t="s" s="0">
        <v>244</v>
      </c>
      <c r="BB77" t="s" s="0">
        <v>229</v>
      </c>
      <c r="BC77" t="s" s="0">
        <v>82</v>
      </c>
      <c r="BD77" t="s" s="0">
        <v>82</v>
      </c>
      <c r="BE77" t="s" s="0">
        <v>82</v>
      </c>
      <c r="BF77" t="s" s="0">
        <v>82</v>
      </c>
      <c r="BG77" t="s" s="0">
        <v>82</v>
      </c>
      <c r="BH77" t="s" s="0">
        <v>82</v>
      </c>
      <c r="BI77" t="s" s="0">
        <v>2005</v>
      </c>
      <c r="BJ77" t="s" s="0">
        <v>2006</v>
      </c>
      <c r="BK77" t="s" s="151">
        <f>HYPERLINK("http://dx.doi.org/10.1038/s41746-025-01845-2","http://dx.doi.org/10.1038/s41746-025-01845-2")</f>
        <v>2007</v>
      </c>
      <c r="BL77" t="s" s="0">
        <v>82</v>
      </c>
      <c r="BM77" t="s" s="0">
        <v>82</v>
      </c>
      <c r="BN77" t="s" s="0">
        <v>346</v>
      </c>
      <c r="BO77" t="s" s="0">
        <v>213</v>
      </c>
      <c r="BP77" t="s" s="0">
        <v>213</v>
      </c>
      <c r="BQ77" t="s" s="0">
        <v>2008</v>
      </c>
      <c r="BR77" t="s" s="0">
        <v>2009</v>
      </c>
      <c r="BS77" t="s" s="0">
        <v>2010</v>
      </c>
      <c r="BT77" t="s" s="152">
        <f>HYPERLINK("https://www.webofscience.com/wos/woscc/full-record/WOS:001532812700003","View Record in Web of Science")</f>
        <v>118</v>
      </c>
      <c r="BU77" t="s" s="0">
        <v>187</v>
      </c>
      <c r="BV77" t="s" s="0">
        <v>82</v>
      </c>
      <c r="BW77" t="s" s="0">
        <v>82</v>
      </c>
      <c r="BX77" t="s" s="0">
        <v>119</v>
      </c>
    </row>
    <row r="78">
      <c r="A78" t="s" s="0">
        <v>77</v>
      </c>
      <c r="B78" t="s" s="0">
        <v>77</v>
      </c>
      <c r="C78" t="s" s="0">
        <v>77</v>
      </c>
      <c r="D78" t="s" s="0">
        <v>77</v>
      </c>
      <c r="E78" t="s" s="0">
        <v>2011</v>
      </c>
      <c r="F78" t="s" s="0">
        <v>2012</v>
      </c>
      <c r="G78" t="s" s="0">
        <v>2013</v>
      </c>
      <c r="H78" t="s" s="0">
        <v>82</v>
      </c>
      <c r="I78" t="s" s="0">
        <v>595</v>
      </c>
      <c r="J78" t="s" s="0">
        <v>2014</v>
      </c>
      <c r="K78" t="s" s="0">
        <v>2015</v>
      </c>
      <c r="L78" t="s" s="0">
        <v>2016</v>
      </c>
      <c r="M78" t="s" s="0">
        <v>2016</v>
      </c>
      <c r="N78" t="s" s="0">
        <v>2017</v>
      </c>
      <c r="O78" t="s" s="0">
        <v>2018</v>
      </c>
      <c r="P78" t="s" s="0">
        <v>2019</v>
      </c>
      <c r="Q78" t="s" s="0">
        <v>88</v>
      </c>
      <c r="R78" t="s" s="0">
        <v>82</v>
      </c>
      <c r="S78" t="s" s="0">
        <v>82</v>
      </c>
      <c r="T78" t="s" s="0">
        <v>82</v>
      </c>
      <c r="U78" t="s" s="0">
        <v>82</v>
      </c>
      <c r="V78" t="s" s="0">
        <v>2020</v>
      </c>
      <c r="W78" t="s" s="0">
        <v>2021</v>
      </c>
      <c r="X78" t="s" s="0">
        <v>82</v>
      </c>
      <c r="Y78" t="s" s="0">
        <v>82</v>
      </c>
      <c r="Z78" t="s" s="0">
        <v>91</v>
      </c>
      <c r="AA78" t="s" s="0">
        <v>92</v>
      </c>
      <c r="AB78" t="s" s="0">
        <v>82</v>
      </c>
      <c r="AC78" t="s" s="0">
        <v>82</v>
      </c>
      <c r="AD78" t="s" s="0">
        <v>82</v>
      </c>
      <c r="AE78" t="s" s="0">
        <v>82</v>
      </c>
      <c r="AF78" t="s" s="0">
        <v>82</v>
      </c>
      <c r="AG78" t="s" s="0">
        <v>2022</v>
      </c>
      <c r="AH78" t="s" s="0">
        <v>2023</v>
      </c>
      <c r="AI78" t="s" s="0">
        <v>2024</v>
      </c>
      <c r="AJ78" t="s" s="0">
        <v>82</v>
      </c>
      <c r="AK78" t="s" s="0">
        <v>82</v>
      </c>
      <c r="AL78" t="s" s="0">
        <v>177</v>
      </c>
      <c r="AM78" t="s" s="0">
        <v>78</v>
      </c>
      <c r="AN78" t="s" s="0">
        <v>78</v>
      </c>
      <c r="AO78" t="s" s="0">
        <v>78</v>
      </c>
      <c r="AP78" t="s" s="0">
        <v>132</v>
      </c>
      <c r="AQ78" t="s" s="0">
        <v>2025</v>
      </c>
      <c r="AR78" t="s" s="0">
        <v>605</v>
      </c>
      <c r="AS78" t="s" s="0">
        <v>2026</v>
      </c>
      <c r="AT78" t="s" s="0">
        <v>2027</v>
      </c>
      <c r="AU78" t="s" s="0">
        <v>2028</v>
      </c>
      <c r="AV78" t="s" s="0">
        <v>82</v>
      </c>
      <c r="AW78" t="s" s="0">
        <v>2029</v>
      </c>
      <c r="AX78" t="s" s="0">
        <v>2030</v>
      </c>
      <c r="AY78" t="s" s="0">
        <v>2031</v>
      </c>
      <c r="AZ78" t="s" s="0">
        <v>107</v>
      </c>
      <c r="BA78" t="s" s="0">
        <v>272</v>
      </c>
      <c r="BB78" t="s" s="0">
        <v>229</v>
      </c>
      <c r="BC78" t="s" s="0">
        <v>82</v>
      </c>
      <c r="BD78" t="s" s="0">
        <v>82</v>
      </c>
      <c r="BE78" t="s" s="0">
        <v>82</v>
      </c>
      <c r="BF78" t="s" s="0">
        <v>82</v>
      </c>
      <c r="BG78" t="s" s="0">
        <v>2032</v>
      </c>
      <c r="BH78" t="s" s="0">
        <v>638</v>
      </c>
      <c r="BI78" t="s" s="0">
        <v>82</v>
      </c>
      <c r="BJ78" t="s" s="0">
        <v>2033</v>
      </c>
      <c r="BK78" t="s" s="153">
        <f>HYPERLINK("http://dx.doi.org/10.1007/s41666-024-00178-1","http://dx.doi.org/10.1007/s41666-024-00178-1")</f>
        <v>2034</v>
      </c>
      <c r="BL78" t="s" s="0">
        <v>82</v>
      </c>
      <c r="BM78" t="s" s="0">
        <v>2035</v>
      </c>
      <c r="BN78" t="s" s="0">
        <v>176</v>
      </c>
      <c r="BO78" t="s" s="0">
        <v>1727</v>
      </c>
      <c r="BP78" t="s" s="0">
        <v>1728</v>
      </c>
      <c r="BQ78" t="s" s="0">
        <v>2036</v>
      </c>
      <c r="BR78" t="s" s="0">
        <v>2037</v>
      </c>
      <c r="BS78" t="s" s="0">
        <v>2038</v>
      </c>
      <c r="BT78" t="s" s="154">
        <f>HYPERLINK("https://www.webofscience.com/wos/woscc/full-record/WOS:001361419000001","View Record in Web of Science")</f>
        <v>118</v>
      </c>
      <c r="BU78" t="s" s="0">
        <v>152</v>
      </c>
      <c r="BV78" t="s" s="0">
        <v>82</v>
      </c>
      <c r="BW78" t="s" s="0">
        <v>82</v>
      </c>
      <c r="BX78" t="s" s="0">
        <v>119</v>
      </c>
    </row>
    <row r="79">
      <c r="A79" t="s" s="0">
        <v>77</v>
      </c>
      <c r="B79" t="s" s="0">
        <v>77</v>
      </c>
      <c r="C79" t="s" s="0">
        <v>77</v>
      </c>
      <c r="D79" t="s" s="0">
        <v>77</v>
      </c>
      <c r="E79" t="s" s="0">
        <v>2039</v>
      </c>
      <c r="F79" t="s" s="0">
        <v>2040</v>
      </c>
      <c r="G79" t="s" s="0">
        <v>2041</v>
      </c>
      <c r="H79" t="s" s="0">
        <v>82</v>
      </c>
      <c r="I79" t="s" s="0">
        <v>595</v>
      </c>
      <c r="J79" t="s" s="0">
        <v>2042</v>
      </c>
      <c r="K79" t="s" s="0">
        <v>2043</v>
      </c>
      <c r="L79" t="s" s="0">
        <v>2044</v>
      </c>
      <c r="M79" t="s" s="0">
        <v>2045</v>
      </c>
      <c r="N79" t="s" s="0">
        <v>2046</v>
      </c>
      <c r="O79" t="s" s="0">
        <v>2047</v>
      </c>
      <c r="P79" t="s" s="0">
        <v>2048</v>
      </c>
      <c r="Q79" t="s" s="0">
        <v>88</v>
      </c>
      <c r="R79" t="s" s="0">
        <v>82</v>
      </c>
      <c r="S79" t="s" s="0">
        <v>82</v>
      </c>
      <c r="T79" t="s" s="0">
        <v>82</v>
      </c>
      <c r="U79" t="s" s="0">
        <v>82</v>
      </c>
      <c r="V79" t="s" s="0">
        <v>2049</v>
      </c>
      <c r="W79" t="s" s="0">
        <v>2050</v>
      </c>
      <c r="X79" t="s" s="0">
        <v>82</v>
      </c>
      <c r="Y79" t="s" s="0">
        <v>82</v>
      </c>
      <c r="Z79" t="s" s="0">
        <v>91</v>
      </c>
      <c r="AA79" t="s" s="0">
        <v>92</v>
      </c>
      <c r="AB79" t="s" s="0">
        <v>82</v>
      </c>
      <c r="AC79" t="s" s="0">
        <v>82</v>
      </c>
      <c r="AD79" t="s" s="0">
        <v>82</v>
      </c>
      <c r="AE79" t="s" s="0">
        <v>82</v>
      </c>
      <c r="AF79" t="s" s="0">
        <v>82</v>
      </c>
      <c r="AG79" t="s" s="0">
        <v>2051</v>
      </c>
      <c r="AH79" t="s" s="0">
        <v>2052</v>
      </c>
      <c r="AI79" t="s" s="0">
        <v>2053</v>
      </c>
      <c r="AJ79" t="s" s="0">
        <v>82</v>
      </c>
      <c r="AK79" t="s" s="0">
        <v>82</v>
      </c>
      <c r="AL79" t="s" s="0">
        <v>1309</v>
      </c>
      <c r="AM79" t="s" s="0">
        <v>77</v>
      </c>
      <c r="AN79" t="s" s="0">
        <v>77</v>
      </c>
      <c r="AO79" t="s" s="0">
        <v>77</v>
      </c>
      <c r="AP79" t="s" s="0">
        <v>77</v>
      </c>
      <c r="AQ79" t="s" s="0">
        <v>2054</v>
      </c>
      <c r="AR79" t="s" s="0">
        <v>1027</v>
      </c>
      <c r="AS79" t="s" s="0">
        <v>2055</v>
      </c>
      <c r="AT79" t="s" s="0">
        <v>82</v>
      </c>
      <c r="AU79" t="s" s="0">
        <v>2056</v>
      </c>
      <c r="AV79" t="s" s="0">
        <v>82</v>
      </c>
      <c r="AW79" t="s" s="0">
        <v>2050</v>
      </c>
      <c r="AX79" t="s" s="0">
        <v>2057</v>
      </c>
      <c r="AY79" t="s" s="0">
        <v>147</v>
      </c>
      <c r="AZ79" t="s" s="0">
        <v>141</v>
      </c>
      <c r="BA79" t="s" s="0">
        <v>272</v>
      </c>
      <c r="BB79" t="s" s="0">
        <v>264</v>
      </c>
      <c r="BC79" t="s" s="0">
        <v>82</v>
      </c>
      <c r="BD79" t="s" s="0">
        <v>82</v>
      </c>
      <c r="BE79" t="s" s="0">
        <v>82</v>
      </c>
      <c r="BF79" t="s" s="0">
        <v>82</v>
      </c>
      <c r="BG79" t="s" s="0">
        <v>82</v>
      </c>
      <c r="BH79" t="s" s="0">
        <v>82</v>
      </c>
      <c r="BI79" t="s" s="0">
        <v>2058</v>
      </c>
      <c r="BJ79" t="s" s="0">
        <v>2059</v>
      </c>
      <c r="BK79" t="s" s="155">
        <f>HYPERLINK("http://dx.doi.org/10.1093/jamiaopen/ooag080","http://dx.doi.org/10.1093/jamiaopen/ooag080")</f>
        <v>2060</v>
      </c>
      <c r="BL79" t="s" s="0">
        <v>82</v>
      </c>
      <c r="BM79" t="s" s="0">
        <v>82</v>
      </c>
      <c r="BN79" t="s" s="0">
        <v>425</v>
      </c>
      <c r="BO79" t="s" s="0">
        <v>213</v>
      </c>
      <c r="BP79" t="s" s="0">
        <v>213</v>
      </c>
      <c r="BQ79" t="s" s="0">
        <v>2061</v>
      </c>
      <c r="BR79" t="s" s="0">
        <v>2062</v>
      </c>
      <c r="BS79" t="s" s="0">
        <v>2063</v>
      </c>
      <c r="BT79" t="s" s="156">
        <f>HYPERLINK("https://www.webofscience.com/wos/woscc/full-record/WOS:001781669100001","View Record in Web of Science")</f>
        <v>118</v>
      </c>
      <c r="BU79" t="s" s="0">
        <v>2064</v>
      </c>
      <c r="BV79" t="s" s="0">
        <v>82</v>
      </c>
      <c r="BW79" t="s" s="0">
        <v>82</v>
      </c>
      <c r="BX79" t="s" s="0">
        <v>119</v>
      </c>
    </row>
    <row r="80">
      <c r="A80" t="s" s="0">
        <v>77</v>
      </c>
      <c r="B80" t="s" s="0">
        <v>77</v>
      </c>
      <c r="C80" t="s" s="0">
        <v>229</v>
      </c>
      <c r="D80" t="s" s="0">
        <v>77</v>
      </c>
      <c r="E80" t="s" s="0">
        <v>2065</v>
      </c>
      <c r="F80" t="s" s="0">
        <v>2066</v>
      </c>
      <c r="G80" t="s" s="0">
        <v>2067</v>
      </c>
      <c r="H80" t="s" s="0">
        <v>82</v>
      </c>
      <c r="I80" t="s" s="0">
        <v>83</v>
      </c>
      <c r="J80" t="s" s="0">
        <v>2068</v>
      </c>
      <c r="K80" t="s" s="0">
        <v>2069</v>
      </c>
      <c r="L80" t="s" s="0">
        <v>2070</v>
      </c>
      <c r="M80" t="s" s="0">
        <v>2071</v>
      </c>
      <c r="N80" t="s" s="0">
        <v>2072</v>
      </c>
      <c r="O80" t="s" s="0">
        <v>2073</v>
      </c>
      <c r="P80" t="s" s="0">
        <v>2074</v>
      </c>
      <c r="Q80" t="s" s="0">
        <v>88</v>
      </c>
      <c r="R80" t="s" s="0">
        <v>82</v>
      </c>
      <c r="S80" t="s" s="0">
        <v>82</v>
      </c>
      <c r="T80" t="s" s="0">
        <v>82</v>
      </c>
      <c r="U80" t="s" s="0">
        <v>82</v>
      </c>
      <c r="V80" t="s" s="0">
        <v>2075</v>
      </c>
      <c r="W80" t="s" s="0">
        <v>2076</v>
      </c>
      <c r="X80" t="s" s="0">
        <v>82</v>
      </c>
      <c r="Y80" t="s" s="0">
        <v>82</v>
      </c>
      <c r="Z80" t="s" s="0">
        <v>91</v>
      </c>
      <c r="AA80" t="s" s="0">
        <v>92</v>
      </c>
      <c r="AB80" t="s" s="0">
        <v>82</v>
      </c>
      <c r="AC80" t="s" s="0">
        <v>82</v>
      </c>
      <c r="AD80" t="s" s="0">
        <v>82</v>
      </c>
      <c r="AE80" t="s" s="0">
        <v>82</v>
      </c>
      <c r="AF80" t="s" s="0">
        <v>82</v>
      </c>
      <c r="AG80" t="s" s="0">
        <v>2077</v>
      </c>
      <c r="AH80" t="s" s="0">
        <v>82</v>
      </c>
      <c r="AI80" t="s" s="0">
        <v>2078</v>
      </c>
      <c r="AJ80" t="s" s="0">
        <v>2079</v>
      </c>
      <c r="AK80" t="s" s="0">
        <v>82</v>
      </c>
      <c r="AL80" t="s" s="0">
        <v>177</v>
      </c>
      <c r="AM80" t="s" s="0">
        <v>132</v>
      </c>
      <c r="AN80" t="s" s="0">
        <v>132</v>
      </c>
      <c r="AO80" t="s" s="0">
        <v>169</v>
      </c>
      <c r="AP80" t="s" s="0">
        <v>342</v>
      </c>
      <c r="AQ80" t="s" s="0">
        <v>99</v>
      </c>
      <c r="AR80" t="s" s="0">
        <v>100</v>
      </c>
      <c r="AS80" t="s" s="0">
        <v>101</v>
      </c>
      <c r="AT80" t="s" s="0">
        <v>2080</v>
      </c>
      <c r="AU80" t="s" s="0">
        <v>2081</v>
      </c>
      <c r="AV80" t="s" s="0">
        <v>82</v>
      </c>
      <c r="AW80" t="s" s="0">
        <v>2082</v>
      </c>
      <c r="AX80" t="s" s="0">
        <v>2083</v>
      </c>
      <c r="AY80" t="s" s="0">
        <v>302</v>
      </c>
      <c r="AZ80" t="s" s="0">
        <v>107</v>
      </c>
      <c r="BA80" t="s" s="0">
        <v>420</v>
      </c>
      <c r="BB80" t="s" s="0">
        <v>308</v>
      </c>
      <c r="BC80" t="s" s="0">
        <v>82</v>
      </c>
      <c r="BD80" t="s" s="0">
        <v>82</v>
      </c>
      <c r="BE80" t="s" s="0">
        <v>82</v>
      </c>
      <c r="BF80" t="s" s="0">
        <v>82</v>
      </c>
      <c r="BG80" t="s" s="0">
        <v>82</v>
      </c>
      <c r="BH80" t="s" s="0">
        <v>82</v>
      </c>
      <c r="BI80" t="s" s="0">
        <v>2084</v>
      </c>
      <c r="BJ80" t="s" s="0">
        <v>2085</v>
      </c>
      <c r="BK80" t="s" s="157">
        <f>HYPERLINK("http://dx.doi.org/10.1016/j.identj.2025.103910","http://dx.doi.org/10.1016/j.identj.2025.103910")</f>
        <v>2086</v>
      </c>
      <c r="BL80" t="s" s="0">
        <v>82</v>
      </c>
      <c r="BM80" t="s" s="0">
        <v>688</v>
      </c>
      <c r="BN80" t="s" s="0">
        <v>98</v>
      </c>
      <c r="BO80" t="s" s="0">
        <v>588</v>
      </c>
      <c r="BP80" t="s" s="0">
        <v>588</v>
      </c>
      <c r="BQ80" t="s" s="0">
        <v>2087</v>
      </c>
      <c r="BR80" t="s" s="0">
        <v>2088</v>
      </c>
      <c r="BS80" t="s" s="0">
        <v>2089</v>
      </c>
      <c r="BT80" t="s" s="158">
        <f>HYPERLINK("https://www.webofscience.com/wos/woscc/full-record/WOS:001575360000001","View Record in Web of Science")</f>
        <v>118</v>
      </c>
      <c r="BU80" t="s" s="0">
        <v>187</v>
      </c>
      <c r="BV80" t="s" s="0">
        <v>82</v>
      </c>
      <c r="BW80" t="s" s="0">
        <v>82</v>
      </c>
      <c r="BX80" t="s" s="0">
        <v>119</v>
      </c>
    </row>
    <row r="81">
      <c r="A81" t="s" s="0">
        <v>77</v>
      </c>
      <c r="B81" t="s" s="0">
        <v>77</v>
      </c>
      <c r="C81" t="s" s="0">
        <v>229</v>
      </c>
      <c r="D81" t="s" s="0">
        <v>77</v>
      </c>
      <c r="E81" t="s" s="0">
        <v>2090</v>
      </c>
      <c r="F81" t="s" s="0">
        <v>2091</v>
      </c>
      <c r="G81" t="s" s="0">
        <v>2092</v>
      </c>
      <c r="H81" t="s" s="0">
        <v>82</v>
      </c>
      <c r="I81" t="s" s="0">
        <v>595</v>
      </c>
      <c r="J81" t="s" s="0">
        <v>2093</v>
      </c>
      <c r="K81" t="s" s="0">
        <v>2094</v>
      </c>
      <c r="L81" t="s" s="0">
        <v>2095</v>
      </c>
      <c r="M81" t="s" s="0">
        <v>2096</v>
      </c>
      <c r="N81" t="s" s="0">
        <v>2097</v>
      </c>
      <c r="O81" t="s" s="0">
        <v>2098</v>
      </c>
      <c r="P81" t="s" s="0">
        <v>2099</v>
      </c>
      <c r="Q81" t="s" s="0">
        <v>88</v>
      </c>
      <c r="R81" t="s" s="0">
        <v>82</v>
      </c>
      <c r="S81" t="s" s="0">
        <v>82</v>
      </c>
      <c r="T81" t="s" s="0">
        <v>82</v>
      </c>
      <c r="U81" t="s" s="0">
        <v>82</v>
      </c>
      <c r="V81" t="s" s="0">
        <v>2100</v>
      </c>
      <c r="W81" t="s" s="0">
        <v>2101</v>
      </c>
      <c r="X81" t="s" s="0">
        <v>82</v>
      </c>
      <c r="Y81" t="s" s="0">
        <v>82</v>
      </c>
      <c r="Z81" t="s" s="0">
        <v>91</v>
      </c>
      <c r="AA81" t="s" s="0">
        <v>92</v>
      </c>
      <c r="AB81" t="s" s="0">
        <v>82</v>
      </c>
      <c r="AC81" t="s" s="0">
        <v>82</v>
      </c>
      <c r="AD81" t="s" s="0">
        <v>82</v>
      </c>
      <c r="AE81" t="s" s="0">
        <v>82</v>
      </c>
      <c r="AF81" t="s" s="0">
        <v>82</v>
      </c>
      <c r="AG81" t="s" s="0">
        <v>82</v>
      </c>
      <c r="AH81" t="s" s="0">
        <v>2102</v>
      </c>
      <c r="AI81" t="s" s="0">
        <v>2103</v>
      </c>
      <c r="AJ81" t="s" s="0">
        <v>2104</v>
      </c>
      <c r="AK81" t="s" s="0">
        <v>82</v>
      </c>
      <c r="AL81" t="s" s="0">
        <v>746</v>
      </c>
      <c r="AM81" t="s" s="0">
        <v>98</v>
      </c>
      <c r="AN81" t="s" s="0">
        <v>244</v>
      </c>
      <c r="AO81" t="s" s="0">
        <v>77</v>
      </c>
      <c r="AP81" t="s" s="0">
        <v>77</v>
      </c>
      <c r="AQ81" t="s" s="0">
        <v>2025</v>
      </c>
      <c r="AR81" t="s" s="0">
        <v>605</v>
      </c>
      <c r="AS81" t="s" s="0">
        <v>2105</v>
      </c>
      <c r="AT81" t="s" s="0">
        <v>82</v>
      </c>
      <c r="AU81" t="s" s="0">
        <v>2106</v>
      </c>
      <c r="AV81" t="s" s="0">
        <v>82</v>
      </c>
      <c r="AW81" t="s" s="0">
        <v>2107</v>
      </c>
      <c r="AX81" t="s" s="0">
        <v>2108</v>
      </c>
      <c r="AY81" t="s" s="0">
        <v>2109</v>
      </c>
      <c r="AZ81" t="s" s="0">
        <v>107</v>
      </c>
      <c r="BA81" t="s" s="0">
        <v>169</v>
      </c>
      <c r="BB81" t="s" s="0">
        <v>229</v>
      </c>
      <c r="BC81" t="s" s="0">
        <v>82</v>
      </c>
      <c r="BD81" t="s" s="0">
        <v>82</v>
      </c>
      <c r="BE81" t="s" s="0">
        <v>82</v>
      </c>
      <c r="BF81" t="s" s="0">
        <v>82</v>
      </c>
      <c r="BG81" t="s" s="0">
        <v>82</v>
      </c>
      <c r="BH81" t="s" s="0">
        <v>82</v>
      </c>
      <c r="BI81" t="s" s="0">
        <v>239</v>
      </c>
      <c r="BJ81" t="s" s="0">
        <v>2110</v>
      </c>
      <c r="BK81" t="s" s="159">
        <f>HYPERLINK("http://dx.doi.org/10.1038/s44184-024-00114-6","http://dx.doi.org/10.1038/s44184-024-00114-6")</f>
        <v>2111</v>
      </c>
      <c r="BL81" t="s" s="0">
        <v>82</v>
      </c>
      <c r="BM81" t="s" s="0">
        <v>82</v>
      </c>
      <c r="BN81" t="s" s="0">
        <v>342</v>
      </c>
      <c r="BO81" t="s" s="0">
        <v>1780</v>
      </c>
      <c r="BP81" t="s" s="0">
        <v>1780</v>
      </c>
      <c r="BQ81" t="s" s="0">
        <v>2112</v>
      </c>
      <c r="BR81" t="s" s="0">
        <v>2113</v>
      </c>
      <c r="BS81" t="s" s="0">
        <v>2114</v>
      </c>
      <c r="BT81" t="s" s="160">
        <f>HYPERLINK("https://www.webofscience.com/wos/woscc/full-record/WOS:001592611900001","View Record in Web of Science")</f>
        <v>118</v>
      </c>
      <c r="BU81" t="s" s="0">
        <v>187</v>
      </c>
      <c r="BV81" t="s" s="0">
        <v>82</v>
      </c>
      <c r="BW81" t="s" s="0">
        <v>82</v>
      </c>
      <c r="BX81" t="s" s="0">
        <v>119</v>
      </c>
    </row>
    <row r="82">
      <c r="A82" t="s" s="0">
        <v>77</v>
      </c>
      <c r="B82" t="s" s="0">
        <v>77</v>
      </c>
      <c r="C82" t="s" s="0">
        <v>77</v>
      </c>
      <c r="D82" t="s" s="0">
        <v>77</v>
      </c>
      <c r="E82" t="s" s="0">
        <v>2115</v>
      </c>
      <c r="F82" t="s" s="0">
        <v>2116</v>
      </c>
      <c r="G82" t="s" s="0">
        <v>2117</v>
      </c>
      <c r="H82" t="s" s="0">
        <v>82</v>
      </c>
      <c r="I82" t="s" s="0">
        <v>83</v>
      </c>
      <c r="J82" t="s" s="0">
        <v>2118</v>
      </c>
      <c r="K82" t="s" s="0">
        <v>2119</v>
      </c>
      <c r="L82" t="s" s="0">
        <v>2120</v>
      </c>
      <c r="M82" t="s" s="0">
        <v>2121</v>
      </c>
      <c r="N82" t="s" s="0">
        <v>2122</v>
      </c>
      <c r="O82" t="s" s="0">
        <v>2123</v>
      </c>
      <c r="P82" t="s" s="0">
        <v>2124</v>
      </c>
      <c r="Q82" t="s" s="0">
        <v>88</v>
      </c>
      <c r="R82" t="s" s="0">
        <v>82</v>
      </c>
      <c r="S82" t="s" s="0">
        <v>82</v>
      </c>
      <c r="T82" t="s" s="0">
        <v>82</v>
      </c>
      <c r="U82" t="s" s="0">
        <v>82</v>
      </c>
      <c r="V82" t="s" s="0">
        <v>2125</v>
      </c>
      <c r="W82" t="s" s="0">
        <v>2126</v>
      </c>
      <c r="X82" t="s" s="0">
        <v>82</v>
      </c>
      <c r="Y82" t="s" s="0">
        <v>82</v>
      </c>
      <c r="Z82" t="s" s="0">
        <v>91</v>
      </c>
      <c r="AA82" t="s" s="0">
        <v>92</v>
      </c>
      <c r="AB82" t="s" s="0">
        <v>82</v>
      </c>
      <c r="AC82" t="s" s="0">
        <v>82</v>
      </c>
      <c r="AD82" t="s" s="0">
        <v>82</v>
      </c>
      <c r="AE82" t="s" s="0">
        <v>82</v>
      </c>
      <c r="AF82" t="s" s="0">
        <v>82</v>
      </c>
      <c r="AG82" t="s" s="0">
        <v>2127</v>
      </c>
      <c r="AH82" t="s" s="0">
        <v>2128</v>
      </c>
      <c r="AI82" t="s" s="0">
        <v>2129</v>
      </c>
      <c r="AJ82" t="s" s="0">
        <v>82</v>
      </c>
      <c r="AK82" t="s" s="0">
        <v>82</v>
      </c>
      <c r="AL82" t="s" s="0">
        <v>485</v>
      </c>
      <c r="AM82" t="s" s="0">
        <v>77</v>
      </c>
      <c r="AN82" t="s" s="0">
        <v>77</v>
      </c>
      <c r="AO82" t="s" s="0">
        <v>132</v>
      </c>
      <c r="AP82" t="s" s="0">
        <v>132</v>
      </c>
      <c r="AQ82" t="s" s="0">
        <v>1026</v>
      </c>
      <c r="AR82" t="s" s="0">
        <v>1027</v>
      </c>
      <c r="AS82" t="s" s="0">
        <v>1028</v>
      </c>
      <c r="AT82" t="s" s="0">
        <v>2130</v>
      </c>
      <c r="AU82" t="s" s="0">
        <v>2131</v>
      </c>
      <c r="AV82" t="s" s="0">
        <v>82</v>
      </c>
      <c r="AW82" t="s" s="0">
        <v>2132</v>
      </c>
      <c r="AX82" t="s" s="0">
        <v>2133</v>
      </c>
      <c r="AY82" t="s" s="0">
        <v>2134</v>
      </c>
      <c r="AZ82" t="s" s="0">
        <v>141</v>
      </c>
      <c r="BA82" t="s" s="0">
        <v>2135</v>
      </c>
      <c r="BB82" t="s" s="0">
        <v>82</v>
      </c>
      <c r="BC82" t="s" s="0">
        <v>82</v>
      </c>
      <c r="BD82" t="s" s="0">
        <v>82</v>
      </c>
      <c r="BE82" t="s" s="0">
        <v>82</v>
      </c>
      <c r="BF82" t="s" s="0">
        <v>82</v>
      </c>
      <c r="BG82" t="s" s="0">
        <v>82</v>
      </c>
      <c r="BH82" t="s" s="0">
        <v>82</v>
      </c>
      <c r="BI82" t="s" s="0">
        <v>2136</v>
      </c>
      <c r="BJ82" t="s" s="0">
        <v>2137</v>
      </c>
      <c r="BK82" t="s" s="161">
        <f>HYPERLINK("http://dx.doi.org/10.1016/j.engappai.2026.114480","http://dx.doi.org/10.1016/j.engappai.2026.114480")</f>
        <v>2138</v>
      </c>
      <c r="BL82" t="s" s="0">
        <v>82</v>
      </c>
      <c r="BM82" t="s" s="0">
        <v>82</v>
      </c>
      <c r="BN82" t="s" s="0">
        <v>425</v>
      </c>
      <c r="BO82" t="s" s="0">
        <v>2139</v>
      </c>
      <c r="BP82" t="s" s="0">
        <v>2140</v>
      </c>
      <c r="BQ82" t="s" s="0">
        <v>2141</v>
      </c>
      <c r="BR82" t="s" s="0">
        <v>82</v>
      </c>
      <c r="BS82" t="s" s="0">
        <v>2142</v>
      </c>
      <c r="BT82" t="s" s="162">
        <f>HYPERLINK("https://www.webofscience.com/wos/woscc/full-record/WOS:001725071200001","View Record in Web of Science")</f>
        <v>118</v>
      </c>
      <c r="BU82" t="s" s="0">
        <v>82</v>
      </c>
      <c r="BV82" t="s" s="0">
        <v>82</v>
      </c>
      <c r="BW82" t="s" s="0">
        <v>82</v>
      </c>
      <c r="BX82" t="s" s="0">
        <v>119</v>
      </c>
    </row>
    <row r="83">
      <c r="A83" t="s" s="0">
        <v>77</v>
      </c>
      <c r="B83" t="s" s="0">
        <v>77</v>
      </c>
      <c r="C83" t="s" s="0">
        <v>77</v>
      </c>
      <c r="D83" t="s" s="0">
        <v>77</v>
      </c>
      <c r="E83" t="s" s="0">
        <v>2143</v>
      </c>
      <c r="F83" t="s" s="0">
        <v>2144</v>
      </c>
      <c r="G83" t="s" s="0">
        <v>2145</v>
      </c>
      <c r="H83" t="s" s="0">
        <v>82</v>
      </c>
      <c r="I83" t="s" s="0">
        <v>83</v>
      </c>
      <c r="J83" t="s" s="0">
        <v>2146</v>
      </c>
      <c r="K83" t="s" s="0">
        <v>2147</v>
      </c>
      <c r="L83" t="s" s="0">
        <v>2148</v>
      </c>
      <c r="M83" t="s" s="0">
        <v>2149</v>
      </c>
      <c r="N83" t="s" s="0">
        <v>2150</v>
      </c>
      <c r="O83" t="s" s="0">
        <v>2151</v>
      </c>
      <c r="P83" t="s" s="0">
        <v>2152</v>
      </c>
      <c r="Q83" t="s" s="0">
        <v>88</v>
      </c>
      <c r="R83" t="s" s="0">
        <v>82</v>
      </c>
      <c r="S83" t="s" s="0">
        <v>82</v>
      </c>
      <c r="T83" t="s" s="0">
        <v>82</v>
      </c>
      <c r="U83" t="s" s="0">
        <v>82</v>
      </c>
      <c r="V83" t="s" s="0">
        <v>2153</v>
      </c>
      <c r="W83" t="s" s="0">
        <v>164</v>
      </c>
      <c r="X83" t="s" s="0">
        <v>82</v>
      </c>
      <c r="Y83" t="s" s="0">
        <v>82</v>
      </c>
      <c r="Z83" t="s" s="0">
        <v>91</v>
      </c>
      <c r="AA83" t="s" s="0">
        <v>92</v>
      </c>
      <c r="AB83" t="s" s="0">
        <v>82</v>
      </c>
      <c r="AC83" t="s" s="0">
        <v>82</v>
      </c>
      <c r="AD83" t="s" s="0">
        <v>82</v>
      </c>
      <c r="AE83" t="s" s="0">
        <v>82</v>
      </c>
      <c r="AF83" t="s" s="0">
        <v>82</v>
      </c>
      <c r="AG83" t="s" s="0">
        <v>2154</v>
      </c>
      <c r="AH83" t="s" s="0">
        <v>82</v>
      </c>
      <c r="AI83" t="s" s="0">
        <v>2155</v>
      </c>
      <c r="AJ83" t="s" s="0">
        <v>82</v>
      </c>
      <c r="AK83" t="s" s="0">
        <v>82</v>
      </c>
      <c r="AL83" t="s" s="0">
        <v>294</v>
      </c>
      <c r="AM83" t="s" s="0">
        <v>77</v>
      </c>
      <c r="AN83" t="s" s="0">
        <v>77</v>
      </c>
      <c r="AO83" t="s" s="0">
        <v>77</v>
      </c>
      <c r="AP83" t="s" s="0">
        <v>77</v>
      </c>
      <c r="AQ83" t="s" s="0">
        <v>170</v>
      </c>
      <c r="AR83" t="s" s="0">
        <v>171</v>
      </c>
      <c r="AS83" t="s" s="0">
        <v>172</v>
      </c>
      <c r="AT83" t="s" s="0">
        <v>82</v>
      </c>
      <c r="AU83" t="s" s="0">
        <v>173</v>
      </c>
      <c r="AV83" t="s" s="0">
        <v>82</v>
      </c>
      <c r="AW83" t="s" s="0">
        <v>164</v>
      </c>
      <c r="AX83" t="s" s="0">
        <v>174</v>
      </c>
      <c r="AY83" t="s" s="0">
        <v>2156</v>
      </c>
      <c r="AZ83" t="s" s="0">
        <v>141</v>
      </c>
      <c r="BA83" t="s" s="0">
        <v>181</v>
      </c>
      <c r="BB83" t="s" s="0">
        <v>272</v>
      </c>
      <c r="BC83" t="s" s="0">
        <v>82</v>
      </c>
      <c r="BD83" t="s" s="0">
        <v>82</v>
      </c>
      <c r="BE83" t="s" s="0">
        <v>82</v>
      </c>
      <c r="BF83" t="s" s="0">
        <v>82</v>
      </c>
      <c r="BG83" t="s" s="0">
        <v>82</v>
      </c>
      <c r="BH83" t="s" s="0">
        <v>82</v>
      </c>
      <c r="BI83" t="s" s="0">
        <v>2157</v>
      </c>
      <c r="BJ83" t="s" s="0">
        <v>2158</v>
      </c>
      <c r="BK83" t="s" s="163">
        <f>HYPERLINK("http://dx.doi.org/10.3390/diagnostics16091258","http://dx.doi.org/10.3390/diagnostics16091258")</f>
        <v>2159</v>
      </c>
      <c r="BL83" t="s" s="0">
        <v>82</v>
      </c>
      <c r="BM83" t="s" s="0">
        <v>276</v>
      </c>
      <c r="BN83" t="s" s="0">
        <v>368</v>
      </c>
      <c r="BO83" t="s" s="0">
        <v>182</v>
      </c>
      <c r="BP83" t="s" s="0">
        <v>183</v>
      </c>
      <c r="BQ83" t="s" s="0">
        <v>2160</v>
      </c>
      <c r="BR83" t="s" s="0">
        <v>2161</v>
      </c>
      <c r="BS83" t="s" s="0">
        <v>2162</v>
      </c>
      <c r="BT83" t="s" s="164">
        <f>HYPERLINK("https://www.webofscience.com/wos/woscc/full-record/WOS:001764073400001","View Record in Web of Science")</f>
        <v>118</v>
      </c>
      <c r="BU83" t="s" s="0">
        <v>187</v>
      </c>
      <c r="BV83" t="s" s="0">
        <v>82</v>
      </c>
      <c r="BW83" t="s" s="0">
        <v>82</v>
      </c>
      <c r="BX83" t="s" s="0">
        <v>119</v>
      </c>
    </row>
    <row r="84">
      <c r="A84" t="s" s="0">
        <v>77</v>
      </c>
      <c r="B84" t="s" s="0">
        <v>77</v>
      </c>
      <c r="C84" t="s" s="0">
        <v>77</v>
      </c>
      <c r="D84" t="s" s="0">
        <v>77</v>
      </c>
      <c r="E84" t="s" s="0">
        <v>2163</v>
      </c>
      <c r="F84" t="s" s="0">
        <v>2164</v>
      </c>
      <c r="G84" t="s" s="0">
        <v>2165</v>
      </c>
      <c r="H84" t="s" s="0">
        <v>82</v>
      </c>
      <c r="I84" t="s" s="0">
        <v>83</v>
      </c>
      <c r="J84" t="s" s="0">
        <v>2166</v>
      </c>
      <c r="K84" t="s" s="0">
        <v>2167</v>
      </c>
      <c r="L84" t="s" s="0">
        <v>82</v>
      </c>
      <c r="M84" t="s" s="0">
        <v>82</v>
      </c>
      <c r="N84" t="s" s="0">
        <v>82</v>
      </c>
      <c r="O84" t="s" s="0">
        <v>2168</v>
      </c>
      <c r="P84" t="s" s="0">
        <v>2169</v>
      </c>
      <c r="Q84" t="s" s="0">
        <v>88</v>
      </c>
      <c r="R84" t="s" s="0">
        <v>82</v>
      </c>
      <c r="S84" t="s" s="0">
        <v>82</v>
      </c>
      <c r="T84" t="s" s="0">
        <v>82</v>
      </c>
      <c r="U84" t="s" s="0">
        <v>82</v>
      </c>
      <c r="V84" t="s" s="0">
        <v>2170</v>
      </c>
      <c r="W84" t="s" s="0">
        <v>2171</v>
      </c>
      <c r="X84" t="s" s="0">
        <v>82</v>
      </c>
      <c r="Y84" t="s" s="0">
        <v>82</v>
      </c>
      <c r="Z84" t="s" s="0">
        <v>91</v>
      </c>
      <c r="AA84" t="s" s="0">
        <v>92</v>
      </c>
      <c r="AB84" t="s" s="0">
        <v>82</v>
      </c>
      <c r="AC84" t="s" s="0">
        <v>82</v>
      </c>
      <c r="AD84" t="s" s="0">
        <v>82</v>
      </c>
      <c r="AE84" t="s" s="0">
        <v>82</v>
      </c>
      <c r="AF84" t="s" s="0">
        <v>82</v>
      </c>
      <c r="AG84" t="s" s="0">
        <v>2172</v>
      </c>
      <c r="AH84" t="s" s="0">
        <v>2173</v>
      </c>
      <c r="AI84" t="s" s="0">
        <v>2174</v>
      </c>
      <c r="AJ84" t="s" s="0">
        <v>2175</v>
      </c>
      <c r="AK84" t="s" s="0">
        <v>82</v>
      </c>
      <c r="AL84" t="s" s="0">
        <v>425</v>
      </c>
      <c r="AM84" t="s" s="0">
        <v>77</v>
      </c>
      <c r="AN84" t="s" s="0">
        <v>77</v>
      </c>
      <c r="AO84" t="s" s="0">
        <v>77</v>
      </c>
      <c r="AP84" t="s" s="0">
        <v>77</v>
      </c>
      <c r="AQ84" t="s" s="0">
        <v>133</v>
      </c>
      <c r="AR84" t="s" s="0">
        <v>134</v>
      </c>
      <c r="AS84" t="s" s="0">
        <v>135</v>
      </c>
      <c r="AT84" t="s" s="0">
        <v>2176</v>
      </c>
      <c r="AU84" t="s" s="0">
        <v>82</v>
      </c>
      <c r="AV84" t="s" s="0">
        <v>82</v>
      </c>
      <c r="AW84" t="s" s="0">
        <v>2177</v>
      </c>
      <c r="AX84" t="s" s="0">
        <v>2178</v>
      </c>
      <c r="AY84" t="s" s="0">
        <v>2179</v>
      </c>
      <c r="AZ84" t="s" s="0">
        <v>141</v>
      </c>
      <c r="BA84" t="s" s="0">
        <v>277</v>
      </c>
      <c r="BB84" t="s" s="0">
        <v>264</v>
      </c>
      <c r="BC84" t="s" s="0">
        <v>82</v>
      </c>
      <c r="BD84" t="s" s="0">
        <v>82</v>
      </c>
      <c r="BE84" t="s" s="0">
        <v>82</v>
      </c>
      <c r="BF84" t="s" s="0">
        <v>82</v>
      </c>
      <c r="BG84" t="s" s="0">
        <v>82</v>
      </c>
      <c r="BH84" t="s" s="0">
        <v>82</v>
      </c>
      <c r="BI84" t="s" s="0">
        <v>2180</v>
      </c>
      <c r="BJ84" t="s" s="0">
        <v>2181</v>
      </c>
      <c r="BK84" t="s" s="165">
        <f>HYPERLINK("http://dx.doi.org/10.1002/lio2.70433","http://dx.doi.org/10.1002/lio2.70433")</f>
        <v>2182</v>
      </c>
      <c r="BL84" t="s" s="0">
        <v>82</v>
      </c>
      <c r="BM84" t="s" s="0">
        <v>82</v>
      </c>
      <c r="BN84" t="s" s="0">
        <v>272</v>
      </c>
      <c r="BO84" t="s" s="0">
        <v>1450</v>
      </c>
      <c r="BP84" t="s" s="0">
        <v>1450</v>
      </c>
      <c r="BQ84" t="s" s="0">
        <v>2183</v>
      </c>
      <c r="BR84" t="s" s="0">
        <v>2184</v>
      </c>
      <c r="BS84" t="s" s="0">
        <v>2185</v>
      </c>
      <c r="BT84" t="s" s="166">
        <f>HYPERLINK("https://www.webofscience.com/wos/woscc/full-record/WOS:001762083600001","View Record in Web of Science")</f>
        <v>118</v>
      </c>
      <c r="BU84" t="s" s="0">
        <v>187</v>
      </c>
      <c r="BV84" t="s" s="0">
        <v>82</v>
      </c>
      <c r="BW84" t="s" s="0">
        <v>82</v>
      </c>
      <c r="BX84" t="s" s="0">
        <v>119</v>
      </c>
    </row>
    <row r="85">
      <c r="A85" t="s" s="0">
        <v>132</v>
      </c>
      <c r="B85" t="s" s="0">
        <v>77</v>
      </c>
      <c r="C85" t="s" s="0">
        <v>2186</v>
      </c>
      <c r="D85" t="s" s="0">
        <v>77</v>
      </c>
      <c r="E85" t="s" s="0">
        <v>2187</v>
      </c>
      <c r="F85" t="s" s="0">
        <v>2188</v>
      </c>
      <c r="G85" t="s" s="0">
        <v>2189</v>
      </c>
      <c r="H85" t="s" s="0">
        <v>82</v>
      </c>
      <c r="I85" t="s" s="0">
        <v>83</v>
      </c>
      <c r="J85" t="s" s="0">
        <v>2190</v>
      </c>
      <c r="K85" t="s" s="0">
        <v>2191</v>
      </c>
      <c r="L85" t="s" s="0">
        <v>2192</v>
      </c>
      <c r="M85" t="s" s="0">
        <v>2192</v>
      </c>
      <c r="N85" t="s" s="0">
        <v>2193</v>
      </c>
      <c r="O85" t="s" s="0">
        <v>2194</v>
      </c>
      <c r="P85" t="s" s="0">
        <v>2195</v>
      </c>
      <c r="Q85" t="s" s="0">
        <v>88</v>
      </c>
      <c r="R85" t="s" s="0">
        <v>82</v>
      </c>
      <c r="S85" t="s" s="0">
        <v>82</v>
      </c>
      <c r="T85" t="s" s="0">
        <v>82</v>
      </c>
      <c r="U85" t="s" s="0">
        <v>82</v>
      </c>
      <c r="V85" t="s" s="0">
        <v>2196</v>
      </c>
      <c r="W85" t="s" s="0">
        <v>2197</v>
      </c>
      <c r="X85" t="s" s="0">
        <v>82</v>
      </c>
      <c r="Y85" t="s" s="0">
        <v>82</v>
      </c>
      <c r="Z85" t="s" s="0">
        <v>91</v>
      </c>
      <c r="AA85" t="s" s="0">
        <v>92</v>
      </c>
      <c r="AB85" t="s" s="0">
        <v>82</v>
      </c>
      <c r="AC85" t="s" s="0">
        <v>82</v>
      </c>
      <c r="AD85" t="s" s="0">
        <v>82</v>
      </c>
      <c r="AE85" t="s" s="0">
        <v>82</v>
      </c>
      <c r="AF85" t="s" s="0">
        <v>82</v>
      </c>
      <c r="AG85" t="s" s="0">
        <v>82</v>
      </c>
      <c r="AH85" t="s" s="0">
        <v>2198</v>
      </c>
      <c r="AI85" t="s" s="0">
        <v>2199</v>
      </c>
      <c r="AJ85" t="s" s="0">
        <v>2200</v>
      </c>
      <c r="AK85" t="s" s="0">
        <v>82</v>
      </c>
      <c r="AL85" t="s" s="0">
        <v>142</v>
      </c>
      <c r="AM85" t="s" s="0">
        <v>2201</v>
      </c>
      <c r="AN85" t="s" s="0">
        <v>2202</v>
      </c>
      <c r="AO85" t="s" s="0">
        <v>811</v>
      </c>
      <c r="AP85" t="s" s="0">
        <v>2203</v>
      </c>
      <c r="AQ85" t="s" s="0">
        <v>265</v>
      </c>
      <c r="AR85" t="s" s="0">
        <v>266</v>
      </c>
      <c r="AS85" t="s" s="0">
        <v>267</v>
      </c>
      <c r="AT85" t="s" s="0">
        <v>2204</v>
      </c>
      <c r="AU85" t="s" s="0">
        <v>2205</v>
      </c>
      <c r="AV85" t="s" s="0">
        <v>82</v>
      </c>
      <c r="AW85" t="s" s="0">
        <v>2206</v>
      </c>
      <c r="AX85" t="s" s="0">
        <v>2207</v>
      </c>
      <c r="AY85" t="s" s="0">
        <v>2208</v>
      </c>
      <c r="AZ85" t="s" s="0">
        <v>341</v>
      </c>
      <c r="BA85" t="s" s="0">
        <v>952</v>
      </c>
      <c r="BB85" t="s" s="0">
        <v>272</v>
      </c>
      <c r="BC85" t="s" s="0">
        <v>82</v>
      </c>
      <c r="BD85" t="s" s="0">
        <v>82</v>
      </c>
      <c r="BE85" t="s" s="0">
        <v>82</v>
      </c>
      <c r="BF85" t="s" s="0">
        <v>82</v>
      </c>
      <c r="BG85" t="s" s="0">
        <v>82</v>
      </c>
      <c r="BH85" t="s" s="0">
        <v>82</v>
      </c>
      <c r="BI85" t="s" s="0">
        <v>82</v>
      </c>
      <c r="BJ85" t="s" s="0">
        <v>2209</v>
      </c>
      <c r="BK85" t="s" s="167">
        <f>HYPERLINK("http://dx.doi.org/10.1038/s41591-024-03097-1","http://dx.doi.org/10.1038/s41591-024-03097-1")</f>
        <v>2210</v>
      </c>
      <c r="BL85" t="s" s="0">
        <v>82</v>
      </c>
      <c r="BM85" t="s" s="0">
        <v>2211</v>
      </c>
      <c r="BN85" t="s" s="0">
        <v>332</v>
      </c>
      <c r="BO85" t="s" s="0">
        <v>2212</v>
      </c>
      <c r="BP85" t="s" s="0">
        <v>2213</v>
      </c>
      <c r="BQ85" t="s" s="0">
        <v>2214</v>
      </c>
      <c r="BR85" t="s" s="0">
        <v>2215</v>
      </c>
      <c r="BS85" t="s" s="0">
        <v>2216</v>
      </c>
      <c r="BT85" t="s" s="168">
        <f>HYPERLINK("https://www.webofscience.com/wos/woscc/full-record/WOS:001262233500004","View Record in Web of Science")</f>
        <v>118</v>
      </c>
      <c r="BU85" t="s" s="0">
        <v>152</v>
      </c>
      <c r="BV85" t="s" s="0">
        <v>385</v>
      </c>
      <c r="BW85" t="s" s="0">
        <v>350</v>
      </c>
      <c r="BX85" t="s" s="0">
        <v>119</v>
      </c>
    </row>
    <row r="86">
      <c r="A86" t="s" s="0">
        <v>229</v>
      </c>
      <c r="B86" t="s" s="0">
        <v>77</v>
      </c>
      <c r="C86" t="s" s="0">
        <v>169</v>
      </c>
      <c r="D86" t="s" s="0">
        <v>77</v>
      </c>
      <c r="E86" t="s" s="0">
        <v>2217</v>
      </c>
      <c r="F86" t="s" s="0">
        <v>2218</v>
      </c>
      <c r="G86" t="s" s="0">
        <v>2219</v>
      </c>
      <c r="H86" t="s" s="0">
        <v>82</v>
      </c>
      <c r="I86" t="s" s="0">
        <v>83</v>
      </c>
      <c r="J86" t="s" s="0">
        <v>2220</v>
      </c>
      <c r="K86" t="s" s="0">
        <v>2221</v>
      </c>
      <c r="L86" t="s" s="0">
        <v>82</v>
      </c>
      <c r="M86" t="s" s="0">
        <v>82</v>
      </c>
      <c r="N86" t="s" s="0">
        <v>82</v>
      </c>
      <c r="O86" t="s" s="0">
        <v>2222</v>
      </c>
      <c r="P86" t="s" s="0">
        <v>2223</v>
      </c>
      <c r="Q86" t="s" s="0">
        <v>88</v>
      </c>
      <c r="R86" t="s" s="0">
        <v>82</v>
      </c>
      <c r="S86" t="s" s="0">
        <v>82</v>
      </c>
      <c r="T86" t="s" s="0">
        <v>82</v>
      </c>
      <c r="U86" t="s" s="0">
        <v>82</v>
      </c>
      <c r="V86" t="s" s="0">
        <v>2224</v>
      </c>
      <c r="W86" t="s" s="0">
        <v>164</v>
      </c>
      <c r="X86" t="s" s="0">
        <v>82</v>
      </c>
      <c r="Y86" t="s" s="0">
        <v>82</v>
      </c>
      <c r="Z86" t="s" s="0">
        <v>91</v>
      </c>
      <c r="AA86" t="s" s="0">
        <v>92</v>
      </c>
      <c r="AB86" t="s" s="0">
        <v>82</v>
      </c>
      <c r="AC86" t="s" s="0">
        <v>82</v>
      </c>
      <c r="AD86" t="s" s="0">
        <v>82</v>
      </c>
      <c r="AE86" t="s" s="0">
        <v>82</v>
      </c>
      <c r="AF86" t="s" s="0">
        <v>82</v>
      </c>
      <c r="AG86" t="s" s="0">
        <v>2225</v>
      </c>
      <c r="AH86" t="s" s="0">
        <v>2226</v>
      </c>
      <c r="AI86" t="s" s="0">
        <v>2227</v>
      </c>
      <c r="AJ86" t="s" s="0">
        <v>2228</v>
      </c>
      <c r="AK86" t="s" s="0">
        <v>82</v>
      </c>
      <c r="AL86" t="s" s="0">
        <v>2229</v>
      </c>
      <c r="AM86" t="s" s="0">
        <v>177</v>
      </c>
      <c r="AN86" t="s" s="0">
        <v>862</v>
      </c>
      <c r="AO86" t="s" s="0">
        <v>229</v>
      </c>
      <c r="AP86" t="s" s="0">
        <v>346</v>
      </c>
      <c r="AQ86" t="s" s="0">
        <v>170</v>
      </c>
      <c r="AR86" t="s" s="0">
        <v>171</v>
      </c>
      <c r="AS86" t="s" s="0">
        <v>172</v>
      </c>
      <c r="AT86" t="s" s="0">
        <v>82</v>
      </c>
      <c r="AU86" t="s" s="0">
        <v>173</v>
      </c>
      <c r="AV86" t="s" s="0">
        <v>82</v>
      </c>
      <c r="AW86" t="s" s="0">
        <v>164</v>
      </c>
      <c r="AX86" t="s" s="0">
        <v>174</v>
      </c>
      <c r="AY86" t="s" s="0">
        <v>2230</v>
      </c>
      <c r="AZ86" t="s" s="0">
        <v>107</v>
      </c>
      <c r="BA86" t="s" s="0">
        <v>176</v>
      </c>
      <c r="BB86" t="s" s="0">
        <v>342</v>
      </c>
      <c r="BC86" t="s" s="0">
        <v>82</v>
      </c>
      <c r="BD86" t="s" s="0">
        <v>82</v>
      </c>
      <c r="BE86" t="s" s="0">
        <v>82</v>
      </c>
      <c r="BF86" t="s" s="0">
        <v>82</v>
      </c>
      <c r="BG86" t="s" s="0">
        <v>82</v>
      </c>
      <c r="BH86" t="s" s="0">
        <v>82</v>
      </c>
      <c r="BI86" t="s" s="0">
        <v>2231</v>
      </c>
      <c r="BJ86" t="s" s="0">
        <v>2232</v>
      </c>
      <c r="BK86" t="s" s="169">
        <f>HYPERLINK("http://dx.doi.org/10.3390/diagnostics15101221","http://dx.doi.org/10.3390/diagnostics15101221")</f>
        <v>2233</v>
      </c>
      <c r="BL86" t="s" s="0">
        <v>82</v>
      </c>
      <c r="BM86" t="s" s="0">
        <v>82</v>
      </c>
      <c r="BN86" t="s" s="0">
        <v>790</v>
      </c>
      <c r="BO86" t="s" s="0">
        <v>182</v>
      </c>
      <c r="BP86" t="s" s="0">
        <v>183</v>
      </c>
      <c r="BQ86" t="s" s="0">
        <v>2234</v>
      </c>
      <c r="BR86" t="s" s="0">
        <v>2235</v>
      </c>
      <c r="BS86" t="s" s="0">
        <v>2236</v>
      </c>
      <c r="BT86" t="s" s="170">
        <f>HYPERLINK("https://www.webofscience.com/wos/woscc/full-record/WOS:001496633900001","View Record in Web of Science")</f>
        <v>118</v>
      </c>
      <c r="BU86" t="s" s="0">
        <v>187</v>
      </c>
      <c r="BV86" t="s" s="0">
        <v>82</v>
      </c>
      <c r="BW86" t="s" s="0">
        <v>82</v>
      </c>
      <c r="BX86" t="s" s="0">
        <v>119</v>
      </c>
    </row>
    <row r="87">
      <c r="A87" t="s" s="0">
        <v>77</v>
      </c>
      <c r="B87" t="s" s="0">
        <v>77</v>
      </c>
      <c r="C87" t="s" s="0">
        <v>77</v>
      </c>
      <c r="D87" t="s" s="0">
        <v>77</v>
      </c>
      <c r="E87" t="s" s="0">
        <v>2237</v>
      </c>
      <c r="F87" t="s" s="0">
        <v>2238</v>
      </c>
      <c r="G87" t="s" s="0">
        <v>2239</v>
      </c>
      <c r="H87" t="s" s="0">
        <v>82</v>
      </c>
      <c r="I87" t="s" s="0">
        <v>595</v>
      </c>
      <c r="J87" t="s" s="0">
        <v>2240</v>
      </c>
      <c r="K87" t="s" s="0">
        <v>2241</v>
      </c>
      <c r="L87" t="s" s="0">
        <v>82</v>
      </c>
      <c r="M87" t="s" s="0">
        <v>82</v>
      </c>
      <c r="N87" t="s" s="0">
        <v>82</v>
      </c>
      <c r="O87" t="s" s="0">
        <v>2242</v>
      </c>
      <c r="P87" t="s" s="0">
        <v>2243</v>
      </c>
      <c r="Q87" t="s" s="0">
        <v>88</v>
      </c>
      <c r="R87" t="s" s="0">
        <v>82</v>
      </c>
      <c r="S87" t="s" s="0">
        <v>82</v>
      </c>
      <c r="T87" t="s" s="0">
        <v>82</v>
      </c>
      <c r="U87" t="s" s="0">
        <v>82</v>
      </c>
      <c r="V87" t="s" s="0">
        <v>2244</v>
      </c>
      <c r="W87" t="s" s="0">
        <v>2050</v>
      </c>
      <c r="X87" t="s" s="0">
        <v>82</v>
      </c>
      <c r="Y87" t="s" s="0">
        <v>82</v>
      </c>
      <c r="Z87" t="s" s="0">
        <v>91</v>
      </c>
      <c r="AA87" t="s" s="0">
        <v>92</v>
      </c>
      <c r="AB87" t="s" s="0">
        <v>82</v>
      </c>
      <c r="AC87" t="s" s="0">
        <v>82</v>
      </c>
      <c r="AD87" t="s" s="0">
        <v>82</v>
      </c>
      <c r="AE87" t="s" s="0">
        <v>82</v>
      </c>
      <c r="AF87" t="s" s="0">
        <v>82</v>
      </c>
      <c r="AG87" t="s" s="0">
        <v>2245</v>
      </c>
      <c r="AH87" t="s" s="0">
        <v>2246</v>
      </c>
      <c r="AI87" t="s" s="0">
        <v>82</v>
      </c>
      <c r="AJ87" t="s" s="0">
        <v>2247</v>
      </c>
      <c r="AK87" t="s" s="0">
        <v>82</v>
      </c>
      <c r="AL87" t="s" s="0">
        <v>953</v>
      </c>
      <c r="AM87" t="s" s="0">
        <v>239</v>
      </c>
      <c r="AN87" t="s" s="0">
        <v>239</v>
      </c>
      <c r="AO87" t="s" s="0">
        <v>78</v>
      </c>
      <c r="AP87" t="s" s="0">
        <v>308</v>
      </c>
      <c r="AQ87" t="s" s="0">
        <v>2054</v>
      </c>
      <c r="AR87" t="s" s="0">
        <v>1027</v>
      </c>
      <c r="AS87" t="s" s="0">
        <v>2055</v>
      </c>
      <c r="AT87" t="s" s="0">
        <v>82</v>
      </c>
      <c r="AU87" t="s" s="0">
        <v>2056</v>
      </c>
      <c r="AV87" t="s" s="0">
        <v>82</v>
      </c>
      <c r="AW87" t="s" s="0">
        <v>2050</v>
      </c>
      <c r="AX87" t="s" s="0">
        <v>2057</v>
      </c>
      <c r="AY87" t="s" s="0">
        <v>106</v>
      </c>
      <c r="AZ87" t="s" s="0">
        <v>107</v>
      </c>
      <c r="BA87" t="s" s="0">
        <v>244</v>
      </c>
      <c r="BB87" t="s" s="0">
        <v>239</v>
      </c>
      <c r="BC87" t="s" s="0">
        <v>82</v>
      </c>
      <c r="BD87" t="s" s="0">
        <v>82</v>
      </c>
      <c r="BE87" t="s" s="0">
        <v>82</v>
      </c>
      <c r="BF87" t="s" s="0">
        <v>82</v>
      </c>
      <c r="BG87" t="s" s="0">
        <v>82</v>
      </c>
      <c r="BH87" t="s" s="0">
        <v>82</v>
      </c>
      <c r="BI87" t="s" s="0">
        <v>2248</v>
      </c>
      <c r="BJ87" t="s" s="0">
        <v>2249</v>
      </c>
      <c r="BK87" t="s" s="171">
        <f>HYPERLINK("http://dx.doi.org/10.1093/jamiaopen/ooaf119","http://dx.doi.org/10.1093/jamiaopen/ooaf119")</f>
        <v>2250</v>
      </c>
      <c r="BL87" t="s" s="0">
        <v>82</v>
      </c>
      <c r="BM87" t="s" s="0">
        <v>82</v>
      </c>
      <c r="BN87" t="s" s="0">
        <v>277</v>
      </c>
      <c r="BO87" t="s" s="0">
        <v>213</v>
      </c>
      <c r="BP87" t="s" s="0">
        <v>213</v>
      </c>
      <c r="BQ87" t="s" s="0">
        <v>2251</v>
      </c>
      <c r="BR87" t="s" s="0">
        <v>2252</v>
      </c>
      <c r="BS87" t="s" s="0">
        <v>2253</v>
      </c>
      <c r="BT87" t="s" s="172">
        <f>HYPERLINK("https://www.webofscience.com/wos/woscc/full-record/WOS:001597725600001","View Record in Web of Science")</f>
        <v>118</v>
      </c>
      <c r="BU87" t="s" s="0">
        <v>187</v>
      </c>
      <c r="BV87" t="s" s="0">
        <v>82</v>
      </c>
      <c r="BW87" t="s" s="0">
        <v>82</v>
      </c>
      <c r="BX87" t="s" s="0">
        <v>119</v>
      </c>
    </row>
    <row r="88">
      <c r="A88" t="s" s="0">
        <v>78</v>
      </c>
      <c r="B88" t="s" s="0">
        <v>77</v>
      </c>
      <c r="C88" t="s" s="0">
        <v>845</v>
      </c>
      <c r="D88" t="s" s="0">
        <v>229</v>
      </c>
      <c r="E88" t="s" s="0">
        <v>2254</v>
      </c>
      <c r="F88" t="s" s="0">
        <v>2255</v>
      </c>
      <c r="G88" t="s" s="0">
        <v>2256</v>
      </c>
      <c r="H88" t="s" s="0">
        <v>82</v>
      </c>
      <c r="I88" t="s" s="0">
        <v>83</v>
      </c>
      <c r="J88" t="s" s="0">
        <v>2257</v>
      </c>
      <c r="K88" t="s" s="0">
        <v>2258</v>
      </c>
      <c r="L88" t="s" s="0">
        <v>2259</v>
      </c>
      <c r="M88" t="s" s="0">
        <v>2259</v>
      </c>
      <c r="N88" t="s" s="0">
        <v>2260</v>
      </c>
      <c r="O88" t="s" s="0">
        <v>2261</v>
      </c>
      <c r="P88" t="s" s="0">
        <v>2262</v>
      </c>
      <c r="Q88" t="s" s="0">
        <v>88</v>
      </c>
      <c r="R88" t="s" s="0">
        <v>82</v>
      </c>
      <c r="S88" t="s" s="0">
        <v>82</v>
      </c>
      <c r="T88" t="s" s="0">
        <v>82</v>
      </c>
      <c r="U88" t="s" s="0">
        <v>82</v>
      </c>
      <c r="V88" t="s" s="0">
        <v>2263</v>
      </c>
      <c r="W88" t="s" s="0">
        <v>2197</v>
      </c>
      <c r="X88" t="s" s="0">
        <v>82</v>
      </c>
      <c r="Y88" t="s" s="0">
        <v>82</v>
      </c>
      <c r="Z88" t="s" s="0">
        <v>91</v>
      </c>
      <c r="AA88" t="s" s="0">
        <v>92</v>
      </c>
      <c r="AB88" t="s" s="0">
        <v>82</v>
      </c>
      <c r="AC88" t="s" s="0">
        <v>82</v>
      </c>
      <c r="AD88" t="s" s="0">
        <v>82</v>
      </c>
      <c r="AE88" t="s" s="0">
        <v>82</v>
      </c>
      <c r="AF88" t="s" s="0">
        <v>82</v>
      </c>
      <c r="AG88" t="s" s="0">
        <v>82</v>
      </c>
      <c r="AH88" t="s" s="0">
        <v>2264</v>
      </c>
      <c r="AI88" t="s" s="0">
        <v>2265</v>
      </c>
      <c r="AJ88" t="s" s="0">
        <v>2266</v>
      </c>
      <c r="AK88" t="s" s="0">
        <v>82</v>
      </c>
      <c r="AL88" t="s" s="0">
        <v>2267</v>
      </c>
      <c r="AM88" t="s" s="0">
        <v>2268</v>
      </c>
      <c r="AN88" t="s" s="0">
        <v>2269</v>
      </c>
      <c r="AO88" t="s" s="0">
        <v>132</v>
      </c>
      <c r="AP88" t="s" s="0">
        <v>1286</v>
      </c>
      <c r="AQ88" t="s" s="0">
        <v>265</v>
      </c>
      <c r="AR88" t="s" s="0">
        <v>266</v>
      </c>
      <c r="AS88" t="s" s="0">
        <v>267</v>
      </c>
      <c r="AT88" t="s" s="0">
        <v>2204</v>
      </c>
      <c r="AU88" t="s" s="0">
        <v>2205</v>
      </c>
      <c r="AV88" t="s" s="0">
        <v>82</v>
      </c>
      <c r="AW88" t="s" s="0">
        <v>2206</v>
      </c>
      <c r="AX88" t="s" s="0">
        <v>2207</v>
      </c>
      <c r="AY88" t="s" s="0">
        <v>2270</v>
      </c>
      <c r="AZ88" t="s" s="0">
        <v>107</v>
      </c>
      <c r="BA88" t="s" s="0">
        <v>452</v>
      </c>
      <c r="BB88" t="s" s="0">
        <v>229</v>
      </c>
      <c r="BC88" t="s" s="0">
        <v>82</v>
      </c>
      <c r="BD88" t="s" s="0">
        <v>82</v>
      </c>
      <c r="BE88" t="s" s="0">
        <v>82</v>
      </c>
      <c r="BF88" t="s" s="0">
        <v>82</v>
      </c>
      <c r="BG88" t="s" s="0">
        <v>2271</v>
      </c>
      <c r="BH88" t="s" s="0">
        <v>1133</v>
      </c>
      <c r="BI88" t="s" s="0">
        <v>82</v>
      </c>
      <c r="BJ88" t="s" s="0">
        <v>2272</v>
      </c>
      <c r="BK88" t="s" s="173">
        <f>HYPERLINK("http://dx.doi.org/10.1038/s41591-024-03328-5","http://dx.doi.org/10.1038/s41591-024-03328-5")</f>
        <v>2273</v>
      </c>
      <c r="BL88" t="s" s="0">
        <v>82</v>
      </c>
      <c r="BM88" t="s" s="0">
        <v>2270</v>
      </c>
      <c r="BN88" t="s" s="0">
        <v>342</v>
      </c>
      <c r="BO88" t="s" s="0">
        <v>2212</v>
      </c>
      <c r="BP88" t="s" s="0">
        <v>2213</v>
      </c>
      <c r="BQ88" t="s" s="0">
        <v>2274</v>
      </c>
      <c r="BR88" t="s" s="0">
        <v>2275</v>
      </c>
      <c r="BS88" t="s" s="0">
        <v>2276</v>
      </c>
      <c r="BT88" t="s" s="174">
        <f>HYPERLINK("https://www.webofscience.com/wos/woscc/full-record/WOS:001388208200001","View Record in Web of Science")</f>
        <v>118</v>
      </c>
      <c r="BU88" t="s" s="0">
        <v>82</v>
      </c>
      <c r="BV88" t="s" s="0">
        <v>385</v>
      </c>
      <c r="BW88" t="s" s="0">
        <v>350</v>
      </c>
      <c r="BX88" t="s" s="0">
        <v>119</v>
      </c>
    </row>
    <row r="89">
      <c r="A89" t="s" s="0">
        <v>77</v>
      </c>
      <c r="B89" t="s" s="0">
        <v>77</v>
      </c>
      <c r="C89" t="s" s="0">
        <v>77</v>
      </c>
      <c r="D89" t="s" s="0">
        <v>77</v>
      </c>
      <c r="E89" t="s" s="0">
        <v>2277</v>
      </c>
      <c r="F89" t="s" s="0">
        <v>2278</v>
      </c>
      <c r="G89" t="s" s="0">
        <v>2279</v>
      </c>
      <c r="H89" t="s" s="0">
        <v>82</v>
      </c>
      <c r="I89" t="s" s="0">
        <v>83</v>
      </c>
      <c r="J89" t="s" s="0">
        <v>2280</v>
      </c>
      <c r="K89" t="s" s="0">
        <v>2281</v>
      </c>
      <c r="L89" t="s" s="0">
        <v>82</v>
      </c>
      <c r="M89" t="s" s="0">
        <v>82</v>
      </c>
      <c r="N89" t="s" s="0">
        <v>82</v>
      </c>
      <c r="O89" t="s" s="0">
        <v>2282</v>
      </c>
      <c r="P89" t="s" s="0">
        <v>2283</v>
      </c>
      <c r="Q89" t="s" s="0">
        <v>88</v>
      </c>
      <c r="R89" t="s" s="0">
        <v>82</v>
      </c>
      <c r="S89" t="s" s="0">
        <v>82</v>
      </c>
      <c r="T89" t="s" s="0">
        <v>82</v>
      </c>
      <c r="U89" t="s" s="0">
        <v>82</v>
      </c>
      <c r="V89" t="s" s="0">
        <v>2284</v>
      </c>
      <c r="W89" t="s" s="0">
        <v>2285</v>
      </c>
      <c r="X89" t="s" s="0">
        <v>82</v>
      </c>
      <c r="Y89" t="s" s="0">
        <v>82</v>
      </c>
      <c r="Z89" t="s" s="0">
        <v>91</v>
      </c>
      <c r="AA89" t="s" s="0">
        <v>92</v>
      </c>
      <c r="AB89" t="s" s="0">
        <v>82</v>
      </c>
      <c r="AC89" t="s" s="0">
        <v>82</v>
      </c>
      <c r="AD89" t="s" s="0">
        <v>82</v>
      </c>
      <c r="AE89" t="s" s="0">
        <v>82</v>
      </c>
      <c r="AF89" t="s" s="0">
        <v>82</v>
      </c>
      <c r="AG89" t="s" s="0">
        <v>2286</v>
      </c>
      <c r="AH89" t="s" s="0">
        <v>2287</v>
      </c>
      <c r="AI89" t="s" s="0">
        <v>2288</v>
      </c>
      <c r="AJ89" t="s" s="0">
        <v>82</v>
      </c>
      <c r="AK89" t="s" s="0">
        <v>82</v>
      </c>
      <c r="AL89" t="s" s="0">
        <v>2289</v>
      </c>
      <c r="AM89" t="s" s="0">
        <v>77</v>
      </c>
      <c r="AN89" t="s" s="0">
        <v>77</v>
      </c>
      <c r="AO89" t="s" s="0">
        <v>77</v>
      </c>
      <c r="AP89" t="s" s="0">
        <v>77</v>
      </c>
      <c r="AQ89" t="s" s="0">
        <v>631</v>
      </c>
      <c r="AR89" t="s" s="0">
        <v>632</v>
      </c>
      <c r="AS89" t="s" s="0">
        <v>633</v>
      </c>
      <c r="AT89" t="s" s="0">
        <v>2290</v>
      </c>
      <c r="AU89" t="s" s="0">
        <v>2291</v>
      </c>
      <c r="AV89" t="s" s="0">
        <v>82</v>
      </c>
      <c r="AW89" t="s" s="0">
        <v>2292</v>
      </c>
      <c r="AX89" t="s" s="0">
        <v>2293</v>
      </c>
      <c r="AY89" t="s" s="0">
        <v>2294</v>
      </c>
      <c r="AZ89" t="s" s="0">
        <v>141</v>
      </c>
      <c r="BA89" t="s" s="0">
        <v>2295</v>
      </c>
      <c r="BB89" t="s" s="0">
        <v>82</v>
      </c>
      <c r="BC89" t="s" s="0">
        <v>82</v>
      </c>
      <c r="BD89" t="s" s="0">
        <v>82</v>
      </c>
      <c r="BE89" t="s" s="0">
        <v>82</v>
      </c>
      <c r="BF89" t="s" s="0">
        <v>82</v>
      </c>
      <c r="BG89" t="s" s="0">
        <v>82</v>
      </c>
      <c r="BH89" t="s" s="0">
        <v>82</v>
      </c>
      <c r="BI89" t="s" s="0">
        <v>2296</v>
      </c>
      <c r="BJ89" t="s" s="0">
        <v>2297</v>
      </c>
      <c r="BK89" t="s" s="175">
        <f>HYPERLINK("http://dx.doi.org/10.1016/j.humpath.2026.106156","http://dx.doi.org/10.1016/j.humpath.2026.106156")</f>
        <v>2298</v>
      </c>
      <c r="BL89" t="s" s="0">
        <v>82</v>
      </c>
      <c r="BM89" t="s" s="0">
        <v>82</v>
      </c>
      <c r="BN89" t="s" s="0">
        <v>272</v>
      </c>
      <c r="BO89" t="s" s="0">
        <v>1752</v>
      </c>
      <c r="BP89" t="s" s="0">
        <v>1752</v>
      </c>
      <c r="BQ89" t="s" s="0">
        <v>2299</v>
      </c>
      <c r="BR89" t="s" s="0">
        <v>2300</v>
      </c>
      <c r="BS89" t="s" s="0">
        <v>2301</v>
      </c>
      <c r="BT89" t="s" s="176">
        <f>HYPERLINK("https://www.webofscience.com/wos/woscc/full-record/WOS:001790434000001","View Record in Web of Science")</f>
        <v>118</v>
      </c>
      <c r="BU89" t="s" s="0">
        <v>82</v>
      </c>
      <c r="BV89" t="s" s="0">
        <v>82</v>
      </c>
      <c r="BW89" t="s" s="0">
        <v>82</v>
      </c>
      <c r="BX89" t="s" s="0">
        <v>119</v>
      </c>
    </row>
    <row r="90">
      <c r="A90" t="s" s="0">
        <v>77</v>
      </c>
      <c r="B90" t="s" s="0">
        <v>77</v>
      </c>
      <c r="C90" t="s" s="0">
        <v>77</v>
      </c>
      <c r="D90" t="s" s="0">
        <v>77</v>
      </c>
      <c r="E90" t="s" s="0">
        <v>2302</v>
      </c>
      <c r="F90" t="s" s="0">
        <v>2303</v>
      </c>
      <c r="G90" t="s" s="0">
        <v>2304</v>
      </c>
      <c r="H90" t="s" s="0">
        <v>82</v>
      </c>
      <c r="I90" t="s" s="0">
        <v>83</v>
      </c>
      <c r="J90" t="s" s="0">
        <v>2305</v>
      </c>
      <c r="K90" t="s" s="0">
        <v>2306</v>
      </c>
      <c r="L90" t="s" s="0">
        <v>82</v>
      </c>
      <c r="M90" t="s" s="0">
        <v>82</v>
      </c>
      <c r="N90" t="s" s="0">
        <v>2307</v>
      </c>
      <c r="O90" t="s" s="0">
        <v>2308</v>
      </c>
      <c r="P90" t="s" s="0">
        <v>2309</v>
      </c>
      <c r="Q90" t="s" s="0">
        <v>88</v>
      </c>
      <c r="R90" t="s" s="0">
        <v>82</v>
      </c>
      <c r="S90" t="s" s="0">
        <v>82</v>
      </c>
      <c r="T90" t="s" s="0">
        <v>82</v>
      </c>
      <c r="U90" t="s" s="0">
        <v>82</v>
      </c>
      <c r="V90" t="s" s="0">
        <v>2310</v>
      </c>
      <c r="W90" t="s" s="0">
        <v>2311</v>
      </c>
      <c r="X90" t="s" s="0">
        <v>82</v>
      </c>
      <c r="Y90" t="s" s="0">
        <v>82</v>
      </c>
      <c r="Z90" t="s" s="0">
        <v>91</v>
      </c>
      <c r="AA90" t="s" s="0">
        <v>92</v>
      </c>
      <c r="AB90" t="s" s="0">
        <v>82</v>
      </c>
      <c r="AC90" t="s" s="0">
        <v>82</v>
      </c>
      <c r="AD90" t="s" s="0">
        <v>82</v>
      </c>
      <c r="AE90" t="s" s="0">
        <v>82</v>
      </c>
      <c r="AF90" t="s" s="0">
        <v>82</v>
      </c>
      <c r="AG90" t="s" s="0">
        <v>2312</v>
      </c>
      <c r="AH90" t="s" s="0">
        <v>82</v>
      </c>
      <c r="AI90" t="s" s="0">
        <v>82</v>
      </c>
      <c r="AJ90" t="s" s="0">
        <v>82</v>
      </c>
      <c r="AK90" t="s" s="0">
        <v>82</v>
      </c>
      <c r="AL90" t="s" s="0">
        <v>2267</v>
      </c>
      <c r="AM90" t="s" s="0">
        <v>239</v>
      </c>
      <c r="AN90" t="s" s="0">
        <v>239</v>
      </c>
      <c r="AO90" t="s" s="0">
        <v>342</v>
      </c>
      <c r="AP90" t="s" s="0">
        <v>1068</v>
      </c>
      <c r="AQ90" t="s" s="0">
        <v>711</v>
      </c>
      <c r="AR90" t="s" s="0">
        <v>712</v>
      </c>
      <c r="AS90" t="s" s="0">
        <v>713</v>
      </c>
      <c r="AT90" t="s" s="0">
        <v>82</v>
      </c>
      <c r="AU90" t="s" s="0">
        <v>2313</v>
      </c>
      <c r="AV90" t="s" s="0">
        <v>82</v>
      </c>
      <c r="AW90" t="s" s="0">
        <v>2314</v>
      </c>
      <c r="AX90" t="s" s="0">
        <v>2315</v>
      </c>
      <c r="AY90" t="s" s="0">
        <v>2316</v>
      </c>
      <c r="AZ90" t="s" s="0">
        <v>107</v>
      </c>
      <c r="BA90" t="s" s="0">
        <v>346</v>
      </c>
      <c r="BB90" t="s" s="0">
        <v>82</v>
      </c>
      <c r="BC90" t="s" s="0">
        <v>82</v>
      </c>
      <c r="BD90" t="s" s="0">
        <v>82</v>
      </c>
      <c r="BE90" t="s" s="0">
        <v>82</v>
      </c>
      <c r="BF90" t="s" s="0">
        <v>82</v>
      </c>
      <c r="BG90" t="s" s="0">
        <v>82</v>
      </c>
      <c r="BH90" t="s" s="0">
        <v>82</v>
      </c>
      <c r="BI90" t="s" s="0">
        <v>2317</v>
      </c>
      <c r="BJ90" t="s" s="0">
        <v>2318</v>
      </c>
      <c r="BK90" t="s" s="177">
        <f>HYPERLINK("http://dx.doi.org/10.3389/fvets.2025.1660745","http://dx.doi.org/10.3389/fvets.2025.1660745")</f>
        <v>2319</v>
      </c>
      <c r="BL90" t="s" s="0">
        <v>82</v>
      </c>
      <c r="BM90" t="s" s="0">
        <v>82</v>
      </c>
      <c r="BN90" t="s" s="0">
        <v>176</v>
      </c>
      <c r="BO90" t="s" s="0">
        <v>309</v>
      </c>
      <c r="BP90" t="s" s="0">
        <v>309</v>
      </c>
      <c r="BQ90" t="s" s="0">
        <v>2320</v>
      </c>
      <c r="BR90" t="s" s="0">
        <v>2321</v>
      </c>
      <c r="BS90" t="s" s="0">
        <v>2322</v>
      </c>
      <c r="BT90" t="s" s="178">
        <f>HYPERLINK("https://www.webofscience.com/wos/woscc/full-record/WOS:001573875000001","View Record in Web of Science")</f>
        <v>118</v>
      </c>
      <c r="BU90" t="s" s="0">
        <v>187</v>
      </c>
      <c r="BV90" t="s" s="0">
        <v>82</v>
      </c>
      <c r="BW90" t="s" s="0">
        <v>82</v>
      </c>
      <c r="BX90" t="s" s="0">
        <v>119</v>
      </c>
    </row>
    <row r="91">
      <c r="A91" t="s" s="0">
        <v>77</v>
      </c>
      <c r="B91" t="s" s="0">
        <v>77</v>
      </c>
      <c r="C91" t="s" s="0">
        <v>77</v>
      </c>
      <c r="D91" t="s" s="0">
        <v>77</v>
      </c>
      <c r="E91" t="s" s="0">
        <v>2323</v>
      </c>
      <c r="F91" t="s" s="0">
        <v>2324</v>
      </c>
      <c r="G91" t="s" s="0">
        <v>2325</v>
      </c>
      <c r="H91" t="s" s="0">
        <v>82</v>
      </c>
      <c r="I91" t="s" s="0">
        <v>83</v>
      </c>
      <c r="J91" t="s" s="0">
        <v>2326</v>
      </c>
      <c r="K91" t="s" s="0">
        <v>2327</v>
      </c>
      <c r="L91" t="s" s="0">
        <v>2328</v>
      </c>
      <c r="M91" t="s" s="0">
        <v>2329</v>
      </c>
      <c r="N91" t="s" s="0">
        <v>2330</v>
      </c>
      <c r="O91" t="s" s="0">
        <v>2331</v>
      </c>
      <c r="P91" t="s" s="0">
        <v>2332</v>
      </c>
      <c r="Q91" t="s" s="0">
        <v>88</v>
      </c>
      <c r="R91" t="s" s="0">
        <v>82</v>
      </c>
      <c r="S91" t="s" s="0">
        <v>82</v>
      </c>
      <c r="T91" t="s" s="0">
        <v>82</v>
      </c>
      <c r="U91" t="s" s="0">
        <v>82</v>
      </c>
      <c r="V91" t="s" s="0">
        <v>2333</v>
      </c>
      <c r="W91" t="s" s="0">
        <v>1712</v>
      </c>
      <c r="X91" t="s" s="0">
        <v>82</v>
      </c>
      <c r="Y91" t="s" s="0">
        <v>82</v>
      </c>
      <c r="Z91" t="s" s="0">
        <v>91</v>
      </c>
      <c r="AA91" t="s" s="0">
        <v>92</v>
      </c>
      <c r="AB91" t="s" s="0">
        <v>82</v>
      </c>
      <c r="AC91" t="s" s="0">
        <v>82</v>
      </c>
      <c r="AD91" t="s" s="0">
        <v>82</v>
      </c>
      <c r="AE91" t="s" s="0">
        <v>82</v>
      </c>
      <c r="AF91" t="s" s="0">
        <v>82</v>
      </c>
      <c r="AG91" t="s" s="0">
        <v>2334</v>
      </c>
      <c r="AH91" t="s" s="0">
        <v>2335</v>
      </c>
      <c r="AI91" t="s" s="0">
        <v>82</v>
      </c>
      <c r="AJ91" t="s" s="0">
        <v>2336</v>
      </c>
      <c r="AK91" t="s" s="0">
        <v>82</v>
      </c>
      <c r="AL91" t="s" s="0">
        <v>208</v>
      </c>
      <c r="AM91" t="s" s="0">
        <v>77</v>
      </c>
      <c r="AN91" t="s" s="0">
        <v>77</v>
      </c>
      <c r="AO91" t="s" s="0">
        <v>229</v>
      </c>
      <c r="AP91" t="s" s="0">
        <v>229</v>
      </c>
      <c r="AQ91" t="s" s="0">
        <v>1715</v>
      </c>
      <c r="AR91" t="s" s="0">
        <v>1716</v>
      </c>
      <c r="AS91" t="s" s="0">
        <v>1717</v>
      </c>
      <c r="AT91" t="s" s="0">
        <v>1718</v>
      </c>
      <c r="AU91" t="s" s="0">
        <v>1719</v>
      </c>
      <c r="AV91" t="s" s="0">
        <v>82</v>
      </c>
      <c r="AW91" t="s" s="0">
        <v>1720</v>
      </c>
      <c r="AX91" t="s" s="0">
        <v>1721</v>
      </c>
      <c r="AY91" t="s" s="0">
        <v>140</v>
      </c>
      <c r="AZ91" t="s" s="0">
        <v>141</v>
      </c>
      <c r="BA91" t="s" s="0">
        <v>2337</v>
      </c>
      <c r="BB91" t="s" s="0">
        <v>82</v>
      </c>
      <c r="BC91" t="s" s="0">
        <v>82</v>
      </c>
      <c r="BD91" t="s" s="0">
        <v>82</v>
      </c>
      <c r="BE91" t="s" s="0">
        <v>82</v>
      </c>
      <c r="BF91" t="s" s="0">
        <v>82</v>
      </c>
      <c r="BG91" t="s" s="0">
        <v>82</v>
      </c>
      <c r="BH91" t="s" s="0">
        <v>82</v>
      </c>
      <c r="BI91" t="s" s="0">
        <v>2338</v>
      </c>
      <c r="BJ91" t="s" s="0">
        <v>2339</v>
      </c>
      <c r="BK91" t="s" s="179">
        <f>HYPERLINK("http://dx.doi.org/10.1016/j.ijmedinf.2026.106466","http://dx.doi.org/10.1016/j.ijmedinf.2026.106466")</f>
        <v>2340</v>
      </c>
      <c r="BL91" t="s" s="0">
        <v>82</v>
      </c>
      <c r="BM91" t="s" s="0">
        <v>237</v>
      </c>
      <c r="BN91" t="s" s="0">
        <v>98</v>
      </c>
      <c r="BO91" t="s" s="0">
        <v>1727</v>
      </c>
      <c r="BP91" t="s" s="0">
        <v>1728</v>
      </c>
      <c r="BQ91" t="s" s="0">
        <v>2341</v>
      </c>
      <c r="BR91" t="s" s="0">
        <v>2342</v>
      </c>
      <c r="BS91" t="s" s="0">
        <v>2343</v>
      </c>
      <c r="BT91" t="s" s="180">
        <f>HYPERLINK("https://www.webofscience.com/wos/woscc/full-record/WOS:001769154300001","View Record in Web of Science")</f>
        <v>118</v>
      </c>
      <c r="BU91" t="s" s="0">
        <v>82</v>
      </c>
      <c r="BV91" t="s" s="0">
        <v>82</v>
      </c>
      <c r="BW91" t="s" s="0">
        <v>82</v>
      </c>
      <c r="BX91" t="s" s="0">
        <v>119</v>
      </c>
    </row>
    <row r="92">
      <c r="A92" t="s" s="0">
        <v>77</v>
      </c>
      <c r="B92" t="s" s="0">
        <v>77</v>
      </c>
      <c r="C92" t="s" s="0">
        <v>77</v>
      </c>
      <c r="D92" t="s" s="0">
        <v>77</v>
      </c>
      <c r="E92" t="s" s="0">
        <v>2344</v>
      </c>
      <c r="F92" t="s" s="0">
        <v>2345</v>
      </c>
      <c r="G92" t="s" s="0">
        <v>2346</v>
      </c>
      <c r="H92" t="s" s="0">
        <v>82</v>
      </c>
      <c r="I92" t="s" s="0">
        <v>595</v>
      </c>
      <c r="J92" t="s" s="0">
        <v>2347</v>
      </c>
      <c r="K92" t="s" s="0">
        <v>2348</v>
      </c>
      <c r="L92" t="s" s="0">
        <v>2349</v>
      </c>
      <c r="M92" t="s" s="0">
        <v>2350</v>
      </c>
      <c r="N92" t="s" s="0">
        <v>2351</v>
      </c>
      <c r="O92" t="s" s="0">
        <v>2352</v>
      </c>
      <c r="P92" t="s" s="0">
        <v>2353</v>
      </c>
      <c r="Q92" t="s" s="0">
        <v>88</v>
      </c>
      <c r="R92" t="s" s="0">
        <v>82</v>
      </c>
      <c r="S92" t="s" s="0">
        <v>82</v>
      </c>
      <c r="T92" t="s" s="0">
        <v>82</v>
      </c>
      <c r="U92" t="s" s="0">
        <v>82</v>
      </c>
      <c r="V92" t="s" s="0">
        <v>2354</v>
      </c>
      <c r="W92" t="s" s="0">
        <v>2355</v>
      </c>
      <c r="X92" t="s" s="0">
        <v>82</v>
      </c>
      <c r="Y92" t="s" s="0">
        <v>82</v>
      </c>
      <c r="Z92" t="s" s="0">
        <v>91</v>
      </c>
      <c r="AA92" t="s" s="0">
        <v>92</v>
      </c>
      <c r="AB92" t="s" s="0">
        <v>82</v>
      </c>
      <c r="AC92" t="s" s="0">
        <v>82</v>
      </c>
      <c r="AD92" t="s" s="0">
        <v>82</v>
      </c>
      <c r="AE92" t="s" s="0">
        <v>82</v>
      </c>
      <c r="AF92" t="s" s="0">
        <v>82</v>
      </c>
      <c r="AG92" t="s" s="0">
        <v>2356</v>
      </c>
      <c r="AH92" t="s" s="0">
        <v>82</v>
      </c>
      <c r="AI92" t="s" s="0">
        <v>2357</v>
      </c>
      <c r="AJ92" t="s" s="0">
        <v>2358</v>
      </c>
      <c r="AK92" t="s" s="0">
        <v>82</v>
      </c>
      <c r="AL92" t="s" s="0">
        <v>379</v>
      </c>
      <c r="AM92" t="s" s="0">
        <v>239</v>
      </c>
      <c r="AN92" t="s" s="0">
        <v>308</v>
      </c>
      <c r="AO92" t="s" s="0">
        <v>77</v>
      </c>
      <c r="AP92" t="s" s="0">
        <v>169</v>
      </c>
      <c r="AQ92" t="s" s="0">
        <v>1230</v>
      </c>
      <c r="AR92" t="s" s="0">
        <v>1231</v>
      </c>
      <c r="AS92" t="s" s="0">
        <v>1232</v>
      </c>
      <c r="AT92" t="s" s="0">
        <v>82</v>
      </c>
      <c r="AU92" t="s" s="0">
        <v>2359</v>
      </c>
      <c r="AV92" t="s" s="0">
        <v>82</v>
      </c>
      <c r="AW92" t="s" s="0">
        <v>2360</v>
      </c>
      <c r="AX92" t="s" s="0">
        <v>2361</v>
      </c>
      <c r="AY92" t="s" s="0">
        <v>341</v>
      </c>
      <c r="AZ92" t="s" s="0">
        <v>341</v>
      </c>
      <c r="BA92" t="s" s="0">
        <v>790</v>
      </c>
      <c r="BB92" t="s" s="0">
        <v>82</v>
      </c>
      <c r="BC92" t="s" s="0">
        <v>82</v>
      </c>
      <c r="BD92" t="s" s="0">
        <v>82</v>
      </c>
      <c r="BE92" t="s" s="0">
        <v>82</v>
      </c>
      <c r="BF92" t="s" s="0">
        <v>82</v>
      </c>
      <c r="BG92" t="s" s="0">
        <v>2362</v>
      </c>
      <c r="BH92" t="s" s="0">
        <v>2363</v>
      </c>
      <c r="BI92" t="s" s="0">
        <v>82</v>
      </c>
      <c r="BJ92" t="s" s="0">
        <v>2364</v>
      </c>
      <c r="BK92" t="s" s="181">
        <f>HYPERLINK("http://dx.doi.org/10.2147/OPTH.S483024","http://dx.doi.org/10.2147/OPTH.S483024")</f>
        <v>2365</v>
      </c>
      <c r="BL92" t="s" s="0">
        <v>82</v>
      </c>
      <c r="BM92" t="s" s="0">
        <v>82</v>
      </c>
      <c r="BN92" t="s" s="0">
        <v>132</v>
      </c>
      <c r="BO92" t="s" s="0">
        <v>1525</v>
      </c>
      <c r="BP92" t="s" s="0">
        <v>1525</v>
      </c>
      <c r="BQ92" t="s" s="0">
        <v>2366</v>
      </c>
      <c r="BR92" t="s" s="0">
        <v>2367</v>
      </c>
      <c r="BS92" t="s" s="0">
        <v>2368</v>
      </c>
      <c r="BT92" t="s" s="182">
        <f>HYPERLINK("https://www.webofscience.com/wos/woscc/full-record/WOS:001373157100001","View Record in Web of Science")</f>
        <v>118</v>
      </c>
      <c r="BU92" t="s" s="0">
        <v>187</v>
      </c>
      <c r="BV92" t="s" s="0">
        <v>82</v>
      </c>
      <c r="BW92" t="s" s="0">
        <v>82</v>
      </c>
      <c r="BX92" t="s" s="0">
        <v>119</v>
      </c>
    </row>
    <row r="93">
      <c r="A93" t="s" s="0">
        <v>77</v>
      </c>
      <c r="B93" t="s" s="0">
        <v>77</v>
      </c>
      <c r="C93" t="s" s="0">
        <v>77</v>
      </c>
      <c r="D93" t="s" s="0">
        <v>77</v>
      </c>
      <c r="E93" t="s" s="0">
        <v>2369</v>
      </c>
      <c r="F93" t="s" s="0">
        <v>2370</v>
      </c>
      <c r="G93" t="s" s="0">
        <v>2371</v>
      </c>
      <c r="H93" t="s" s="0">
        <v>82</v>
      </c>
      <c r="I93" t="s" s="0">
        <v>595</v>
      </c>
      <c r="J93" t="s" s="0">
        <v>2372</v>
      </c>
      <c r="K93" t="s" s="0">
        <v>2373</v>
      </c>
      <c r="L93" t="s" s="0">
        <v>82</v>
      </c>
      <c r="M93" t="s" s="0">
        <v>82</v>
      </c>
      <c r="N93" t="s" s="0">
        <v>82</v>
      </c>
      <c r="O93" t="s" s="0">
        <v>2374</v>
      </c>
      <c r="P93" t="s" s="0">
        <v>2375</v>
      </c>
      <c r="Q93" t="s" s="0">
        <v>88</v>
      </c>
      <c r="R93" t="s" s="0">
        <v>82</v>
      </c>
      <c r="S93" t="s" s="0">
        <v>82</v>
      </c>
      <c r="T93" t="s" s="0">
        <v>82</v>
      </c>
      <c r="U93" t="s" s="0">
        <v>82</v>
      </c>
      <c r="V93" t="s" s="0">
        <v>2376</v>
      </c>
      <c r="W93" t="s" s="0">
        <v>2377</v>
      </c>
      <c r="X93" t="s" s="0">
        <v>82</v>
      </c>
      <c r="Y93" t="s" s="0">
        <v>82</v>
      </c>
      <c r="Z93" t="s" s="0">
        <v>91</v>
      </c>
      <c r="AA93" t="s" s="0">
        <v>92</v>
      </c>
      <c r="AB93" t="s" s="0">
        <v>82</v>
      </c>
      <c r="AC93" t="s" s="0">
        <v>82</v>
      </c>
      <c r="AD93" t="s" s="0">
        <v>82</v>
      </c>
      <c r="AE93" t="s" s="0">
        <v>82</v>
      </c>
      <c r="AF93" t="s" s="0">
        <v>82</v>
      </c>
      <c r="AG93" t="s" s="0">
        <v>2378</v>
      </c>
      <c r="AH93" t="s" s="0">
        <v>82</v>
      </c>
      <c r="AI93" t="s" s="0">
        <v>2379</v>
      </c>
      <c r="AJ93" t="s" s="0">
        <v>82</v>
      </c>
      <c r="AK93" t="s" s="0">
        <v>82</v>
      </c>
      <c r="AL93" t="s" s="0">
        <v>476</v>
      </c>
      <c r="AM93" t="s" s="0">
        <v>169</v>
      </c>
      <c r="AN93" t="s" s="0">
        <v>308</v>
      </c>
      <c r="AO93" t="s" s="0">
        <v>98</v>
      </c>
      <c r="AP93" t="s" s="0">
        <v>98</v>
      </c>
      <c r="AQ93" t="s" s="0">
        <v>99</v>
      </c>
      <c r="AR93" t="s" s="0">
        <v>100</v>
      </c>
      <c r="AS93" t="s" s="0">
        <v>101</v>
      </c>
      <c r="AT93" t="s" s="0">
        <v>2380</v>
      </c>
      <c r="AU93" t="s" s="0">
        <v>82</v>
      </c>
      <c r="AV93" t="s" s="0">
        <v>82</v>
      </c>
      <c r="AW93" t="s" s="0">
        <v>2381</v>
      </c>
      <c r="AX93" t="s" s="0">
        <v>2382</v>
      </c>
      <c r="AY93" t="s" s="0">
        <v>141</v>
      </c>
      <c r="AZ93" t="s" s="0">
        <v>141</v>
      </c>
      <c r="BA93" t="s" s="0">
        <v>308</v>
      </c>
      <c r="BB93" t="s" s="0">
        <v>82</v>
      </c>
      <c r="BC93" t="s" s="0">
        <v>82</v>
      </c>
      <c r="BD93" t="s" s="0">
        <v>82</v>
      </c>
      <c r="BE93" t="s" s="0">
        <v>82</v>
      </c>
      <c r="BF93" t="s" s="0">
        <v>82</v>
      </c>
      <c r="BG93" t="s" s="0">
        <v>82</v>
      </c>
      <c r="BH93" t="s" s="0">
        <v>82</v>
      </c>
      <c r="BI93" t="s" s="0">
        <v>2383</v>
      </c>
      <c r="BJ93" t="s" s="0">
        <v>2384</v>
      </c>
      <c r="BK93" t="s" s="183">
        <f>HYPERLINK("http://dx.doi.org/10.1016/j.bas.2026.105997","http://dx.doi.org/10.1016/j.bas.2026.105997")</f>
        <v>2385</v>
      </c>
      <c r="BL93" t="s" s="0">
        <v>82</v>
      </c>
      <c r="BM93" t="s" s="0">
        <v>82</v>
      </c>
      <c r="BN93" t="s" s="0">
        <v>244</v>
      </c>
      <c r="BO93" t="s" s="0">
        <v>113</v>
      </c>
      <c r="BP93" t="s" s="0">
        <v>114</v>
      </c>
      <c r="BQ93" t="s" s="0">
        <v>2386</v>
      </c>
      <c r="BR93" t="s" s="0">
        <v>2387</v>
      </c>
      <c r="BS93" t="s" s="0">
        <v>2388</v>
      </c>
      <c r="BT93" t="s" s="184">
        <f>HYPERLINK("https://www.webofscience.com/wos/woscc/full-record/WOS:001718697300001","View Record in Web of Science")</f>
        <v>118</v>
      </c>
      <c r="BU93" t="s" s="0">
        <v>187</v>
      </c>
      <c r="BV93" t="s" s="0">
        <v>82</v>
      </c>
      <c r="BW93" t="s" s="0">
        <v>82</v>
      </c>
      <c r="BX93" t="s" s="0">
        <v>119</v>
      </c>
    </row>
    <row r="94">
      <c r="A94" t="s" s="0">
        <v>77</v>
      </c>
      <c r="B94" t="s" s="0">
        <v>77</v>
      </c>
      <c r="C94" t="s" s="0">
        <v>77</v>
      </c>
      <c r="D94" t="s" s="0">
        <v>77</v>
      </c>
      <c r="E94" t="s" s="0">
        <v>2389</v>
      </c>
      <c r="F94" t="s" s="0">
        <v>2390</v>
      </c>
      <c r="G94" t="s" s="0">
        <v>2391</v>
      </c>
      <c r="H94" t="s" s="0">
        <v>82</v>
      </c>
      <c r="I94" t="s" s="0">
        <v>595</v>
      </c>
      <c r="J94" t="s" s="0">
        <v>2392</v>
      </c>
      <c r="K94" t="s" s="0">
        <v>2393</v>
      </c>
      <c r="L94" t="s" s="0">
        <v>82</v>
      </c>
      <c r="M94" t="s" s="0">
        <v>82</v>
      </c>
      <c r="N94" t="s" s="0">
        <v>82</v>
      </c>
      <c r="O94" t="s" s="0">
        <v>2394</v>
      </c>
      <c r="P94" t="s" s="0">
        <v>2395</v>
      </c>
      <c r="Q94" t="s" s="0">
        <v>88</v>
      </c>
      <c r="R94" t="s" s="0">
        <v>82</v>
      </c>
      <c r="S94" t="s" s="0">
        <v>82</v>
      </c>
      <c r="T94" t="s" s="0">
        <v>82</v>
      </c>
      <c r="U94" t="s" s="0">
        <v>82</v>
      </c>
      <c r="V94" t="s" s="0">
        <v>2396</v>
      </c>
      <c r="W94" t="s" s="0">
        <v>2397</v>
      </c>
      <c r="X94" t="s" s="0">
        <v>82</v>
      </c>
      <c r="Y94" t="s" s="0">
        <v>82</v>
      </c>
      <c r="Z94" t="s" s="0">
        <v>91</v>
      </c>
      <c r="AA94" t="s" s="0">
        <v>92</v>
      </c>
      <c r="AB94" t="s" s="0">
        <v>82</v>
      </c>
      <c r="AC94" t="s" s="0">
        <v>82</v>
      </c>
      <c r="AD94" t="s" s="0">
        <v>82</v>
      </c>
      <c r="AE94" t="s" s="0">
        <v>82</v>
      </c>
      <c r="AF94" t="s" s="0">
        <v>82</v>
      </c>
      <c r="AG94" t="s" s="0">
        <v>2398</v>
      </c>
      <c r="AH94" t="s" s="0">
        <v>2399</v>
      </c>
      <c r="AI94" t="s" s="0">
        <v>82</v>
      </c>
      <c r="AJ94" t="s" s="0">
        <v>82</v>
      </c>
      <c r="AK94" t="s" s="0">
        <v>82</v>
      </c>
      <c r="AL94" t="s" s="0">
        <v>952</v>
      </c>
      <c r="AM94" t="s" s="0">
        <v>77</v>
      </c>
      <c r="AN94" t="s" s="0">
        <v>77</v>
      </c>
      <c r="AO94" t="s" s="0">
        <v>77</v>
      </c>
      <c r="AP94" t="s" s="0">
        <v>77</v>
      </c>
      <c r="AQ94" t="s" s="0">
        <v>2400</v>
      </c>
      <c r="AR94" t="s" s="0">
        <v>2401</v>
      </c>
      <c r="AS94" t="s" s="0">
        <v>2402</v>
      </c>
      <c r="AT94" t="s" s="0">
        <v>2403</v>
      </c>
      <c r="AU94" t="s" s="0">
        <v>2404</v>
      </c>
      <c r="AV94" t="s" s="0">
        <v>82</v>
      </c>
      <c r="AW94" t="s" s="0">
        <v>2405</v>
      </c>
      <c r="AX94" t="s" s="0">
        <v>2406</v>
      </c>
      <c r="AY94" t="s" s="0">
        <v>276</v>
      </c>
      <c r="AZ94" t="s" s="0">
        <v>141</v>
      </c>
      <c r="BA94" t="s" s="0">
        <v>212</v>
      </c>
      <c r="BB94" t="s" s="0">
        <v>169</v>
      </c>
      <c r="BC94" t="s" s="0">
        <v>82</v>
      </c>
      <c r="BD94" t="s" s="0">
        <v>82</v>
      </c>
      <c r="BE94" t="s" s="0">
        <v>82</v>
      </c>
      <c r="BF94" t="s" s="0">
        <v>82</v>
      </c>
      <c r="BG94" t="s" s="0">
        <v>2407</v>
      </c>
      <c r="BH94" t="s" s="0">
        <v>2408</v>
      </c>
      <c r="BI94" t="s" s="0">
        <v>82</v>
      </c>
      <c r="BJ94" t="s" s="0">
        <v>2409</v>
      </c>
      <c r="BK94" t="s" s="185">
        <f>HYPERLINK("http://dx.doi.org/10.7860/JCDR/2026/85628.23103","http://dx.doi.org/10.7860/JCDR/2026/85628.23103")</f>
        <v>2410</v>
      </c>
      <c r="BL94" t="s" s="0">
        <v>82</v>
      </c>
      <c r="BM94" t="s" s="0">
        <v>82</v>
      </c>
      <c r="BN94" t="s" s="0">
        <v>308</v>
      </c>
      <c r="BO94" t="s" s="0">
        <v>182</v>
      </c>
      <c r="BP94" t="s" s="0">
        <v>183</v>
      </c>
      <c r="BQ94" t="s" s="0">
        <v>2411</v>
      </c>
      <c r="BR94" t="s" s="0">
        <v>82</v>
      </c>
      <c r="BS94" t="s" s="0">
        <v>2412</v>
      </c>
      <c r="BT94" t="s" s="186">
        <f>HYPERLINK("https://www.webofscience.com/wos/woscc/full-record/WOS:001720895100037","View Record in Web of Science")</f>
        <v>118</v>
      </c>
      <c r="BU94" t="s" s="0">
        <v>187</v>
      </c>
      <c r="BV94" t="s" s="0">
        <v>82</v>
      </c>
      <c r="BW94" t="s" s="0">
        <v>82</v>
      </c>
      <c r="BX94" t="s" s="0">
        <v>119</v>
      </c>
    </row>
    <row r="95">
      <c r="A95" t="s" s="0">
        <v>77</v>
      </c>
      <c r="B95" t="s" s="0">
        <v>77</v>
      </c>
      <c r="C95" t="s" s="0">
        <v>77</v>
      </c>
      <c r="D95" t="s" s="0">
        <v>77</v>
      </c>
      <c r="E95" t="s" s="0">
        <v>2413</v>
      </c>
      <c r="F95" t="s" s="0">
        <v>2414</v>
      </c>
      <c r="G95" t="s" s="0">
        <v>2415</v>
      </c>
      <c r="H95" t="s" s="0">
        <v>82</v>
      </c>
      <c r="I95" t="s" s="0">
        <v>83</v>
      </c>
      <c r="J95" t="s" s="0">
        <v>2416</v>
      </c>
      <c r="K95" t="s" s="0">
        <v>877</v>
      </c>
      <c r="L95" t="s" s="0">
        <v>2417</v>
      </c>
      <c r="M95" t="s" s="0">
        <v>2418</v>
      </c>
      <c r="N95" t="s" s="0">
        <v>2419</v>
      </c>
      <c r="O95" t="s" s="0">
        <v>2420</v>
      </c>
      <c r="P95" t="s" s="0">
        <v>2421</v>
      </c>
      <c r="Q95" t="s" s="0">
        <v>88</v>
      </c>
      <c r="R95" t="s" s="0">
        <v>82</v>
      </c>
      <c r="S95" t="s" s="0">
        <v>82</v>
      </c>
      <c r="T95" t="s" s="0">
        <v>82</v>
      </c>
      <c r="U95" t="s" s="0">
        <v>82</v>
      </c>
      <c r="V95" t="s" s="0">
        <v>2422</v>
      </c>
      <c r="W95" t="s" s="0">
        <v>2423</v>
      </c>
      <c r="X95" t="s" s="0">
        <v>82</v>
      </c>
      <c r="Y95" t="s" s="0">
        <v>82</v>
      </c>
      <c r="Z95" t="s" s="0">
        <v>91</v>
      </c>
      <c r="AA95" t="s" s="0">
        <v>526</v>
      </c>
      <c r="AB95" t="s" s="0">
        <v>82</v>
      </c>
      <c r="AC95" t="s" s="0">
        <v>82</v>
      </c>
      <c r="AD95" t="s" s="0">
        <v>82</v>
      </c>
      <c r="AE95" t="s" s="0">
        <v>82</v>
      </c>
      <c r="AF95" t="s" s="0">
        <v>82</v>
      </c>
      <c r="AG95" t="s" s="0">
        <v>2424</v>
      </c>
      <c r="AH95" t="s" s="0">
        <v>2425</v>
      </c>
      <c r="AI95" t="s" s="0">
        <v>2426</v>
      </c>
      <c r="AJ95" t="s" s="0">
        <v>82</v>
      </c>
      <c r="AK95" t="s" s="0">
        <v>82</v>
      </c>
      <c r="AL95" t="s" s="0">
        <v>1068</v>
      </c>
      <c r="AM95" t="s" s="0">
        <v>77</v>
      </c>
      <c r="AN95" t="s" s="0">
        <v>77</v>
      </c>
      <c r="AO95" t="s" s="0">
        <v>77</v>
      </c>
      <c r="AP95" t="s" s="0">
        <v>77</v>
      </c>
      <c r="AQ95" t="s" s="0">
        <v>550</v>
      </c>
      <c r="AR95" t="s" s="0">
        <v>739</v>
      </c>
      <c r="AS95" t="s" s="0">
        <v>740</v>
      </c>
      <c r="AT95" t="s" s="0">
        <v>2427</v>
      </c>
      <c r="AU95" t="s" s="0">
        <v>2428</v>
      </c>
      <c r="AV95" t="s" s="0">
        <v>82</v>
      </c>
      <c r="AW95" t="s" s="0">
        <v>2429</v>
      </c>
      <c r="AX95" t="s" s="0">
        <v>2430</v>
      </c>
      <c r="AY95" t="s" s="0">
        <v>82</v>
      </c>
      <c r="AZ95" t="s" s="0">
        <v>141</v>
      </c>
      <c r="BA95" t="s" s="0">
        <v>82</v>
      </c>
      <c r="BB95" t="s" s="0">
        <v>82</v>
      </c>
      <c r="BC95" t="s" s="0">
        <v>82</v>
      </c>
      <c r="BD95" t="s" s="0">
        <v>82</v>
      </c>
      <c r="BE95" t="s" s="0">
        <v>82</v>
      </c>
      <c r="BF95" t="s" s="0">
        <v>82</v>
      </c>
      <c r="BG95" t="s" s="0">
        <v>82</v>
      </c>
      <c r="BH95" t="s" s="0">
        <v>82</v>
      </c>
      <c r="BI95" t="s" s="0">
        <v>82</v>
      </c>
      <c r="BJ95" t="s" s="0">
        <v>2431</v>
      </c>
      <c r="BK95" t="s" s="187">
        <f>HYPERLINK("http://dx.doi.org/10.1007/s00417-026-07442-7","http://dx.doi.org/10.1007/s00417-026-07442-7")</f>
        <v>2432</v>
      </c>
      <c r="BL95" t="s" s="0">
        <v>82</v>
      </c>
      <c r="BM95" t="s" s="0">
        <v>140</v>
      </c>
      <c r="BN95" t="s" s="0">
        <v>342</v>
      </c>
      <c r="BO95" t="s" s="0">
        <v>1525</v>
      </c>
      <c r="BP95" t="s" s="0">
        <v>1525</v>
      </c>
      <c r="BQ95" t="s" s="0">
        <v>2433</v>
      </c>
      <c r="BR95" t="s" s="0">
        <v>2434</v>
      </c>
      <c r="BS95" t="s" s="0">
        <v>2435</v>
      </c>
      <c r="BT95" t="s" s="188">
        <f>HYPERLINK("https://www.webofscience.com/wos/woscc/full-record/WOS:001841839700001","View Record in Web of Science")</f>
        <v>118</v>
      </c>
      <c r="BU95" t="s" s="0">
        <v>82</v>
      </c>
      <c r="BV95" t="s" s="0">
        <v>82</v>
      </c>
      <c r="BW95" t="s" s="0">
        <v>82</v>
      </c>
      <c r="BX95" t="s" s="0">
        <v>119</v>
      </c>
    </row>
    <row r="96">
      <c r="A96" t="s" s="0">
        <v>77</v>
      </c>
      <c r="B96" t="s" s="0">
        <v>77</v>
      </c>
      <c r="C96" t="s" s="0">
        <v>77</v>
      </c>
      <c r="D96" t="s" s="0">
        <v>77</v>
      </c>
      <c r="E96" t="s" s="0">
        <v>2436</v>
      </c>
      <c r="F96" t="s" s="0">
        <v>2437</v>
      </c>
      <c r="G96" t="s" s="0">
        <v>2438</v>
      </c>
      <c r="H96" t="s" s="0">
        <v>82</v>
      </c>
      <c r="I96" t="s" s="0">
        <v>83</v>
      </c>
      <c r="J96" t="s" s="0">
        <v>2439</v>
      </c>
      <c r="K96" t="s" s="0">
        <v>2440</v>
      </c>
      <c r="L96" t="s" s="0">
        <v>2441</v>
      </c>
      <c r="M96" t="s" s="0">
        <v>2442</v>
      </c>
      <c r="N96" t="s" s="0">
        <v>2443</v>
      </c>
      <c r="O96" t="s" s="0">
        <v>2444</v>
      </c>
      <c r="P96" t="s" s="0">
        <v>2445</v>
      </c>
      <c r="Q96" t="s" s="0">
        <v>88</v>
      </c>
      <c r="R96" t="s" s="0">
        <v>82</v>
      </c>
      <c r="S96" t="s" s="0">
        <v>82</v>
      </c>
      <c r="T96" t="s" s="0">
        <v>82</v>
      </c>
      <c r="U96" t="s" s="0">
        <v>82</v>
      </c>
      <c r="V96" t="s" s="0">
        <v>2446</v>
      </c>
      <c r="W96" t="s" s="0">
        <v>1056</v>
      </c>
      <c r="X96" t="s" s="0">
        <v>82</v>
      </c>
      <c r="Y96" t="s" s="0">
        <v>82</v>
      </c>
      <c r="Z96" t="s" s="0">
        <v>91</v>
      </c>
      <c r="AA96" t="s" s="0">
        <v>92</v>
      </c>
      <c r="AB96" t="s" s="0">
        <v>82</v>
      </c>
      <c r="AC96" t="s" s="0">
        <v>82</v>
      </c>
      <c r="AD96" t="s" s="0">
        <v>82</v>
      </c>
      <c r="AE96" t="s" s="0">
        <v>82</v>
      </c>
      <c r="AF96" t="s" s="0">
        <v>82</v>
      </c>
      <c r="AG96" t="s" s="0">
        <v>2447</v>
      </c>
      <c r="AH96" t="s" s="0">
        <v>82</v>
      </c>
      <c r="AI96" t="s" s="0">
        <v>2448</v>
      </c>
      <c r="AJ96" t="s" s="0">
        <v>2449</v>
      </c>
      <c r="AK96" t="s" s="0">
        <v>82</v>
      </c>
      <c r="AL96" t="s" s="0">
        <v>97</v>
      </c>
      <c r="AM96" t="s" s="0">
        <v>169</v>
      </c>
      <c r="AN96" t="s" s="0">
        <v>239</v>
      </c>
      <c r="AO96" t="s" s="0">
        <v>169</v>
      </c>
      <c r="AP96" t="s" s="0">
        <v>277</v>
      </c>
      <c r="AQ96" t="s" s="0">
        <v>200</v>
      </c>
      <c r="AR96" t="s" s="0">
        <v>201</v>
      </c>
      <c r="AS96" t="s" s="0">
        <v>202</v>
      </c>
      <c r="AT96" t="s" s="0">
        <v>82</v>
      </c>
      <c r="AU96" t="s" s="0">
        <v>1062</v>
      </c>
      <c r="AV96" t="s" s="0">
        <v>82</v>
      </c>
      <c r="AW96" t="s" s="0">
        <v>1063</v>
      </c>
      <c r="AX96" t="s" s="0">
        <v>1064</v>
      </c>
      <c r="AY96" t="s" s="0">
        <v>107</v>
      </c>
      <c r="AZ96" t="s" s="0">
        <v>107</v>
      </c>
      <c r="BA96" t="s" s="0">
        <v>425</v>
      </c>
      <c r="BB96" t="s" s="0">
        <v>82</v>
      </c>
      <c r="BC96" t="s" s="0">
        <v>82</v>
      </c>
      <c r="BD96" t="s" s="0">
        <v>82</v>
      </c>
      <c r="BE96" t="s" s="0">
        <v>82</v>
      </c>
      <c r="BF96" t="s" s="0">
        <v>82</v>
      </c>
      <c r="BG96" t="s" s="0">
        <v>82</v>
      </c>
      <c r="BH96" t="s" s="0">
        <v>82</v>
      </c>
      <c r="BI96" t="s" s="0">
        <v>2450</v>
      </c>
      <c r="BJ96" t="s" s="0">
        <v>2451</v>
      </c>
      <c r="BK96" t="s" s="189">
        <f>HYPERLINK("http://dx.doi.org/10.2196/75556","http://dx.doi.org/10.2196/75556")</f>
        <v>2452</v>
      </c>
      <c r="BL96" t="s" s="0">
        <v>82</v>
      </c>
      <c r="BM96" t="s" s="0">
        <v>82</v>
      </c>
      <c r="BN96" t="s" s="0">
        <v>425</v>
      </c>
      <c r="BO96" t="s" s="0">
        <v>1069</v>
      </c>
      <c r="BP96" t="s" s="0">
        <v>1069</v>
      </c>
      <c r="BQ96" t="s" s="0">
        <v>2453</v>
      </c>
      <c r="BR96" t="s" s="0">
        <v>2454</v>
      </c>
      <c r="BS96" t="s" s="0">
        <v>2455</v>
      </c>
      <c r="BT96" t="s" s="190">
        <f>HYPERLINK("https://www.webofscience.com/wos/woscc/full-record/WOS:001604476800001","View Record in Web of Science")</f>
        <v>118</v>
      </c>
      <c r="BU96" t="s" s="0">
        <v>187</v>
      </c>
      <c r="BV96" t="s" s="0">
        <v>82</v>
      </c>
      <c r="BW96" t="s" s="0">
        <v>82</v>
      </c>
      <c r="BX96" t="s" s="0">
        <v>119</v>
      </c>
    </row>
    <row r="97">
      <c r="A97" t="s" s="0">
        <v>77</v>
      </c>
      <c r="B97" t="s" s="0">
        <v>77</v>
      </c>
      <c r="C97" t="s" s="0">
        <v>77</v>
      </c>
      <c r="D97" t="s" s="0">
        <v>77</v>
      </c>
      <c r="E97" t="s" s="0">
        <v>2456</v>
      </c>
      <c r="F97" t="s" s="0">
        <v>2457</v>
      </c>
      <c r="G97" t="s" s="0">
        <v>2458</v>
      </c>
      <c r="H97" t="s" s="0">
        <v>82</v>
      </c>
      <c r="I97" t="s" s="0">
        <v>595</v>
      </c>
      <c r="J97" t="s" s="0">
        <v>2459</v>
      </c>
      <c r="K97" t="s" s="0">
        <v>2460</v>
      </c>
      <c r="L97" t="s" s="0">
        <v>2461</v>
      </c>
      <c r="M97" t="s" s="0">
        <v>2462</v>
      </c>
      <c r="N97" t="s" s="0">
        <v>2463</v>
      </c>
      <c r="O97" t="s" s="0">
        <v>2464</v>
      </c>
      <c r="P97" t="s" s="0">
        <v>2465</v>
      </c>
      <c r="Q97" t="s" s="0">
        <v>88</v>
      </c>
      <c r="R97" t="s" s="0">
        <v>82</v>
      </c>
      <c r="S97" t="s" s="0">
        <v>82</v>
      </c>
      <c r="T97" t="s" s="0">
        <v>82</v>
      </c>
      <c r="U97" t="s" s="0">
        <v>82</v>
      </c>
      <c r="V97" t="s" s="0">
        <v>2466</v>
      </c>
      <c r="W97" t="s" s="0">
        <v>2467</v>
      </c>
      <c r="X97" t="s" s="0">
        <v>82</v>
      </c>
      <c r="Y97" t="s" s="0">
        <v>82</v>
      </c>
      <c r="Z97" t="s" s="0">
        <v>91</v>
      </c>
      <c r="AA97" t="s" s="0">
        <v>92</v>
      </c>
      <c r="AB97" t="s" s="0">
        <v>82</v>
      </c>
      <c r="AC97" t="s" s="0">
        <v>82</v>
      </c>
      <c r="AD97" t="s" s="0">
        <v>82</v>
      </c>
      <c r="AE97" t="s" s="0">
        <v>82</v>
      </c>
      <c r="AF97" t="s" s="0">
        <v>82</v>
      </c>
      <c r="AG97" t="s" s="0">
        <v>2468</v>
      </c>
      <c r="AH97" t="s" s="0">
        <v>2469</v>
      </c>
      <c r="AI97" t="s" s="0">
        <v>82</v>
      </c>
      <c r="AJ97" t="s" s="0">
        <v>82</v>
      </c>
      <c r="AK97" t="s" s="0">
        <v>82</v>
      </c>
      <c r="AL97" t="s" s="0">
        <v>329</v>
      </c>
      <c r="AM97" t="s" s="0">
        <v>77</v>
      </c>
      <c r="AN97" t="s" s="0">
        <v>77</v>
      </c>
      <c r="AO97" t="s" s="0">
        <v>229</v>
      </c>
      <c r="AP97" t="s" s="0">
        <v>229</v>
      </c>
      <c r="AQ97" t="s" s="0">
        <v>2470</v>
      </c>
      <c r="AR97" t="s" s="0">
        <v>2471</v>
      </c>
      <c r="AS97" t="s" s="0">
        <v>2472</v>
      </c>
      <c r="AT97" t="s" s="0">
        <v>82</v>
      </c>
      <c r="AU97" t="s" s="0">
        <v>2473</v>
      </c>
      <c r="AV97" t="s" s="0">
        <v>82</v>
      </c>
      <c r="AW97" t="s" s="0">
        <v>2474</v>
      </c>
      <c r="AX97" t="s" s="0">
        <v>2475</v>
      </c>
      <c r="AY97" t="s" s="0">
        <v>107</v>
      </c>
      <c r="AZ97" t="s" s="0">
        <v>107</v>
      </c>
      <c r="BA97" t="s" s="0">
        <v>272</v>
      </c>
      <c r="BB97" t="s" s="0">
        <v>169</v>
      </c>
      <c r="BC97" t="s" s="0">
        <v>82</v>
      </c>
      <c r="BD97" t="s" s="0">
        <v>82</v>
      </c>
      <c r="BE97" t="s" s="0">
        <v>82</v>
      </c>
      <c r="BF97" t="s" s="0">
        <v>82</v>
      </c>
      <c r="BG97" t="s" s="0">
        <v>2476</v>
      </c>
      <c r="BH97" t="s" s="0">
        <v>2477</v>
      </c>
      <c r="BI97" t="s" s="0">
        <v>82</v>
      </c>
      <c r="BJ97" t="s" s="0">
        <v>2478</v>
      </c>
      <c r="BK97" t="s" s="191">
        <f>HYPERLINK("http://dx.doi.org/10.36922/EJMO025120058","http://dx.doi.org/10.36922/EJMO025120058")</f>
        <v>2479</v>
      </c>
      <c r="BL97" t="s" s="0">
        <v>82</v>
      </c>
      <c r="BM97" t="s" s="0">
        <v>82</v>
      </c>
      <c r="BN97" t="s" s="0">
        <v>342</v>
      </c>
      <c r="BO97" t="s" s="0">
        <v>2480</v>
      </c>
      <c r="BP97" t="s" s="0">
        <v>2481</v>
      </c>
      <c r="BQ97" t="s" s="0">
        <v>2482</v>
      </c>
      <c r="BR97" t="s" s="0">
        <v>82</v>
      </c>
      <c r="BS97" t="s" s="0">
        <v>2483</v>
      </c>
      <c r="BT97" t="s" s="192">
        <f>HYPERLINK("https://www.webofscience.com/wos/woscc/full-record/WOS:001651228400014","View Record in Web of Science")</f>
        <v>118</v>
      </c>
      <c r="BU97" t="s" s="0">
        <v>1634</v>
      </c>
      <c r="BV97" t="s" s="0">
        <v>82</v>
      </c>
      <c r="BW97" t="s" s="0">
        <v>82</v>
      </c>
      <c r="BX97" t="s" s="0">
        <v>119</v>
      </c>
    </row>
    <row r="98">
      <c r="A98" t="s" s="0">
        <v>77</v>
      </c>
      <c r="B98" t="s" s="0">
        <v>77</v>
      </c>
      <c r="C98" t="s" s="0">
        <v>77</v>
      </c>
      <c r="D98" t="s" s="0">
        <v>77</v>
      </c>
      <c r="E98" t="s" s="0">
        <v>2484</v>
      </c>
      <c r="F98" t="s" s="0">
        <v>2485</v>
      </c>
      <c r="G98" t="s" s="0">
        <v>2486</v>
      </c>
      <c r="H98" t="s" s="0">
        <v>82</v>
      </c>
      <c r="I98" t="s" s="0">
        <v>83</v>
      </c>
      <c r="J98" t="s" s="0">
        <v>2487</v>
      </c>
      <c r="K98" t="s" s="0">
        <v>82</v>
      </c>
      <c r="L98" t="s" s="0">
        <v>82</v>
      </c>
      <c r="M98" t="s" s="0">
        <v>82</v>
      </c>
      <c r="N98" t="s" s="0">
        <v>82</v>
      </c>
      <c r="O98" t="s" s="0">
        <v>2488</v>
      </c>
      <c r="P98" t="s" s="0">
        <v>2489</v>
      </c>
      <c r="Q98" t="s" s="0">
        <v>88</v>
      </c>
      <c r="R98" t="s" s="0">
        <v>82</v>
      </c>
      <c r="S98" t="s" s="0">
        <v>82</v>
      </c>
      <c r="T98" t="s" s="0">
        <v>82</v>
      </c>
      <c r="U98" t="s" s="0">
        <v>82</v>
      </c>
      <c r="V98" t="s" s="0">
        <v>2490</v>
      </c>
      <c r="W98" t="s" s="0">
        <v>2491</v>
      </c>
      <c r="X98" t="s" s="0">
        <v>82</v>
      </c>
      <c r="Y98" t="s" s="0">
        <v>82</v>
      </c>
      <c r="Z98" t="s" s="0">
        <v>91</v>
      </c>
      <c r="AA98" t="s" s="0">
        <v>92</v>
      </c>
      <c r="AB98" t="s" s="0">
        <v>82</v>
      </c>
      <c r="AC98" t="s" s="0">
        <v>82</v>
      </c>
      <c r="AD98" t="s" s="0">
        <v>82</v>
      </c>
      <c r="AE98" t="s" s="0">
        <v>82</v>
      </c>
      <c r="AF98" t="s" s="0">
        <v>82</v>
      </c>
      <c r="AG98" t="s" s="0">
        <v>2492</v>
      </c>
      <c r="AH98" t="s" s="0">
        <v>2493</v>
      </c>
      <c r="AI98" t="s" s="0">
        <v>82</v>
      </c>
      <c r="AJ98" t="s" s="0">
        <v>82</v>
      </c>
      <c r="AK98" t="s" s="0">
        <v>82</v>
      </c>
      <c r="AL98" t="s" s="0">
        <v>476</v>
      </c>
      <c r="AM98" t="s" s="0">
        <v>77</v>
      </c>
      <c r="AN98" t="s" s="0">
        <v>77</v>
      </c>
      <c r="AO98" t="s" s="0">
        <v>77</v>
      </c>
      <c r="AP98" t="s" s="0">
        <v>77</v>
      </c>
      <c r="AQ98" t="s" s="0">
        <v>295</v>
      </c>
      <c r="AR98" t="s" s="0">
        <v>296</v>
      </c>
      <c r="AS98" t="s" s="0">
        <v>297</v>
      </c>
      <c r="AT98" t="s" s="0">
        <v>2494</v>
      </c>
      <c r="AU98" t="s" s="0">
        <v>2495</v>
      </c>
      <c r="AV98" t="s" s="0">
        <v>82</v>
      </c>
      <c r="AW98" t="s" s="0">
        <v>2496</v>
      </c>
      <c r="AX98" t="s" s="0">
        <v>2497</v>
      </c>
      <c r="AY98" t="s" s="0">
        <v>2498</v>
      </c>
      <c r="AZ98" t="s" s="0">
        <v>141</v>
      </c>
      <c r="BA98" t="s" s="0">
        <v>2295</v>
      </c>
      <c r="BB98" t="s" s="0">
        <v>82</v>
      </c>
      <c r="BC98" t="s" s="0">
        <v>82</v>
      </c>
      <c r="BD98" t="s" s="0">
        <v>82</v>
      </c>
      <c r="BE98" t="s" s="0">
        <v>82</v>
      </c>
      <c r="BF98" t="s" s="0">
        <v>82</v>
      </c>
      <c r="BG98" t="s" s="0">
        <v>82</v>
      </c>
      <c r="BH98" t="s" s="0">
        <v>82</v>
      </c>
      <c r="BI98" t="s" s="0">
        <v>2499</v>
      </c>
      <c r="BJ98" t="s" s="0">
        <v>2500</v>
      </c>
      <c r="BK98" t="s" s="193">
        <f>HYPERLINK("http://dx.doi.org/10.1016/j.jdent.2026.106828","http://dx.doi.org/10.1016/j.jdent.2026.106828")</f>
        <v>2501</v>
      </c>
      <c r="BL98" t="s" s="0">
        <v>82</v>
      </c>
      <c r="BM98" t="s" s="0">
        <v>82</v>
      </c>
      <c r="BN98" t="s" s="0">
        <v>342</v>
      </c>
      <c r="BO98" t="s" s="0">
        <v>588</v>
      </c>
      <c r="BP98" t="s" s="0">
        <v>588</v>
      </c>
      <c r="BQ98" t="s" s="0">
        <v>2502</v>
      </c>
      <c r="BR98" t="s" s="0">
        <v>2503</v>
      </c>
      <c r="BS98" t="s" s="0">
        <v>2504</v>
      </c>
      <c r="BT98" t="s" s="194">
        <f>HYPERLINK("https://www.webofscience.com/wos/woscc/full-record/WOS:001843998200001","View Record in Web of Science")</f>
        <v>118</v>
      </c>
      <c r="BU98" t="s" s="0">
        <v>538</v>
      </c>
      <c r="BV98" t="s" s="0">
        <v>82</v>
      </c>
      <c r="BW98" t="s" s="0">
        <v>82</v>
      </c>
      <c r="BX98" t="s" s="0">
        <v>119</v>
      </c>
    </row>
    <row r="99">
      <c r="A99" t="s" s="0">
        <v>77</v>
      </c>
      <c r="B99" t="s" s="0">
        <v>77</v>
      </c>
      <c r="C99" t="s" s="0">
        <v>229</v>
      </c>
      <c r="D99" t="s" s="0">
        <v>77</v>
      </c>
      <c r="E99" t="s" s="0">
        <v>2505</v>
      </c>
      <c r="F99" t="s" s="0">
        <v>2506</v>
      </c>
      <c r="G99" t="s" s="0">
        <v>2507</v>
      </c>
      <c r="H99" t="s" s="0">
        <v>82</v>
      </c>
      <c r="I99" t="s" s="0">
        <v>595</v>
      </c>
      <c r="J99" t="s" s="0">
        <v>2508</v>
      </c>
      <c r="K99" t="s" s="0">
        <v>2509</v>
      </c>
      <c r="L99" t="s" s="0">
        <v>2510</v>
      </c>
      <c r="M99" t="s" s="0">
        <v>2511</v>
      </c>
      <c r="N99" t="s" s="0">
        <v>2512</v>
      </c>
      <c r="O99" t="s" s="0">
        <v>2513</v>
      </c>
      <c r="P99" t="s" s="0">
        <v>2514</v>
      </c>
      <c r="Q99" t="s" s="0">
        <v>88</v>
      </c>
      <c r="R99" t="s" s="0">
        <v>82</v>
      </c>
      <c r="S99" t="s" s="0">
        <v>82</v>
      </c>
      <c r="T99" t="s" s="0">
        <v>82</v>
      </c>
      <c r="U99" t="s" s="0">
        <v>82</v>
      </c>
      <c r="V99" t="s" s="0">
        <v>2515</v>
      </c>
      <c r="W99" t="s" s="0">
        <v>2516</v>
      </c>
      <c r="X99" t="s" s="0">
        <v>82</v>
      </c>
      <c r="Y99" t="s" s="0">
        <v>82</v>
      </c>
      <c r="Z99" t="s" s="0">
        <v>91</v>
      </c>
      <c r="AA99" t="s" s="0">
        <v>92</v>
      </c>
      <c r="AB99" t="s" s="0">
        <v>82</v>
      </c>
      <c r="AC99" t="s" s="0">
        <v>82</v>
      </c>
      <c r="AD99" t="s" s="0">
        <v>82</v>
      </c>
      <c r="AE99" t="s" s="0">
        <v>82</v>
      </c>
      <c r="AF99" t="s" s="0">
        <v>82</v>
      </c>
      <c r="AG99" t="s" s="0">
        <v>82</v>
      </c>
      <c r="AH99" t="s" s="0">
        <v>82</v>
      </c>
      <c r="AI99" t="s" s="0">
        <v>2517</v>
      </c>
      <c r="AJ99" t="s" s="0">
        <v>82</v>
      </c>
      <c r="AK99" t="s" s="0">
        <v>82</v>
      </c>
      <c r="AL99" t="s" s="0">
        <v>332</v>
      </c>
      <c r="AM99" t="s" s="0">
        <v>98</v>
      </c>
      <c r="AN99" t="s" s="0">
        <v>98</v>
      </c>
      <c r="AO99" t="s" s="0">
        <v>169</v>
      </c>
      <c r="AP99" t="s" s="0">
        <v>169</v>
      </c>
      <c r="AQ99" t="s" s="0">
        <v>2025</v>
      </c>
      <c r="AR99" t="s" s="0">
        <v>605</v>
      </c>
      <c r="AS99" t="s" s="0">
        <v>2026</v>
      </c>
      <c r="AT99" t="s" s="0">
        <v>2518</v>
      </c>
      <c r="AU99" t="s" s="0">
        <v>82</v>
      </c>
      <c r="AV99" t="s" s="0">
        <v>82</v>
      </c>
      <c r="AW99" t="s" s="0">
        <v>2519</v>
      </c>
      <c r="AX99" t="s" s="0">
        <v>2520</v>
      </c>
      <c r="AY99" t="s" s="0">
        <v>2521</v>
      </c>
      <c r="AZ99" t="s" s="0">
        <v>141</v>
      </c>
      <c r="BA99" t="s" s="0">
        <v>308</v>
      </c>
      <c r="BB99" t="s" s="0">
        <v>229</v>
      </c>
      <c r="BC99" t="s" s="0">
        <v>82</v>
      </c>
      <c r="BD99" t="s" s="0">
        <v>82</v>
      </c>
      <c r="BE99" t="s" s="0">
        <v>82</v>
      </c>
      <c r="BF99" t="s" s="0">
        <v>82</v>
      </c>
      <c r="BG99" t="s" s="0">
        <v>82</v>
      </c>
      <c r="BH99" t="s" s="0">
        <v>82</v>
      </c>
      <c r="BI99" t="s" s="0">
        <v>1133</v>
      </c>
      <c r="BJ99" t="s" s="0">
        <v>2522</v>
      </c>
      <c r="BK99" t="s" s="195">
        <f>HYPERLINK("http://dx.doi.org/10.1038/s43856-025-01348-x","http://dx.doi.org/10.1038/s43856-025-01348-x")</f>
        <v>2523</v>
      </c>
      <c r="BL99" t="s" s="0">
        <v>82</v>
      </c>
      <c r="BM99" t="s" s="0">
        <v>82</v>
      </c>
      <c r="BN99" t="s" s="0">
        <v>176</v>
      </c>
      <c r="BO99" t="s" s="0">
        <v>2524</v>
      </c>
      <c r="BP99" t="s" s="0">
        <v>2525</v>
      </c>
      <c r="BQ99" t="s" s="0">
        <v>2526</v>
      </c>
      <c r="BR99" t="s" s="0">
        <v>2527</v>
      </c>
      <c r="BS99" t="s" s="0">
        <v>2528</v>
      </c>
      <c r="BT99" t="s" s="196">
        <f>HYPERLINK("https://www.webofscience.com/wos/woscc/full-record/WOS:001681270600001","View Record in Web of Science")</f>
        <v>118</v>
      </c>
      <c r="BU99" t="s" s="0">
        <v>187</v>
      </c>
      <c r="BV99" t="s" s="0">
        <v>82</v>
      </c>
      <c r="BW99" t="s" s="0">
        <v>82</v>
      </c>
      <c r="BX99" t="s" s="0">
        <v>119</v>
      </c>
    </row>
    <row r="100">
      <c r="A100" t="s" s="0">
        <v>77</v>
      </c>
      <c r="B100" t="s" s="0">
        <v>77</v>
      </c>
      <c r="C100" t="s" s="0">
        <v>77</v>
      </c>
      <c r="D100" t="s" s="0">
        <v>77</v>
      </c>
      <c r="E100" t="s" s="0">
        <v>2529</v>
      </c>
      <c r="F100" t="s" s="0">
        <v>2530</v>
      </c>
      <c r="G100" t="s" s="0">
        <v>2531</v>
      </c>
      <c r="H100" t="s" s="0">
        <v>82</v>
      </c>
      <c r="I100" t="s" s="0">
        <v>83</v>
      </c>
      <c r="J100" t="s" s="0">
        <v>2532</v>
      </c>
      <c r="K100" t="s" s="0">
        <v>2533</v>
      </c>
      <c r="L100" t="s" s="0">
        <v>2534</v>
      </c>
      <c r="M100" t="s" s="0">
        <v>2535</v>
      </c>
      <c r="N100" t="s" s="0">
        <v>2536</v>
      </c>
      <c r="O100" t="s" s="0">
        <v>2537</v>
      </c>
      <c r="P100" t="s" s="0">
        <v>2538</v>
      </c>
      <c r="Q100" t="s" s="0">
        <v>88</v>
      </c>
      <c r="R100" t="s" s="0">
        <v>82</v>
      </c>
      <c r="S100" t="s" s="0">
        <v>82</v>
      </c>
      <c r="T100" t="s" s="0">
        <v>82</v>
      </c>
      <c r="U100" t="s" s="0">
        <v>82</v>
      </c>
      <c r="V100" t="s" s="0">
        <v>2539</v>
      </c>
      <c r="W100" t="s" s="0">
        <v>2540</v>
      </c>
      <c r="X100" t="s" s="0">
        <v>82</v>
      </c>
      <c r="Y100" t="s" s="0">
        <v>82</v>
      </c>
      <c r="Z100" t="s" s="0">
        <v>91</v>
      </c>
      <c r="AA100" t="s" s="0">
        <v>92</v>
      </c>
      <c r="AB100" t="s" s="0">
        <v>82</v>
      </c>
      <c r="AC100" t="s" s="0">
        <v>82</v>
      </c>
      <c r="AD100" t="s" s="0">
        <v>82</v>
      </c>
      <c r="AE100" t="s" s="0">
        <v>82</v>
      </c>
      <c r="AF100" t="s" s="0">
        <v>82</v>
      </c>
      <c r="AG100" t="s" s="0">
        <v>82</v>
      </c>
      <c r="AH100" t="s" s="0">
        <v>82</v>
      </c>
      <c r="AI100" t="s" s="0">
        <v>2541</v>
      </c>
      <c r="AJ100" t="s" s="0">
        <v>2542</v>
      </c>
      <c r="AK100" t="s" s="0">
        <v>82</v>
      </c>
      <c r="AL100" t="s" s="0">
        <v>238</v>
      </c>
      <c r="AM100" t="s" s="0">
        <v>229</v>
      </c>
      <c r="AN100" t="s" s="0">
        <v>229</v>
      </c>
      <c r="AO100" t="s" s="0">
        <v>264</v>
      </c>
      <c r="AP100" t="s" s="0">
        <v>264</v>
      </c>
      <c r="AQ100" t="s" s="0">
        <v>2543</v>
      </c>
      <c r="AR100" t="s" s="0">
        <v>2544</v>
      </c>
      <c r="AS100" t="s" s="0">
        <v>2545</v>
      </c>
      <c r="AT100" t="s" s="0">
        <v>2546</v>
      </c>
      <c r="AU100" t="s" s="0">
        <v>82</v>
      </c>
      <c r="AV100" t="s" s="0">
        <v>82</v>
      </c>
      <c r="AW100" t="s" s="0">
        <v>2547</v>
      </c>
      <c r="AX100" t="s" s="0">
        <v>2548</v>
      </c>
      <c r="AY100" t="s" s="0">
        <v>2549</v>
      </c>
      <c r="AZ100" t="s" s="0">
        <v>141</v>
      </c>
      <c r="BA100" t="s" s="0">
        <v>98</v>
      </c>
      <c r="BB100" t="s" s="0">
        <v>229</v>
      </c>
      <c r="BC100" t="s" s="0">
        <v>82</v>
      </c>
      <c r="BD100" t="s" s="0">
        <v>82</v>
      </c>
      <c r="BE100" t="s" s="0">
        <v>82</v>
      </c>
      <c r="BF100" t="s" s="0">
        <v>82</v>
      </c>
      <c r="BG100" t="s" s="0">
        <v>82</v>
      </c>
      <c r="BH100" t="s" s="0">
        <v>82</v>
      </c>
      <c r="BI100" t="s" s="0">
        <v>2550</v>
      </c>
      <c r="BJ100" t="s" s="0">
        <v>2551</v>
      </c>
      <c r="BK100" t="s" s="197">
        <f>HYPERLINK("http://dx.doi.org/10.1016/j.xcrm.2025.102547","http://dx.doi.org/10.1016/j.xcrm.2025.102547")</f>
        <v>2552</v>
      </c>
      <c r="BL100" t="s" s="0">
        <v>82</v>
      </c>
      <c r="BM100" t="s" s="0">
        <v>643</v>
      </c>
      <c r="BN100" t="s" s="0">
        <v>368</v>
      </c>
      <c r="BO100" t="s" s="0">
        <v>2553</v>
      </c>
      <c r="BP100" t="s" s="0">
        <v>2554</v>
      </c>
      <c r="BQ100" t="s" s="0">
        <v>2555</v>
      </c>
      <c r="BR100" t="s" s="0">
        <v>2556</v>
      </c>
      <c r="BS100" t="s" s="0">
        <v>2557</v>
      </c>
      <c r="BT100" t="s" s="198">
        <f>HYPERLINK("https://www.webofscience.com/wos/woscc/full-record/WOS:001676625200001","View Record in Web of Science")</f>
        <v>118</v>
      </c>
      <c r="BU100" t="s" s="0">
        <v>187</v>
      </c>
      <c r="BV100" t="s" s="0">
        <v>82</v>
      </c>
      <c r="BW100" t="s" s="0">
        <v>82</v>
      </c>
      <c r="BX100" t="s" s="0">
        <v>119</v>
      </c>
    </row>
    <row r="101">
      <c r="A101" t="s" s="0">
        <v>77</v>
      </c>
      <c r="B101" t="s" s="0">
        <v>77</v>
      </c>
      <c r="C101" t="s" s="0">
        <v>77</v>
      </c>
      <c r="D101" t="s" s="0">
        <v>77</v>
      </c>
      <c r="E101" t="s" s="0">
        <v>2558</v>
      </c>
      <c r="F101" t="s" s="0">
        <v>2559</v>
      </c>
      <c r="G101" t="s" s="0">
        <v>2560</v>
      </c>
      <c r="H101" t="s" s="0">
        <v>82</v>
      </c>
      <c r="I101" t="s" s="0">
        <v>83</v>
      </c>
      <c r="J101" t="s" s="0">
        <v>2561</v>
      </c>
      <c r="K101" t="s" s="0">
        <v>2562</v>
      </c>
      <c r="L101" t="s" s="0">
        <v>2563</v>
      </c>
      <c r="M101" t="s" s="0">
        <v>2564</v>
      </c>
      <c r="N101" t="s" s="0">
        <v>2565</v>
      </c>
      <c r="O101" t="s" s="0">
        <v>2566</v>
      </c>
      <c r="P101" t="s" s="0">
        <v>2567</v>
      </c>
      <c r="Q101" t="s" s="0">
        <v>88</v>
      </c>
      <c r="R101" t="s" s="0">
        <v>82</v>
      </c>
      <c r="S101" t="s" s="0">
        <v>82</v>
      </c>
      <c r="T101" t="s" s="0">
        <v>82</v>
      </c>
      <c r="U101" t="s" s="0">
        <v>82</v>
      </c>
      <c r="V101" t="s" s="0">
        <v>2568</v>
      </c>
      <c r="W101" t="s" s="0">
        <v>2569</v>
      </c>
      <c r="X101" t="s" s="0">
        <v>82</v>
      </c>
      <c r="Y101" t="s" s="0">
        <v>82</v>
      </c>
      <c r="Z101" t="s" s="0">
        <v>91</v>
      </c>
      <c r="AA101" t="s" s="0">
        <v>92</v>
      </c>
      <c r="AB101" t="s" s="0">
        <v>82</v>
      </c>
      <c r="AC101" t="s" s="0">
        <v>82</v>
      </c>
      <c r="AD101" t="s" s="0">
        <v>82</v>
      </c>
      <c r="AE101" t="s" s="0">
        <v>82</v>
      </c>
      <c r="AF101" t="s" s="0">
        <v>82</v>
      </c>
      <c r="AG101" t="s" s="0">
        <v>2570</v>
      </c>
      <c r="AH101" t="s" s="0">
        <v>2571</v>
      </c>
      <c r="AI101" t="s" s="0">
        <v>2572</v>
      </c>
      <c r="AJ101" t="s" s="0">
        <v>82</v>
      </c>
      <c r="AK101" t="s" s="0">
        <v>82</v>
      </c>
      <c r="AL101" t="s" s="0">
        <v>2573</v>
      </c>
      <c r="AM101" t="s" s="0">
        <v>77</v>
      </c>
      <c r="AN101" t="s" s="0">
        <v>77</v>
      </c>
      <c r="AO101" t="s" s="0">
        <v>308</v>
      </c>
      <c r="AP101" t="s" s="0">
        <v>308</v>
      </c>
      <c r="AQ101" t="s" s="0">
        <v>2574</v>
      </c>
      <c r="AR101" t="s" s="0">
        <v>2575</v>
      </c>
      <c r="AS101" t="s" s="0">
        <v>2576</v>
      </c>
      <c r="AT101" t="s" s="0">
        <v>2577</v>
      </c>
      <c r="AU101" t="s" s="0">
        <v>2578</v>
      </c>
      <c r="AV101" t="s" s="0">
        <v>82</v>
      </c>
      <c r="AW101" t="s" s="0">
        <v>2579</v>
      </c>
      <c r="AX101" t="s" s="0">
        <v>2580</v>
      </c>
      <c r="AY101" t="s" s="0">
        <v>2581</v>
      </c>
      <c r="AZ101" t="s" s="0">
        <v>141</v>
      </c>
      <c r="BA101" t="s" s="0">
        <v>862</v>
      </c>
      <c r="BB101" t="s" s="0">
        <v>264</v>
      </c>
      <c r="BC101" t="s" s="0">
        <v>82</v>
      </c>
      <c r="BD101" t="s" s="0">
        <v>82</v>
      </c>
      <c r="BE101" t="s" s="0">
        <v>82</v>
      </c>
      <c r="BF101" t="s" s="0">
        <v>82</v>
      </c>
      <c r="BG101" t="s" s="0">
        <v>2582</v>
      </c>
      <c r="BH101" t="s" s="0">
        <v>2583</v>
      </c>
      <c r="BI101" t="s" s="0">
        <v>82</v>
      </c>
      <c r="BJ101" t="s" s="0">
        <v>2584</v>
      </c>
      <c r="BK101" t="s" s="199">
        <f>HYPERLINK("http://dx.doi.org/10.1080/17452007.2026.2647805","http://dx.doi.org/10.1080/17452007.2026.2647805")</f>
        <v>2585</v>
      </c>
      <c r="BL101" t="s" s="0">
        <v>82</v>
      </c>
      <c r="BM101" t="s" s="0">
        <v>562</v>
      </c>
      <c r="BN101" t="s" s="0">
        <v>790</v>
      </c>
      <c r="BO101" t="s" s="0">
        <v>2586</v>
      </c>
      <c r="BP101" t="s" s="0">
        <v>2587</v>
      </c>
      <c r="BQ101" t="s" s="0">
        <v>2588</v>
      </c>
      <c r="BR101" t="s" s="0">
        <v>82</v>
      </c>
      <c r="BS101" t="s" s="0">
        <v>2589</v>
      </c>
      <c r="BT101" t="s" s="200">
        <f>HYPERLINK("https://www.webofscience.com/wos/woscc/full-record/WOS:001720530900001","View Record in Web of Science")</f>
        <v>118</v>
      </c>
      <c r="BU101" t="s" s="0">
        <v>82</v>
      </c>
      <c r="BV101" t="s" s="0">
        <v>82</v>
      </c>
      <c r="BW101" t="s" s="0">
        <v>82</v>
      </c>
      <c r="BX101" t="s" s="0">
        <v>119</v>
      </c>
    </row>
    <row r="102">
      <c r="A102" t="s" s="0">
        <v>77</v>
      </c>
      <c r="B102" t="s" s="0">
        <v>77</v>
      </c>
      <c r="C102" t="s" s="0">
        <v>77</v>
      </c>
      <c r="D102" t="s" s="0">
        <v>77</v>
      </c>
      <c r="E102" t="s" s="0">
        <v>2590</v>
      </c>
      <c r="F102" t="s" s="0">
        <v>2591</v>
      </c>
      <c r="G102" t="s" s="0">
        <v>2592</v>
      </c>
      <c r="H102" t="s" s="0">
        <v>82</v>
      </c>
      <c r="I102" t="s" s="0">
        <v>83</v>
      </c>
      <c r="J102" t="s" s="0">
        <v>2593</v>
      </c>
      <c r="K102" t="s" s="0">
        <v>2594</v>
      </c>
      <c r="L102" t="s" s="0">
        <v>82</v>
      </c>
      <c r="M102" t="s" s="0">
        <v>82</v>
      </c>
      <c r="N102" t="s" s="0">
        <v>82</v>
      </c>
      <c r="O102" t="s" s="0">
        <v>2595</v>
      </c>
      <c r="P102" t="s" s="0">
        <v>2596</v>
      </c>
      <c r="Q102" t="s" s="0">
        <v>88</v>
      </c>
      <c r="R102" t="s" s="0">
        <v>82</v>
      </c>
      <c r="S102" t="s" s="0">
        <v>82</v>
      </c>
      <c r="T102" t="s" s="0">
        <v>82</v>
      </c>
      <c r="U102" t="s" s="0">
        <v>82</v>
      </c>
      <c r="V102" t="s" s="0">
        <v>2597</v>
      </c>
      <c r="W102" t="s" s="0">
        <v>1056</v>
      </c>
      <c r="X102" t="s" s="0">
        <v>82</v>
      </c>
      <c r="Y102" t="s" s="0">
        <v>82</v>
      </c>
      <c r="Z102" t="s" s="0">
        <v>91</v>
      </c>
      <c r="AA102" t="s" s="0">
        <v>92</v>
      </c>
      <c r="AB102" t="s" s="0">
        <v>82</v>
      </c>
      <c r="AC102" t="s" s="0">
        <v>82</v>
      </c>
      <c r="AD102" t="s" s="0">
        <v>82</v>
      </c>
      <c r="AE102" t="s" s="0">
        <v>82</v>
      </c>
      <c r="AF102" t="s" s="0">
        <v>82</v>
      </c>
      <c r="AG102" t="s" s="0">
        <v>2598</v>
      </c>
      <c r="AH102" t="s" s="0">
        <v>2599</v>
      </c>
      <c r="AI102" t="s" s="0">
        <v>82</v>
      </c>
      <c r="AJ102" t="s" s="0">
        <v>2600</v>
      </c>
      <c r="AK102" t="s" s="0">
        <v>82</v>
      </c>
      <c r="AL102" t="s" s="0">
        <v>2289</v>
      </c>
      <c r="AM102" t="s" s="0">
        <v>229</v>
      </c>
      <c r="AN102" t="s" s="0">
        <v>229</v>
      </c>
      <c r="AO102" t="s" s="0">
        <v>308</v>
      </c>
      <c r="AP102" t="s" s="0">
        <v>308</v>
      </c>
      <c r="AQ102" t="s" s="0">
        <v>200</v>
      </c>
      <c r="AR102" t="s" s="0">
        <v>201</v>
      </c>
      <c r="AS102" t="s" s="0">
        <v>202</v>
      </c>
      <c r="AT102" t="s" s="0">
        <v>82</v>
      </c>
      <c r="AU102" t="s" s="0">
        <v>1062</v>
      </c>
      <c r="AV102" t="s" s="0">
        <v>82</v>
      </c>
      <c r="AW102" t="s" s="0">
        <v>1063</v>
      </c>
      <c r="AX102" t="s" s="0">
        <v>1064</v>
      </c>
      <c r="AY102" t="s" s="0">
        <v>141</v>
      </c>
      <c r="AZ102" t="s" s="0">
        <v>141</v>
      </c>
      <c r="BA102" t="s" s="0">
        <v>132</v>
      </c>
      <c r="BB102" t="s" s="0">
        <v>82</v>
      </c>
      <c r="BC102" t="s" s="0">
        <v>82</v>
      </c>
      <c r="BD102" t="s" s="0">
        <v>82</v>
      </c>
      <c r="BE102" t="s" s="0">
        <v>82</v>
      </c>
      <c r="BF102" t="s" s="0">
        <v>82</v>
      </c>
      <c r="BG102" t="s" s="0">
        <v>82</v>
      </c>
      <c r="BH102" t="s" s="0">
        <v>82</v>
      </c>
      <c r="BI102" t="s" s="0">
        <v>2601</v>
      </c>
      <c r="BJ102" t="s" s="0">
        <v>2602</v>
      </c>
      <c r="BK102" t="s" s="201">
        <f>HYPERLINK("http://dx.doi.org/10.2196/77699","http://dx.doi.org/10.2196/77699")</f>
        <v>2603</v>
      </c>
      <c r="BL102" t="s" s="0">
        <v>82</v>
      </c>
      <c r="BM102" t="s" s="0">
        <v>82</v>
      </c>
      <c r="BN102" t="s" s="0">
        <v>132</v>
      </c>
      <c r="BO102" t="s" s="0">
        <v>1069</v>
      </c>
      <c r="BP102" t="s" s="0">
        <v>1069</v>
      </c>
      <c r="BQ102" t="s" s="0">
        <v>2604</v>
      </c>
      <c r="BR102" t="s" s="0">
        <v>2605</v>
      </c>
      <c r="BS102" t="s" s="0">
        <v>2606</v>
      </c>
      <c r="BT102" t="s" s="202">
        <f>HYPERLINK("https://www.webofscience.com/wos/woscc/full-record/WOS:001669412900002","View Record in Web of Science")</f>
        <v>118</v>
      </c>
      <c r="BU102" t="s" s="0">
        <v>187</v>
      </c>
      <c r="BV102" t="s" s="0">
        <v>82</v>
      </c>
      <c r="BW102" t="s" s="0">
        <v>82</v>
      </c>
      <c r="BX102" t="s" s="0">
        <v>119</v>
      </c>
    </row>
    <row r="103">
      <c r="A103" t="s" s="0">
        <v>77</v>
      </c>
      <c r="B103" t="s" s="0">
        <v>77</v>
      </c>
      <c r="C103" t="s" s="0">
        <v>77</v>
      </c>
      <c r="D103" t="s" s="0">
        <v>77</v>
      </c>
      <c r="E103" t="s" s="0">
        <v>2607</v>
      </c>
      <c r="F103" t="s" s="0">
        <v>2608</v>
      </c>
      <c r="G103" t="s" s="0">
        <v>2609</v>
      </c>
      <c r="H103" t="s" s="0">
        <v>82</v>
      </c>
      <c r="I103" t="s" s="0">
        <v>83</v>
      </c>
      <c r="J103" t="s" s="0">
        <v>2610</v>
      </c>
      <c r="K103" t="s" s="0">
        <v>2611</v>
      </c>
      <c r="L103" t="s" s="0">
        <v>2612</v>
      </c>
      <c r="M103" t="s" s="0">
        <v>2613</v>
      </c>
      <c r="N103" t="s" s="0">
        <v>2614</v>
      </c>
      <c r="O103" t="s" s="0">
        <v>2615</v>
      </c>
      <c r="P103" t="s" s="0">
        <v>2616</v>
      </c>
      <c r="Q103" t="s" s="0">
        <v>88</v>
      </c>
      <c r="R103" t="s" s="0">
        <v>82</v>
      </c>
      <c r="S103" t="s" s="0">
        <v>82</v>
      </c>
      <c r="T103" t="s" s="0">
        <v>82</v>
      </c>
      <c r="U103" t="s" s="0">
        <v>82</v>
      </c>
      <c r="V103" t="s" s="0">
        <v>2617</v>
      </c>
      <c r="W103" t="s" s="0">
        <v>2618</v>
      </c>
      <c r="X103" t="s" s="0">
        <v>82</v>
      </c>
      <c r="Y103" t="s" s="0">
        <v>82</v>
      </c>
      <c r="Z103" t="s" s="0">
        <v>91</v>
      </c>
      <c r="AA103" t="s" s="0">
        <v>92</v>
      </c>
      <c r="AB103" t="s" s="0">
        <v>82</v>
      </c>
      <c r="AC103" t="s" s="0">
        <v>82</v>
      </c>
      <c r="AD103" t="s" s="0">
        <v>82</v>
      </c>
      <c r="AE103" t="s" s="0">
        <v>82</v>
      </c>
      <c r="AF103" t="s" s="0">
        <v>82</v>
      </c>
      <c r="AG103" t="s" s="0">
        <v>2619</v>
      </c>
      <c r="AH103" t="s" s="0">
        <v>82</v>
      </c>
      <c r="AI103" t="s" s="0">
        <v>2620</v>
      </c>
      <c r="AJ103" t="s" s="0">
        <v>2621</v>
      </c>
      <c r="AK103" t="s" s="0">
        <v>82</v>
      </c>
      <c r="AL103" t="s" s="0">
        <v>2289</v>
      </c>
      <c r="AM103" t="s" s="0">
        <v>132</v>
      </c>
      <c r="AN103" t="s" s="0">
        <v>176</v>
      </c>
      <c r="AO103" t="s" s="0">
        <v>308</v>
      </c>
      <c r="AP103" t="s" s="0">
        <v>277</v>
      </c>
      <c r="AQ103" t="s" s="0">
        <v>2054</v>
      </c>
      <c r="AR103" t="s" s="0">
        <v>1027</v>
      </c>
      <c r="AS103" t="s" s="0">
        <v>2055</v>
      </c>
      <c r="AT103" t="s" s="0">
        <v>2622</v>
      </c>
      <c r="AU103" t="s" s="0">
        <v>2623</v>
      </c>
      <c r="AV103" t="s" s="0">
        <v>82</v>
      </c>
      <c r="AW103" t="s" s="0">
        <v>2624</v>
      </c>
      <c r="AX103" t="s" s="0">
        <v>2625</v>
      </c>
      <c r="AY103" t="s" s="0">
        <v>307</v>
      </c>
      <c r="AZ103" t="s" s="0">
        <v>107</v>
      </c>
      <c r="BA103" t="s" s="0">
        <v>2626</v>
      </c>
      <c r="BB103" t="s" s="0">
        <v>244</v>
      </c>
      <c r="BC103" t="s" s="0">
        <v>82</v>
      </c>
      <c r="BD103" t="s" s="0">
        <v>82</v>
      </c>
      <c r="BE103" t="s" s="0">
        <v>82</v>
      </c>
      <c r="BF103" t="s" s="0">
        <v>82</v>
      </c>
      <c r="BG103" t="s" s="0">
        <v>2627</v>
      </c>
      <c r="BH103" t="s" s="0">
        <v>2628</v>
      </c>
      <c r="BI103" t="s" s="0">
        <v>82</v>
      </c>
      <c r="BJ103" t="s" s="0">
        <v>2629</v>
      </c>
      <c r="BK103" t="s" s="203">
        <f>HYPERLINK("http://dx.doi.org/10.1093/dmfr/twaf060","http://dx.doi.org/10.1093/dmfr/twaf060")</f>
        <v>2630</v>
      </c>
      <c r="BL103" t="s" s="0">
        <v>82</v>
      </c>
      <c r="BM103" t="s" s="0">
        <v>688</v>
      </c>
      <c r="BN103" t="s" s="0">
        <v>379</v>
      </c>
      <c r="BO103" t="s" s="0">
        <v>2631</v>
      </c>
      <c r="BP103" t="s" s="0">
        <v>2631</v>
      </c>
      <c r="BQ103" t="s" s="0">
        <v>2632</v>
      </c>
      <c r="BR103" t="s" s="0">
        <v>2633</v>
      </c>
      <c r="BS103" t="s" s="0">
        <v>2634</v>
      </c>
      <c r="BT103" t="s" s="204">
        <f>HYPERLINK("https://www.webofscience.com/wos/woscc/full-record/WOS:001564906600001","View Record in Web of Science")</f>
        <v>118</v>
      </c>
      <c r="BU103" t="s" s="0">
        <v>538</v>
      </c>
      <c r="BV103" t="s" s="0">
        <v>82</v>
      </c>
      <c r="BW103" t="s" s="0">
        <v>82</v>
      </c>
      <c r="BX103" t="s" s="0">
        <v>119</v>
      </c>
    </row>
    <row r="104">
      <c r="A104" t="s" s="0">
        <v>77</v>
      </c>
      <c r="B104" t="s" s="0">
        <v>77</v>
      </c>
      <c r="C104" t="s" s="0">
        <v>77</v>
      </c>
      <c r="D104" t="s" s="0">
        <v>77</v>
      </c>
      <c r="E104" t="s" s="0">
        <v>2635</v>
      </c>
      <c r="F104" t="s" s="0">
        <v>2636</v>
      </c>
      <c r="G104" t="s" s="0">
        <v>2637</v>
      </c>
      <c r="H104" t="s" s="0">
        <v>82</v>
      </c>
      <c r="I104" t="s" s="0">
        <v>83</v>
      </c>
      <c r="J104" t="s" s="0">
        <v>2638</v>
      </c>
      <c r="K104" t="s" s="0">
        <v>2639</v>
      </c>
      <c r="L104" t="s" s="0">
        <v>82</v>
      </c>
      <c r="M104" t="s" s="0">
        <v>82</v>
      </c>
      <c r="N104" t="s" s="0">
        <v>82</v>
      </c>
      <c r="O104" t="s" s="0">
        <v>2640</v>
      </c>
      <c r="P104" t="s" s="0">
        <v>2641</v>
      </c>
      <c r="Q104" t="s" s="0">
        <v>88</v>
      </c>
      <c r="R104" t="s" s="0">
        <v>82</v>
      </c>
      <c r="S104" t="s" s="0">
        <v>82</v>
      </c>
      <c r="T104" t="s" s="0">
        <v>82</v>
      </c>
      <c r="U104" t="s" s="0">
        <v>82</v>
      </c>
      <c r="V104" t="s" s="0">
        <v>2642</v>
      </c>
      <c r="W104" t="s" s="0">
        <v>857</v>
      </c>
      <c r="X104" t="s" s="0">
        <v>82</v>
      </c>
      <c r="Y104" t="s" s="0">
        <v>82</v>
      </c>
      <c r="Z104" t="s" s="0">
        <v>91</v>
      </c>
      <c r="AA104" t="s" s="0">
        <v>92</v>
      </c>
      <c r="AB104" t="s" s="0">
        <v>82</v>
      </c>
      <c r="AC104" t="s" s="0">
        <v>82</v>
      </c>
      <c r="AD104" t="s" s="0">
        <v>82</v>
      </c>
      <c r="AE104" t="s" s="0">
        <v>82</v>
      </c>
      <c r="AF104" t="s" s="0">
        <v>82</v>
      </c>
      <c r="AG104" t="s" s="0">
        <v>2643</v>
      </c>
      <c r="AH104" t="s" s="0">
        <v>82</v>
      </c>
      <c r="AI104" t="s" s="0">
        <v>2644</v>
      </c>
      <c r="AJ104" t="s" s="0">
        <v>2645</v>
      </c>
      <c r="AK104" t="s" s="0">
        <v>82</v>
      </c>
      <c r="AL104" t="s" s="0">
        <v>168</v>
      </c>
      <c r="AM104" t="s" s="0">
        <v>229</v>
      </c>
      <c r="AN104" t="s" s="0">
        <v>229</v>
      </c>
      <c r="AO104" t="s" s="0">
        <v>77</v>
      </c>
      <c r="AP104" t="s" s="0">
        <v>77</v>
      </c>
      <c r="AQ104" t="s" s="0">
        <v>265</v>
      </c>
      <c r="AR104" t="s" s="0">
        <v>266</v>
      </c>
      <c r="AS104" t="s" s="0">
        <v>267</v>
      </c>
      <c r="AT104" t="s" s="0">
        <v>863</v>
      </c>
      <c r="AU104" t="s" s="0">
        <v>82</v>
      </c>
      <c r="AV104" t="s" s="0">
        <v>82</v>
      </c>
      <c r="AW104" t="s" s="0">
        <v>864</v>
      </c>
      <c r="AX104" t="s" s="0">
        <v>865</v>
      </c>
      <c r="AY104" t="s" s="0">
        <v>2646</v>
      </c>
      <c r="AZ104" t="s" s="0">
        <v>141</v>
      </c>
      <c r="BA104" t="s" s="0">
        <v>181</v>
      </c>
      <c r="BB104" t="s" s="0">
        <v>229</v>
      </c>
      <c r="BC104" t="s" s="0">
        <v>82</v>
      </c>
      <c r="BD104" t="s" s="0">
        <v>82</v>
      </c>
      <c r="BE104" t="s" s="0">
        <v>82</v>
      </c>
      <c r="BF104" t="s" s="0">
        <v>82</v>
      </c>
      <c r="BG104" t="s" s="0">
        <v>82</v>
      </c>
      <c r="BH104" t="s" s="0">
        <v>82</v>
      </c>
      <c r="BI104" t="s" s="0">
        <v>2647</v>
      </c>
      <c r="BJ104" t="s" s="0">
        <v>2648</v>
      </c>
      <c r="BK104" t="s" s="205">
        <f>HYPERLINK("http://dx.doi.org/10.1038/s41598-026-46333-z","http://dx.doi.org/10.1038/s41598-026-46333-z")</f>
        <v>2649</v>
      </c>
      <c r="BL104" t="s" s="0">
        <v>82</v>
      </c>
      <c r="BM104" t="s" s="0">
        <v>276</v>
      </c>
      <c r="BN104" t="s" s="0">
        <v>244</v>
      </c>
      <c r="BO104" t="s" s="0">
        <v>380</v>
      </c>
      <c r="BP104" t="s" s="0">
        <v>381</v>
      </c>
      <c r="BQ104" t="s" s="0">
        <v>2650</v>
      </c>
      <c r="BR104" t="s" s="0">
        <v>2651</v>
      </c>
      <c r="BS104" t="s" s="0">
        <v>2652</v>
      </c>
      <c r="BT104" t="s" s="206">
        <f>HYPERLINK("https://www.webofscience.com/wos/woscc/full-record/WOS:001736167900017","View Record in Web of Science")</f>
        <v>118</v>
      </c>
      <c r="BU104" t="s" s="0">
        <v>187</v>
      </c>
      <c r="BV104" t="s" s="0">
        <v>82</v>
      </c>
      <c r="BW104" t="s" s="0">
        <v>82</v>
      </c>
      <c r="BX104" t="s" s="0">
        <v>119</v>
      </c>
    </row>
    <row r="105">
      <c r="A105" t="s" s="0">
        <v>77</v>
      </c>
      <c r="B105" t="s" s="0">
        <v>77</v>
      </c>
      <c r="C105" t="s" s="0">
        <v>169</v>
      </c>
      <c r="D105" t="s" s="0">
        <v>77</v>
      </c>
      <c r="E105" t="s" s="0">
        <v>2653</v>
      </c>
      <c r="F105" t="s" s="0">
        <v>2654</v>
      </c>
      <c r="G105" t="s" s="0">
        <v>2655</v>
      </c>
      <c r="H105" t="s" s="0">
        <v>82</v>
      </c>
      <c r="I105" t="s" s="0">
        <v>83</v>
      </c>
      <c r="J105" t="s" s="0">
        <v>2656</v>
      </c>
      <c r="K105" t="s" s="0">
        <v>2657</v>
      </c>
      <c r="L105" t="s" s="0">
        <v>82</v>
      </c>
      <c r="M105" t="s" s="0">
        <v>82</v>
      </c>
      <c r="N105" t="s" s="0">
        <v>82</v>
      </c>
      <c r="O105" t="s" s="0">
        <v>2658</v>
      </c>
      <c r="P105" t="s" s="0">
        <v>2659</v>
      </c>
      <c r="Q105" t="s" s="0">
        <v>88</v>
      </c>
      <c r="R105" t="s" s="0">
        <v>82</v>
      </c>
      <c r="S105" t="s" s="0">
        <v>82</v>
      </c>
      <c r="T105" t="s" s="0">
        <v>82</v>
      </c>
      <c r="U105" t="s" s="0">
        <v>82</v>
      </c>
      <c r="V105" t="s" s="0">
        <v>2660</v>
      </c>
      <c r="W105" t="s" s="0">
        <v>2661</v>
      </c>
      <c r="X105" t="s" s="0">
        <v>82</v>
      </c>
      <c r="Y105" t="s" s="0">
        <v>82</v>
      </c>
      <c r="Z105" t="s" s="0">
        <v>91</v>
      </c>
      <c r="AA105" t="s" s="0">
        <v>92</v>
      </c>
      <c r="AB105" t="s" s="0">
        <v>82</v>
      </c>
      <c r="AC105" t="s" s="0">
        <v>82</v>
      </c>
      <c r="AD105" t="s" s="0">
        <v>82</v>
      </c>
      <c r="AE105" t="s" s="0">
        <v>82</v>
      </c>
      <c r="AF105" t="s" s="0">
        <v>82</v>
      </c>
      <c r="AG105" t="s" s="0">
        <v>2662</v>
      </c>
      <c r="AH105" t="s" s="0">
        <v>2663</v>
      </c>
      <c r="AI105" t="s" s="0">
        <v>82</v>
      </c>
      <c r="AJ105" t="s" s="0">
        <v>2664</v>
      </c>
      <c r="AK105" t="s" s="0">
        <v>82</v>
      </c>
      <c r="AL105" t="s" s="0">
        <v>887</v>
      </c>
      <c r="AM105" t="s" s="0">
        <v>689</v>
      </c>
      <c r="AN105" t="s" s="0">
        <v>2289</v>
      </c>
      <c r="AO105" t="s" s="0">
        <v>229</v>
      </c>
      <c r="AP105" t="s" s="0">
        <v>98</v>
      </c>
      <c r="AQ105" t="s" s="0">
        <v>2665</v>
      </c>
      <c r="AR105" t="s" s="0">
        <v>2666</v>
      </c>
      <c r="AS105" t="s" s="0">
        <v>2667</v>
      </c>
      <c r="AT105" t="s" s="0">
        <v>2668</v>
      </c>
      <c r="AU105" t="s" s="0">
        <v>2669</v>
      </c>
      <c r="AV105" t="s" s="0">
        <v>82</v>
      </c>
      <c r="AW105" t="s" s="0">
        <v>2661</v>
      </c>
      <c r="AX105" t="s" s="0">
        <v>2670</v>
      </c>
      <c r="AY105" t="s" s="0">
        <v>2671</v>
      </c>
      <c r="AZ105" t="s" s="0">
        <v>341</v>
      </c>
      <c r="BA105" t="s" s="0">
        <v>177</v>
      </c>
      <c r="BB105" t="s" s="0">
        <v>229</v>
      </c>
      <c r="BC105" t="s" s="0">
        <v>82</v>
      </c>
      <c r="BD105" t="s" s="0">
        <v>82</v>
      </c>
      <c r="BE105" t="s" s="0">
        <v>82</v>
      </c>
      <c r="BF105" t="s" s="0">
        <v>82</v>
      </c>
      <c r="BG105" t="s" s="0">
        <v>2203</v>
      </c>
      <c r="BH105" t="s" s="0">
        <v>2672</v>
      </c>
      <c r="BI105" t="s" s="0">
        <v>82</v>
      </c>
      <c r="BJ105" t="s" s="0">
        <v>2673</v>
      </c>
      <c r="BK105" t="s" s="207">
        <f>HYPERLINK("http://dx.doi.org/10.14245/ns.2347310.655","http://dx.doi.org/10.14245/ns.2347310.655")</f>
        <v>2674</v>
      </c>
      <c r="BL105" t="s" s="0">
        <v>82</v>
      </c>
      <c r="BM105" t="s" s="0">
        <v>82</v>
      </c>
      <c r="BN105" t="s" s="0">
        <v>379</v>
      </c>
      <c r="BO105" t="s" s="0">
        <v>2675</v>
      </c>
      <c r="BP105" t="s" s="0">
        <v>2676</v>
      </c>
      <c r="BQ105" t="s" s="0">
        <v>2677</v>
      </c>
      <c r="BR105" t="s" s="0">
        <v>2678</v>
      </c>
      <c r="BS105" t="s" s="0">
        <v>2679</v>
      </c>
      <c r="BT105" t="s" s="208">
        <f>HYPERLINK("https://www.webofscience.com/wos/woscc/full-record/WOS:001196883300002","View Record in Web of Science")</f>
        <v>118</v>
      </c>
      <c r="BU105" t="s" s="0">
        <v>187</v>
      </c>
      <c r="BV105" t="s" s="0">
        <v>82</v>
      </c>
      <c r="BW105" t="s" s="0">
        <v>82</v>
      </c>
      <c r="BX105" t="s" s="0">
        <v>119</v>
      </c>
    </row>
    <row r="106">
      <c r="A106" t="s" s="0">
        <v>77</v>
      </c>
      <c r="B106" t="s" s="0">
        <v>77</v>
      </c>
      <c r="C106" t="s" s="0">
        <v>77</v>
      </c>
      <c r="D106" t="s" s="0">
        <v>77</v>
      </c>
      <c r="E106" t="s" s="0">
        <v>2680</v>
      </c>
      <c r="F106" t="s" s="0">
        <v>2681</v>
      </c>
      <c r="G106" t="s" s="0">
        <v>2682</v>
      </c>
      <c r="H106" t="s" s="0">
        <v>82</v>
      </c>
      <c r="I106" t="s" s="0">
        <v>83</v>
      </c>
      <c r="J106" t="s" s="0">
        <v>2683</v>
      </c>
      <c r="K106" t="s" s="0">
        <v>2684</v>
      </c>
      <c r="L106" t="s" s="0">
        <v>82</v>
      </c>
      <c r="M106" t="s" s="0">
        <v>82</v>
      </c>
      <c r="N106" t="s" s="0">
        <v>82</v>
      </c>
      <c r="O106" t="s" s="0">
        <v>2685</v>
      </c>
      <c r="P106" t="s" s="0">
        <v>2686</v>
      </c>
      <c r="Q106" t="s" s="0">
        <v>88</v>
      </c>
      <c r="R106" t="s" s="0">
        <v>82</v>
      </c>
      <c r="S106" t="s" s="0">
        <v>82</v>
      </c>
      <c r="T106" t="s" s="0">
        <v>82</v>
      </c>
      <c r="U106" t="s" s="0">
        <v>82</v>
      </c>
      <c r="V106" t="s" s="0">
        <v>2687</v>
      </c>
      <c r="W106" t="s" s="0">
        <v>164</v>
      </c>
      <c r="X106" t="s" s="0">
        <v>82</v>
      </c>
      <c r="Y106" t="s" s="0">
        <v>82</v>
      </c>
      <c r="Z106" t="s" s="0">
        <v>91</v>
      </c>
      <c r="AA106" t="s" s="0">
        <v>92</v>
      </c>
      <c r="AB106" t="s" s="0">
        <v>82</v>
      </c>
      <c r="AC106" t="s" s="0">
        <v>82</v>
      </c>
      <c r="AD106" t="s" s="0">
        <v>82</v>
      </c>
      <c r="AE106" t="s" s="0">
        <v>82</v>
      </c>
      <c r="AF106" t="s" s="0">
        <v>82</v>
      </c>
      <c r="AG106" t="s" s="0">
        <v>2688</v>
      </c>
      <c r="AH106" t="s" s="0">
        <v>82</v>
      </c>
      <c r="AI106" t="s" s="0">
        <v>2689</v>
      </c>
      <c r="AJ106" t="s" s="0">
        <v>2690</v>
      </c>
      <c r="AK106" t="s" s="0">
        <v>82</v>
      </c>
      <c r="AL106" t="s" s="0">
        <v>1068</v>
      </c>
      <c r="AM106" t="s" s="0">
        <v>77</v>
      </c>
      <c r="AN106" t="s" s="0">
        <v>77</v>
      </c>
      <c r="AO106" t="s" s="0">
        <v>78</v>
      </c>
      <c r="AP106" t="s" s="0">
        <v>78</v>
      </c>
      <c r="AQ106" t="s" s="0">
        <v>170</v>
      </c>
      <c r="AR106" t="s" s="0">
        <v>171</v>
      </c>
      <c r="AS106" t="s" s="0">
        <v>172</v>
      </c>
      <c r="AT106" t="s" s="0">
        <v>82</v>
      </c>
      <c r="AU106" t="s" s="0">
        <v>173</v>
      </c>
      <c r="AV106" t="s" s="0">
        <v>82</v>
      </c>
      <c r="AW106" t="s" s="0">
        <v>164</v>
      </c>
      <c r="AX106" t="s" s="0">
        <v>174</v>
      </c>
      <c r="AY106" t="s" s="0">
        <v>2691</v>
      </c>
      <c r="AZ106" t="s" s="0">
        <v>141</v>
      </c>
      <c r="BA106" t="s" s="0">
        <v>181</v>
      </c>
      <c r="BB106" t="s" s="0">
        <v>229</v>
      </c>
      <c r="BC106" t="s" s="0">
        <v>82</v>
      </c>
      <c r="BD106" t="s" s="0">
        <v>82</v>
      </c>
      <c r="BE106" t="s" s="0">
        <v>82</v>
      </c>
      <c r="BF106" t="s" s="0">
        <v>82</v>
      </c>
      <c r="BG106" t="s" s="0">
        <v>82</v>
      </c>
      <c r="BH106" t="s" s="0">
        <v>82</v>
      </c>
      <c r="BI106" t="s" s="0">
        <v>1141</v>
      </c>
      <c r="BJ106" t="s" s="0">
        <v>2692</v>
      </c>
      <c r="BK106" t="s" s="209">
        <f>HYPERLINK("http://dx.doi.org/10.3390/diagnostics16010169","http://dx.doi.org/10.3390/diagnostics16010169")</f>
        <v>2693</v>
      </c>
      <c r="BL106" t="s" s="0">
        <v>82</v>
      </c>
      <c r="BM106" t="s" s="0">
        <v>82</v>
      </c>
      <c r="BN106" t="s" s="0">
        <v>272</v>
      </c>
      <c r="BO106" t="s" s="0">
        <v>182</v>
      </c>
      <c r="BP106" t="s" s="0">
        <v>183</v>
      </c>
      <c r="BQ106" t="s" s="0">
        <v>2694</v>
      </c>
      <c r="BR106" t="s" s="0">
        <v>2695</v>
      </c>
      <c r="BS106" t="s" s="0">
        <v>2696</v>
      </c>
      <c r="BT106" t="s" s="210">
        <f>HYPERLINK("https://www.webofscience.com/wos/woscc/full-record/WOS:001658660800001","View Record in Web of Science")</f>
        <v>118</v>
      </c>
      <c r="BU106" t="s" s="0">
        <v>187</v>
      </c>
      <c r="BV106" t="s" s="0">
        <v>82</v>
      </c>
      <c r="BW106" t="s" s="0">
        <v>82</v>
      </c>
      <c r="BX106" t="s" s="0">
        <v>119</v>
      </c>
    </row>
    <row r="107">
      <c r="A107" t="s" s="0">
        <v>77</v>
      </c>
      <c r="B107" t="s" s="0">
        <v>77</v>
      </c>
      <c r="C107" t="s" s="0">
        <v>77</v>
      </c>
      <c r="D107" t="s" s="0">
        <v>77</v>
      </c>
      <c r="E107" t="s" s="0">
        <v>2697</v>
      </c>
      <c r="F107" t="s" s="0">
        <v>2698</v>
      </c>
      <c r="G107" t="s" s="0">
        <v>2699</v>
      </c>
      <c r="H107" t="s" s="0">
        <v>82</v>
      </c>
      <c r="I107" t="s" s="0">
        <v>595</v>
      </c>
      <c r="J107" t="s" s="0">
        <v>2700</v>
      </c>
      <c r="K107" t="s" s="0">
        <v>2701</v>
      </c>
      <c r="L107" t="s" s="0">
        <v>82</v>
      </c>
      <c r="M107" t="s" s="0">
        <v>82</v>
      </c>
      <c r="N107" t="s" s="0">
        <v>82</v>
      </c>
      <c r="O107" t="s" s="0">
        <v>2702</v>
      </c>
      <c r="P107" t="s" s="0">
        <v>82</v>
      </c>
      <c r="Q107" t="s" s="0">
        <v>88</v>
      </c>
      <c r="R107" t="s" s="0">
        <v>82</v>
      </c>
      <c r="S107" t="s" s="0">
        <v>82</v>
      </c>
      <c r="T107" t="s" s="0">
        <v>82</v>
      </c>
      <c r="U107" t="s" s="0">
        <v>82</v>
      </c>
      <c r="V107" t="s" s="0">
        <v>2703</v>
      </c>
      <c r="W107" t="s" s="0">
        <v>2704</v>
      </c>
      <c r="X107" t="s" s="0">
        <v>82</v>
      </c>
      <c r="Y107" t="s" s="0">
        <v>82</v>
      </c>
      <c r="Z107" t="s" s="0">
        <v>91</v>
      </c>
      <c r="AA107" t="s" s="0">
        <v>92</v>
      </c>
      <c r="AB107" t="s" s="0">
        <v>82</v>
      </c>
      <c r="AC107" t="s" s="0">
        <v>82</v>
      </c>
      <c r="AD107" t="s" s="0">
        <v>82</v>
      </c>
      <c r="AE107" t="s" s="0">
        <v>82</v>
      </c>
      <c r="AF107" t="s" s="0">
        <v>82</v>
      </c>
      <c r="AG107" t="s" s="0">
        <v>2705</v>
      </c>
      <c r="AH107" t="s" s="0">
        <v>2706</v>
      </c>
      <c r="AI107" t="s" s="0">
        <v>2707</v>
      </c>
      <c r="AJ107" t="s" s="0">
        <v>2708</v>
      </c>
      <c r="AK107" t="s" s="0">
        <v>82</v>
      </c>
      <c r="AL107" t="s" s="0">
        <v>379</v>
      </c>
      <c r="AM107" t="s" s="0">
        <v>77</v>
      </c>
      <c r="AN107" t="s" s="0">
        <v>77</v>
      </c>
      <c r="AO107" t="s" s="0">
        <v>77</v>
      </c>
      <c r="AP107" t="s" s="0">
        <v>77</v>
      </c>
      <c r="AQ107" t="s" s="0">
        <v>2709</v>
      </c>
      <c r="AR107" t="s" s="0">
        <v>2710</v>
      </c>
      <c r="AS107" t="s" s="0">
        <v>2711</v>
      </c>
      <c r="AT107" t="s" s="0">
        <v>82</v>
      </c>
      <c r="AU107" t="s" s="0">
        <v>2712</v>
      </c>
      <c r="AV107" t="s" s="0">
        <v>82</v>
      </c>
      <c r="AW107" t="s" s="0">
        <v>2713</v>
      </c>
      <c r="AX107" t="s" s="0">
        <v>2714</v>
      </c>
      <c r="AY107" t="s" s="0">
        <v>141</v>
      </c>
      <c r="AZ107" t="s" s="0">
        <v>141</v>
      </c>
      <c r="BA107" t="s" s="0">
        <v>1256</v>
      </c>
      <c r="BB107" t="s" s="0">
        <v>78</v>
      </c>
      <c r="BC107" t="s" s="0">
        <v>82</v>
      </c>
      <c r="BD107" t="s" s="0">
        <v>82</v>
      </c>
      <c r="BE107" t="s" s="0">
        <v>82</v>
      </c>
      <c r="BF107" t="s" s="0">
        <v>82</v>
      </c>
      <c r="BG107" t="s" s="0">
        <v>2715</v>
      </c>
      <c r="BH107" t="s" s="0">
        <v>2716</v>
      </c>
      <c r="BI107" t="s" s="0">
        <v>82</v>
      </c>
      <c r="BJ107" t="s" s="0">
        <v>2717</v>
      </c>
      <c r="BK107" t="s" s="211">
        <f>HYPERLINK("http://dx.doi.org/10.14744/cpr.2026.37887","http://dx.doi.org/10.14744/cpr.2026.37887")</f>
        <v>2718</v>
      </c>
      <c r="BL107" t="s" s="0">
        <v>82</v>
      </c>
      <c r="BM107" t="s" s="0">
        <v>82</v>
      </c>
      <c r="BN107" t="s" s="0">
        <v>98</v>
      </c>
      <c r="BO107" t="s" s="0">
        <v>182</v>
      </c>
      <c r="BP107" t="s" s="0">
        <v>183</v>
      </c>
      <c r="BQ107" t="s" s="0">
        <v>2719</v>
      </c>
      <c r="BR107" t="s" s="0">
        <v>2720</v>
      </c>
      <c r="BS107" t="s" s="0">
        <v>2721</v>
      </c>
      <c r="BT107" t="s" s="212">
        <f>HYPERLINK("https://www.webofscience.com/wos/woscc/full-record/WOS:001768340000010","View Record in Web of Science")</f>
        <v>118</v>
      </c>
      <c r="BU107" t="s" s="0">
        <v>187</v>
      </c>
      <c r="BV107" t="s" s="0">
        <v>82</v>
      </c>
      <c r="BW107" t="s" s="0">
        <v>82</v>
      </c>
      <c r="BX107" t="s" s="0">
        <v>119</v>
      </c>
    </row>
    <row r="108">
      <c r="A108" t="s" s="0">
        <v>77</v>
      </c>
      <c r="B108" t="s" s="0">
        <v>77</v>
      </c>
      <c r="C108" t="s" s="0">
        <v>77</v>
      </c>
      <c r="D108" t="s" s="0">
        <v>77</v>
      </c>
      <c r="E108" t="s" s="0">
        <v>2722</v>
      </c>
      <c r="F108" t="s" s="0">
        <v>2723</v>
      </c>
      <c r="G108" t="s" s="0">
        <v>2724</v>
      </c>
      <c r="H108" t="s" s="0">
        <v>82</v>
      </c>
      <c r="I108" t="s" s="0">
        <v>83</v>
      </c>
      <c r="J108" t="s" s="0">
        <v>2725</v>
      </c>
      <c r="K108" t="s" s="0">
        <v>2726</v>
      </c>
      <c r="L108" t="s" s="0">
        <v>82</v>
      </c>
      <c r="M108" t="s" s="0">
        <v>82</v>
      </c>
      <c r="N108" t="s" s="0">
        <v>82</v>
      </c>
      <c r="O108" t="s" s="0">
        <v>2727</v>
      </c>
      <c r="P108" t="s" s="0">
        <v>2728</v>
      </c>
      <c r="Q108" t="s" s="0">
        <v>88</v>
      </c>
      <c r="R108" t="s" s="0">
        <v>82</v>
      </c>
      <c r="S108" t="s" s="0">
        <v>82</v>
      </c>
      <c r="T108" t="s" s="0">
        <v>82</v>
      </c>
      <c r="U108" t="s" s="0">
        <v>82</v>
      </c>
      <c r="V108" t="s" s="0">
        <v>2729</v>
      </c>
      <c r="W108" t="s" s="0">
        <v>2730</v>
      </c>
      <c r="X108" t="s" s="0">
        <v>82</v>
      </c>
      <c r="Y108" t="s" s="0">
        <v>82</v>
      </c>
      <c r="Z108" t="s" s="0">
        <v>91</v>
      </c>
      <c r="AA108" t="s" s="0">
        <v>92</v>
      </c>
      <c r="AB108" t="s" s="0">
        <v>82</v>
      </c>
      <c r="AC108" t="s" s="0">
        <v>82</v>
      </c>
      <c r="AD108" t="s" s="0">
        <v>82</v>
      </c>
      <c r="AE108" t="s" s="0">
        <v>82</v>
      </c>
      <c r="AF108" t="s" s="0">
        <v>82</v>
      </c>
      <c r="AG108" t="s" s="0">
        <v>2731</v>
      </c>
      <c r="AH108" t="s" s="0">
        <v>82</v>
      </c>
      <c r="AI108" t="s" s="0">
        <v>82</v>
      </c>
      <c r="AJ108" t="s" s="0">
        <v>82</v>
      </c>
      <c r="AK108" t="s" s="0">
        <v>82</v>
      </c>
      <c r="AL108" t="s" s="0">
        <v>168</v>
      </c>
      <c r="AM108" t="s" s="0">
        <v>264</v>
      </c>
      <c r="AN108" t="s" s="0">
        <v>264</v>
      </c>
      <c r="AO108" t="s" s="0">
        <v>342</v>
      </c>
      <c r="AP108" t="s" s="0">
        <v>342</v>
      </c>
      <c r="AQ108" t="s" s="0">
        <v>170</v>
      </c>
      <c r="AR108" t="s" s="0">
        <v>171</v>
      </c>
      <c r="AS108" t="s" s="0">
        <v>172</v>
      </c>
      <c r="AT108" t="s" s="0">
        <v>2732</v>
      </c>
      <c r="AU108" t="s" s="0">
        <v>82</v>
      </c>
      <c r="AV108" t="s" s="0">
        <v>82</v>
      </c>
      <c r="AW108" t="s" s="0">
        <v>2733</v>
      </c>
      <c r="AX108" t="s" s="0">
        <v>2734</v>
      </c>
      <c r="AY108" t="s" s="0">
        <v>2735</v>
      </c>
      <c r="AZ108" t="s" s="0">
        <v>141</v>
      </c>
      <c r="BA108" t="s" s="0">
        <v>176</v>
      </c>
      <c r="BB108" t="s" s="0">
        <v>264</v>
      </c>
      <c r="BC108" t="s" s="0">
        <v>82</v>
      </c>
      <c r="BD108" t="s" s="0">
        <v>82</v>
      </c>
      <c r="BE108" t="s" s="0">
        <v>82</v>
      </c>
      <c r="BF108" t="s" s="0">
        <v>82</v>
      </c>
      <c r="BG108" t="s" s="0">
        <v>82</v>
      </c>
      <c r="BH108" t="s" s="0">
        <v>82</v>
      </c>
      <c r="BI108" t="s" s="0">
        <v>2736</v>
      </c>
      <c r="BJ108" t="s" s="0">
        <v>2737</v>
      </c>
      <c r="BK108" t="s" s="213">
        <f>HYPERLINK("http://dx.doi.org/10.3390/electronics15030555","http://dx.doi.org/10.3390/electronics15030555")</f>
        <v>2738</v>
      </c>
      <c r="BL108" t="s" s="0">
        <v>82</v>
      </c>
      <c r="BM108" t="s" s="0">
        <v>82</v>
      </c>
      <c r="BN108" t="s" s="0">
        <v>332</v>
      </c>
      <c r="BO108" t="s" s="0">
        <v>2739</v>
      </c>
      <c r="BP108" t="s" s="0">
        <v>2740</v>
      </c>
      <c r="BQ108" t="s" s="0">
        <v>2741</v>
      </c>
      <c r="BR108" t="s" s="0">
        <v>82</v>
      </c>
      <c r="BS108" t="s" s="0">
        <v>2742</v>
      </c>
      <c r="BT108" t="s" s="214">
        <f>HYPERLINK("https://www.webofscience.com/wos/woscc/full-record/WOS:001687687800001","View Record in Web of Science")</f>
        <v>118</v>
      </c>
      <c r="BU108" t="s" s="0">
        <v>1634</v>
      </c>
      <c r="BV108" t="s" s="0">
        <v>82</v>
      </c>
      <c r="BW108" t="s" s="0">
        <v>82</v>
      </c>
      <c r="BX108" t="s" s="0">
        <v>119</v>
      </c>
    </row>
    <row r="109">
      <c r="A109" t="s" s="0">
        <v>77</v>
      </c>
      <c r="B109" t="s" s="0">
        <v>77</v>
      </c>
      <c r="C109" t="s" s="0">
        <v>77</v>
      </c>
      <c r="D109" t="s" s="0">
        <v>77</v>
      </c>
      <c r="E109" t="s" s="0">
        <v>2743</v>
      </c>
      <c r="F109" t="s" s="0">
        <v>2744</v>
      </c>
      <c r="G109" t="s" s="0">
        <v>2745</v>
      </c>
      <c r="H109" t="s" s="0">
        <v>82</v>
      </c>
      <c r="I109" t="s" s="0">
        <v>83</v>
      </c>
      <c r="J109" t="s" s="0">
        <v>2746</v>
      </c>
      <c r="K109" t="s" s="0">
        <v>2747</v>
      </c>
      <c r="L109" t="s" s="0">
        <v>82</v>
      </c>
      <c r="M109" t="s" s="0">
        <v>82</v>
      </c>
      <c r="N109" t="s" s="0">
        <v>82</v>
      </c>
      <c r="O109" t="s" s="0">
        <v>2748</v>
      </c>
      <c r="P109" t="s" s="0">
        <v>2749</v>
      </c>
      <c r="Q109" t="s" s="0">
        <v>88</v>
      </c>
      <c r="R109" t="s" s="0">
        <v>82</v>
      </c>
      <c r="S109" t="s" s="0">
        <v>82</v>
      </c>
      <c r="T109" t="s" s="0">
        <v>82</v>
      </c>
      <c r="U109" t="s" s="0">
        <v>82</v>
      </c>
      <c r="V109" t="s" s="0">
        <v>2750</v>
      </c>
      <c r="W109" t="s" s="0">
        <v>2751</v>
      </c>
      <c r="X109" t="s" s="0">
        <v>82</v>
      </c>
      <c r="Y109" t="s" s="0">
        <v>82</v>
      </c>
      <c r="Z109" t="s" s="0">
        <v>91</v>
      </c>
      <c r="AA109" t="s" s="0">
        <v>92</v>
      </c>
      <c r="AB109" t="s" s="0">
        <v>82</v>
      </c>
      <c r="AC109" t="s" s="0">
        <v>82</v>
      </c>
      <c r="AD109" t="s" s="0">
        <v>82</v>
      </c>
      <c r="AE109" t="s" s="0">
        <v>82</v>
      </c>
      <c r="AF109" t="s" s="0">
        <v>82</v>
      </c>
      <c r="AG109" t="s" s="0">
        <v>2752</v>
      </c>
      <c r="AH109" t="s" s="0">
        <v>2753</v>
      </c>
      <c r="AI109" t="s" s="0">
        <v>82</v>
      </c>
      <c r="AJ109" t="s" s="0">
        <v>82</v>
      </c>
      <c r="AK109" t="s" s="0">
        <v>82</v>
      </c>
      <c r="AL109" t="s" s="0">
        <v>770</v>
      </c>
      <c r="AM109" t="s" s="0">
        <v>77</v>
      </c>
      <c r="AN109" t="s" s="0">
        <v>77</v>
      </c>
      <c r="AO109" t="s" s="0">
        <v>77</v>
      </c>
      <c r="AP109" t="s" s="0">
        <v>77</v>
      </c>
      <c r="AQ109" t="s" s="0">
        <v>170</v>
      </c>
      <c r="AR109" t="s" s="0">
        <v>171</v>
      </c>
      <c r="AS109" t="s" s="0">
        <v>172</v>
      </c>
      <c r="AT109" t="s" s="0">
        <v>82</v>
      </c>
      <c r="AU109" t="s" s="0">
        <v>2754</v>
      </c>
      <c r="AV109" t="s" s="0">
        <v>82</v>
      </c>
      <c r="AW109" t="s" s="0">
        <v>2751</v>
      </c>
      <c r="AX109" t="s" s="0">
        <v>2755</v>
      </c>
      <c r="AY109" t="s" s="0">
        <v>1543</v>
      </c>
      <c r="AZ109" t="s" s="0">
        <v>141</v>
      </c>
      <c r="BA109" t="s" s="0">
        <v>181</v>
      </c>
      <c r="BB109" t="s" s="0">
        <v>169</v>
      </c>
      <c r="BC109" t="s" s="0">
        <v>82</v>
      </c>
      <c r="BD109" t="s" s="0">
        <v>82</v>
      </c>
      <c r="BE109" t="s" s="0">
        <v>82</v>
      </c>
      <c r="BF109" t="s" s="0">
        <v>82</v>
      </c>
      <c r="BG109" t="s" s="0">
        <v>82</v>
      </c>
      <c r="BH109" t="s" s="0">
        <v>82</v>
      </c>
      <c r="BI109" t="s" s="0">
        <v>2756</v>
      </c>
      <c r="BJ109" t="s" s="0">
        <v>2757</v>
      </c>
      <c r="BK109" t="s" s="215">
        <f>HYPERLINK("http://dx.doi.org/10.3390/life16040681","http://dx.doi.org/10.3390/life16040681")</f>
        <v>2758</v>
      </c>
      <c r="BL109" t="s" s="0">
        <v>82</v>
      </c>
      <c r="BM109" t="s" s="0">
        <v>276</v>
      </c>
      <c r="BN109" t="s" s="0">
        <v>368</v>
      </c>
      <c r="BO109" t="s" s="0">
        <v>2759</v>
      </c>
      <c r="BP109" t="s" s="0">
        <v>2760</v>
      </c>
      <c r="BQ109" t="s" s="0">
        <v>2761</v>
      </c>
      <c r="BR109" t="s" s="0">
        <v>2762</v>
      </c>
      <c r="BS109" t="s" s="0">
        <v>2763</v>
      </c>
      <c r="BT109" t="s" s="216">
        <f>HYPERLINK("https://www.webofscience.com/wos/woscc/full-record/WOS:001750838300001","View Record in Web of Science")</f>
        <v>118</v>
      </c>
      <c r="BU109" t="s" s="0">
        <v>187</v>
      </c>
      <c r="BV109" t="s" s="0">
        <v>82</v>
      </c>
      <c r="BW109" t="s" s="0">
        <v>82</v>
      </c>
      <c r="BX109" t="s" s="0">
        <v>119</v>
      </c>
    </row>
    <row r="110">
      <c r="A110" t="s" s="0">
        <v>77</v>
      </c>
      <c r="B110" t="s" s="0">
        <v>77</v>
      </c>
      <c r="C110" t="s" s="0">
        <v>77</v>
      </c>
      <c r="D110" t="s" s="0">
        <v>77</v>
      </c>
      <c r="E110" t="s" s="0">
        <v>2764</v>
      </c>
      <c r="F110" t="s" s="0">
        <v>2765</v>
      </c>
      <c r="G110" t="s" s="0">
        <v>2766</v>
      </c>
      <c r="H110" t="s" s="0">
        <v>82</v>
      </c>
      <c r="I110" t="s" s="0">
        <v>83</v>
      </c>
      <c r="J110" t="s" s="0">
        <v>2767</v>
      </c>
      <c r="K110" t="s" s="0">
        <v>2768</v>
      </c>
      <c r="L110" t="s" s="0">
        <v>2769</v>
      </c>
      <c r="M110" t="s" s="0">
        <v>2770</v>
      </c>
      <c r="N110" t="s" s="0">
        <v>2771</v>
      </c>
      <c r="O110" t="s" s="0">
        <v>2772</v>
      </c>
      <c r="P110" t="s" s="0">
        <v>2773</v>
      </c>
      <c r="Q110" t="s" s="0">
        <v>88</v>
      </c>
      <c r="R110" t="s" s="0">
        <v>82</v>
      </c>
      <c r="S110" t="s" s="0">
        <v>82</v>
      </c>
      <c r="T110" t="s" s="0">
        <v>82</v>
      </c>
      <c r="U110" t="s" s="0">
        <v>82</v>
      </c>
      <c r="V110" t="s" s="0">
        <v>2774</v>
      </c>
      <c r="W110" t="s" s="0">
        <v>1056</v>
      </c>
      <c r="X110" t="s" s="0">
        <v>82</v>
      </c>
      <c r="Y110" t="s" s="0">
        <v>82</v>
      </c>
      <c r="Z110" t="s" s="0">
        <v>91</v>
      </c>
      <c r="AA110" t="s" s="0">
        <v>92</v>
      </c>
      <c r="AB110" t="s" s="0">
        <v>82</v>
      </c>
      <c r="AC110" t="s" s="0">
        <v>82</v>
      </c>
      <c r="AD110" t="s" s="0">
        <v>82</v>
      </c>
      <c r="AE110" t="s" s="0">
        <v>82</v>
      </c>
      <c r="AF110" t="s" s="0">
        <v>82</v>
      </c>
      <c r="AG110" t="s" s="0">
        <v>2775</v>
      </c>
      <c r="AH110" t="s" s="0">
        <v>82</v>
      </c>
      <c r="AI110" t="s" s="0">
        <v>2776</v>
      </c>
      <c r="AJ110" t="s" s="0">
        <v>2777</v>
      </c>
      <c r="AK110" t="s" s="0">
        <v>82</v>
      </c>
      <c r="AL110" t="s" s="0">
        <v>845</v>
      </c>
      <c r="AM110" t="s" s="0">
        <v>229</v>
      </c>
      <c r="AN110" t="s" s="0">
        <v>264</v>
      </c>
      <c r="AO110" t="s" s="0">
        <v>264</v>
      </c>
      <c r="AP110" t="s" s="0">
        <v>98</v>
      </c>
      <c r="AQ110" t="s" s="0">
        <v>200</v>
      </c>
      <c r="AR110" t="s" s="0">
        <v>201</v>
      </c>
      <c r="AS110" t="s" s="0">
        <v>202</v>
      </c>
      <c r="AT110" t="s" s="0">
        <v>82</v>
      </c>
      <c r="AU110" t="s" s="0">
        <v>1062</v>
      </c>
      <c r="AV110" t="s" s="0">
        <v>82</v>
      </c>
      <c r="AW110" t="s" s="0">
        <v>1063</v>
      </c>
      <c r="AX110" t="s" s="0">
        <v>1064</v>
      </c>
      <c r="AY110" t="s" s="0">
        <v>107</v>
      </c>
      <c r="AZ110" t="s" s="0">
        <v>107</v>
      </c>
      <c r="BA110" t="s" s="0">
        <v>425</v>
      </c>
      <c r="BB110" t="s" s="0">
        <v>82</v>
      </c>
      <c r="BC110" t="s" s="0">
        <v>82</v>
      </c>
      <c r="BD110" t="s" s="0">
        <v>82</v>
      </c>
      <c r="BE110" t="s" s="0">
        <v>82</v>
      </c>
      <c r="BF110" t="s" s="0">
        <v>82</v>
      </c>
      <c r="BG110" t="s" s="0">
        <v>82</v>
      </c>
      <c r="BH110" t="s" s="0">
        <v>82</v>
      </c>
      <c r="BI110" t="s" s="0">
        <v>2778</v>
      </c>
      <c r="BJ110" t="s" s="0">
        <v>2779</v>
      </c>
      <c r="BK110" t="s" s="217">
        <f>HYPERLINK("http://dx.doi.org/10.2196/73941","http://dx.doi.org/10.2196/73941")</f>
        <v>2780</v>
      </c>
      <c r="BL110" t="s" s="0">
        <v>82</v>
      </c>
      <c r="BM110" t="s" s="0">
        <v>82</v>
      </c>
      <c r="BN110" t="s" s="0">
        <v>342</v>
      </c>
      <c r="BO110" t="s" s="0">
        <v>1069</v>
      </c>
      <c r="BP110" t="s" s="0">
        <v>1069</v>
      </c>
      <c r="BQ110" t="s" s="0">
        <v>2781</v>
      </c>
      <c r="BR110" t="s" s="0">
        <v>2782</v>
      </c>
      <c r="BS110" t="s" s="0">
        <v>2783</v>
      </c>
      <c r="BT110" t="s" s="218">
        <f>HYPERLINK("https://www.webofscience.com/wos/woscc/full-record/WOS:001560556800002","View Record in Web of Science")</f>
        <v>118</v>
      </c>
      <c r="BU110" t="s" s="0">
        <v>187</v>
      </c>
      <c r="BV110" t="s" s="0">
        <v>82</v>
      </c>
      <c r="BW110" t="s" s="0">
        <v>82</v>
      </c>
      <c r="BX110" t="s" s="0">
        <v>119</v>
      </c>
    </row>
    <row r="111">
      <c r="A111" t="s" s="0">
        <v>77</v>
      </c>
      <c r="B111" t="s" s="0">
        <v>77</v>
      </c>
      <c r="C111" t="s" s="0">
        <v>229</v>
      </c>
      <c r="D111" t="s" s="0">
        <v>77</v>
      </c>
      <c r="E111" t="s" s="0">
        <v>2784</v>
      </c>
      <c r="F111" t="s" s="0">
        <v>2785</v>
      </c>
      <c r="G111" t="s" s="0">
        <v>2786</v>
      </c>
      <c r="H111" t="s" s="0">
        <v>82</v>
      </c>
      <c r="I111" t="s" s="0">
        <v>83</v>
      </c>
      <c r="J111" t="s" s="0">
        <v>2787</v>
      </c>
      <c r="K111" t="s" s="0">
        <v>2788</v>
      </c>
      <c r="L111" t="s" s="0">
        <v>2789</v>
      </c>
      <c r="M111" t="s" s="0">
        <v>2789</v>
      </c>
      <c r="N111" t="s" s="0">
        <v>2790</v>
      </c>
      <c r="O111" t="s" s="0">
        <v>2791</v>
      </c>
      <c r="P111" t="s" s="0">
        <v>2792</v>
      </c>
      <c r="Q111" t="s" s="0">
        <v>88</v>
      </c>
      <c r="R111" t="s" s="0">
        <v>82</v>
      </c>
      <c r="S111" t="s" s="0">
        <v>82</v>
      </c>
      <c r="T111" t="s" s="0">
        <v>82</v>
      </c>
      <c r="U111" t="s" s="0">
        <v>82</v>
      </c>
      <c r="V111" t="s" s="0">
        <v>2793</v>
      </c>
      <c r="W111" t="s" s="0">
        <v>857</v>
      </c>
      <c r="X111" t="s" s="0">
        <v>82</v>
      </c>
      <c r="Y111" t="s" s="0">
        <v>82</v>
      </c>
      <c r="Z111" t="s" s="0">
        <v>91</v>
      </c>
      <c r="AA111" t="s" s="0">
        <v>92</v>
      </c>
      <c r="AB111" t="s" s="0">
        <v>82</v>
      </c>
      <c r="AC111" t="s" s="0">
        <v>82</v>
      </c>
      <c r="AD111" t="s" s="0">
        <v>82</v>
      </c>
      <c r="AE111" t="s" s="0">
        <v>82</v>
      </c>
      <c r="AF111" t="s" s="0">
        <v>82</v>
      </c>
      <c r="AG111" t="s" s="0">
        <v>2794</v>
      </c>
      <c r="AH111" t="s" s="0">
        <v>82</v>
      </c>
      <c r="AI111" t="s" s="0">
        <v>2795</v>
      </c>
      <c r="AJ111" t="s" s="0">
        <v>82</v>
      </c>
      <c r="AK111" t="s" s="0">
        <v>82</v>
      </c>
      <c r="AL111" t="s" s="0">
        <v>425</v>
      </c>
      <c r="AM111" t="s" s="0">
        <v>78</v>
      </c>
      <c r="AN111" t="s" s="0">
        <v>264</v>
      </c>
      <c r="AO111" t="s" s="0">
        <v>77</v>
      </c>
      <c r="AP111" t="s" s="0">
        <v>239</v>
      </c>
      <c r="AQ111" t="s" s="0">
        <v>265</v>
      </c>
      <c r="AR111" t="s" s="0">
        <v>266</v>
      </c>
      <c r="AS111" t="s" s="0">
        <v>267</v>
      </c>
      <c r="AT111" t="s" s="0">
        <v>863</v>
      </c>
      <c r="AU111" t="s" s="0">
        <v>82</v>
      </c>
      <c r="AV111" t="s" s="0">
        <v>82</v>
      </c>
      <c r="AW111" t="s" s="0">
        <v>864</v>
      </c>
      <c r="AX111" t="s" s="0">
        <v>865</v>
      </c>
      <c r="AY111" t="s" s="0">
        <v>2796</v>
      </c>
      <c r="AZ111" t="s" s="0">
        <v>107</v>
      </c>
      <c r="BA111" t="s" s="0">
        <v>176</v>
      </c>
      <c r="BB111" t="s" s="0">
        <v>229</v>
      </c>
      <c r="BC111" t="s" s="0">
        <v>82</v>
      </c>
      <c r="BD111" t="s" s="0">
        <v>82</v>
      </c>
      <c r="BE111" t="s" s="0">
        <v>82</v>
      </c>
      <c r="BF111" t="s" s="0">
        <v>82</v>
      </c>
      <c r="BG111" t="s" s="0">
        <v>82</v>
      </c>
      <c r="BH111" t="s" s="0">
        <v>82</v>
      </c>
      <c r="BI111" t="s" s="0">
        <v>2797</v>
      </c>
      <c r="BJ111" t="s" s="0">
        <v>2798</v>
      </c>
      <c r="BK111" t="s" s="219">
        <f>HYPERLINK("http://dx.doi.org/10.1038/s41598-025-20210-7","http://dx.doi.org/10.1038/s41598-025-20210-7")</f>
        <v>2799</v>
      </c>
      <c r="BL111" t="s" s="0">
        <v>82</v>
      </c>
      <c r="BM111" t="s" s="0">
        <v>82</v>
      </c>
      <c r="BN111" t="s" s="0">
        <v>98</v>
      </c>
      <c r="BO111" t="s" s="0">
        <v>380</v>
      </c>
      <c r="BP111" t="s" s="0">
        <v>381</v>
      </c>
      <c r="BQ111" t="s" s="0">
        <v>2800</v>
      </c>
      <c r="BR111" t="s" s="0">
        <v>2801</v>
      </c>
      <c r="BS111" t="s" s="0">
        <v>2802</v>
      </c>
      <c r="BT111" t="s" s="220">
        <f>HYPERLINK("https://www.webofscience.com/wos/woscc/full-record/WOS:001597100100038","View Record in Web of Science")</f>
        <v>118</v>
      </c>
      <c r="BU111" t="s" s="0">
        <v>187</v>
      </c>
      <c r="BV111" t="s" s="0">
        <v>82</v>
      </c>
      <c r="BW111" t="s" s="0">
        <v>82</v>
      </c>
      <c r="BX111" t="s" s="0">
        <v>119</v>
      </c>
    </row>
    <row r="112">
      <c r="A112" t="s" s="0">
        <v>77</v>
      </c>
      <c r="B112" t="s" s="0">
        <v>77</v>
      </c>
      <c r="C112" t="s" s="0">
        <v>77</v>
      </c>
      <c r="D112" t="s" s="0">
        <v>77</v>
      </c>
      <c r="E112" t="s" s="0">
        <v>2803</v>
      </c>
      <c r="F112" t="s" s="0">
        <v>2804</v>
      </c>
      <c r="G112" t="s" s="0">
        <v>2805</v>
      </c>
      <c r="H112" t="s" s="0">
        <v>82</v>
      </c>
      <c r="I112" t="s" s="0">
        <v>83</v>
      </c>
      <c r="J112" t="s" s="0">
        <v>2806</v>
      </c>
      <c r="K112" t="s" s="0">
        <v>2807</v>
      </c>
      <c r="L112" t="s" s="0">
        <v>82</v>
      </c>
      <c r="M112" t="s" s="0">
        <v>82</v>
      </c>
      <c r="N112" t="s" s="0">
        <v>82</v>
      </c>
      <c r="O112" t="s" s="0">
        <v>2808</v>
      </c>
      <c r="P112" t="s" s="0">
        <v>2809</v>
      </c>
      <c r="Q112" t="s" s="0">
        <v>88</v>
      </c>
      <c r="R112" t="s" s="0">
        <v>82</v>
      </c>
      <c r="S112" t="s" s="0">
        <v>82</v>
      </c>
      <c r="T112" t="s" s="0">
        <v>82</v>
      </c>
      <c r="U112" t="s" s="0">
        <v>82</v>
      </c>
      <c r="V112" t="s" s="0">
        <v>2810</v>
      </c>
      <c r="W112" t="s" s="0">
        <v>2811</v>
      </c>
      <c r="X112" t="s" s="0">
        <v>82</v>
      </c>
      <c r="Y112" t="s" s="0">
        <v>82</v>
      </c>
      <c r="Z112" t="s" s="0">
        <v>91</v>
      </c>
      <c r="AA112" t="s" s="0">
        <v>526</v>
      </c>
      <c r="AB112" t="s" s="0">
        <v>82</v>
      </c>
      <c r="AC112" t="s" s="0">
        <v>82</v>
      </c>
      <c r="AD112" t="s" s="0">
        <v>82</v>
      </c>
      <c r="AE112" t="s" s="0">
        <v>82</v>
      </c>
      <c r="AF112" t="s" s="0">
        <v>82</v>
      </c>
      <c r="AG112" t="s" s="0">
        <v>82</v>
      </c>
      <c r="AH112" t="s" s="0">
        <v>2812</v>
      </c>
      <c r="AI112" t="s" s="0">
        <v>82</v>
      </c>
      <c r="AJ112" t="s" s="0">
        <v>82</v>
      </c>
      <c r="AK112" t="s" s="0">
        <v>82</v>
      </c>
      <c r="AL112" t="s" s="0">
        <v>887</v>
      </c>
      <c r="AM112" t="s" s="0">
        <v>229</v>
      </c>
      <c r="AN112" t="s" s="0">
        <v>229</v>
      </c>
      <c r="AO112" t="s" s="0">
        <v>77</v>
      </c>
      <c r="AP112" t="s" s="0">
        <v>77</v>
      </c>
      <c r="AQ112" t="s" s="0">
        <v>550</v>
      </c>
      <c r="AR112" t="s" s="0">
        <v>739</v>
      </c>
      <c r="AS112" t="s" s="0">
        <v>740</v>
      </c>
      <c r="AT112" t="s" s="0">
        <v>2813</v>
      </c>
      <c r="AU112" t="s" s="0">
        <v>2814</v>
      </c>
      <c r="AV112" t="s" s="0">
        <v>82</v>
      </c>
      <c r="AW112" t="s" s="0">
        <v>2815</v>
      </c>
      <c r="AX112" t="s" s="0">
        <v>2816</v>
      </c>
      <c r="AY112" t="s" s="0">
        <v>82</v>
      </c>
      <c r="AZ112" t="s" s="0">
        <v>141</v>
      </c>
      <c r="BA112" t="s" s="0">
        <v>82</v>
      </c>
      <c r="BB112" t="s" s="0">
        <v>82</v>
      </c>
      <c r="BC112" t="s" s="0">
        <v>82</v>
      </c>
      <c r="BD112" t="s" s="0">
        <v>82</v>
      </c>
      <c r="BE112" t="s" s="0">
        <v>82</v>
      </c>
      <c r="BF112" t="s" s="0">
        <v>82</v>
      </c>
      <c r="BG112" t="s" s="0">
        <v>82</v>
      </c>
      <c r="BH112" t="s" s="0">
        <v>82</v>
      </c>
      <c r="BI112" t="s" s="0">
        <v>82</v>
      </c>
      <c r="BJ112" t="s" s="0">
        <v>2817</v>
      </c>
      <c r="BK112" t="s" s="221">
        <f>HYPERLINK("http://dx.doi.org/10.1245/s10434-026-19745-4","http://dx.doi.org/10.1245/s10434-026-19745-4")</f>
        <v>2818</v>
      </c>
      <c r="BL112" t="s" s="0">
        <v>82</v>
      </c>
      <c r="BM112" t="s" s="0">
        <v>147</v>
      </c>
      <c r="BN112" t="s" s="0">
        <v>342</v>
      </c>
      <c r="BO112" t="s" s="0">
        <v>2819</v>
      </c>
      <c r="BP112" t="s" s="0">
        <v>2819</v>
      </c>
      <c r="BQ112" t="s" s="0">
        <v>2820</v>
      </c>
      <c r="BR112" t="s" s="0">
        <v>2821</v>
      </c>
      <c r="BS112" t="s" s="0">
        <v>2822</v>
      </c>
      <c r="BT112" t="s" s="222">
        <f>HYPERLINK("https://www.webofscience.com/wos/woscc/full-record/WOS:001792769200001","View Record in Web of Science")</f>
        <v>118</v>
      </c>
      <c r="BU112" t="s" s="0">
        <v>82</v>
      </c>
      <c r="BV112" t="s" s="0">
        <v>82</v>
      </c>
      <c r="BW112" t="s" s="0">
        <v>82</v>
      </c>
      <c r="BX112" t="s" s="0">
        <v>119</v>
      </c>
    </row>
    <row r="113">
      <c r="A113" t="s" s="0">
        <v>77</v>
      </c>
      <c r="B113" t="s" s="0">
        <v>77</v>
      </c>
      <c r="C113" t="s" s="0">
        <v>77</v>
      </c>
      <c r="D113" t="s" s="0">
        <v>77</v>
      </c>
      <c r="E113" t="s" s="0">
        <v>2823</v>
      </c>
      <c r="F113" t="s" s="0">
        <v>2824</v>
      </c>
      <c r="G113" t="s" s="0">
        <v>2825</v>
      </c>
      <c r="H113" t="s" s="0">
        <v>82</v>
      </c>
      <c r="I113" t="s" s="0">
        <v>1573</v>
      </c>
      <c r="J113" t="s" s="0">
        <v>2826</v>
      </c>
      <c r="K113" t="s" s="0">
        <v>2827</v>
      </c>
      <c r="L113" t="s" s="0">
        <v>2828</v>
      </c>
      <c r="M113" t="s" s="0">
        <v>2829</v>
      </c>
      <c r="N113" t="s" s="0">
        <v>2830</v>
      </c>
      <c r="O113" t="s" s="0">
        <v>2831</v>
      </c>
      <c r="P113" t="s" s="0">
        <v>2832</v>
      </c>
      <c r="Q113" t="s" s="0">
        <v>88</v>
      </c>
      <c r="R113" t="s" s="0">
        <v>82</v>
      </c>
      <c r="S113" t="s" s="0">
        <v>82</v>
      </c>
      <c r="T113" t="s" s="0">
        <v>82</v>
      </c>
      <c r="U113" t="s" s="0">
        <v>82</v>
      </c>
      <c r="V113" t="s" s="0">
        <v>2833</v>
      </c>
      <c r="W113" t="s" s="0">
        <v>2834</v>
      </c>
      <c r="X113" t="s" s="0">
        <v>82</v>
      </c>
      <c r="Y113" t="s" s="0">
        <v>82</v>
      </c>
      <c r="Z113" t="s" s="0">
        <v>91</v>
      </c>
      <c r="AA113" t="s" s="0">
        <v>526</v>
      </c>
      <c r="AB113" t="s" s="0">
        <v>82</v>
      </c>
      <c r="AC113" t="s" s="0">
        <v>82</v>
      </c>
      <c r="AD113" t="s" s="0">
        <v>82</v>
      </c>
      <c r="AE113" t="s" s="0">
        <v>82</v>
      </c>
      <c r="AF113" t="s" s="0">
        <v>82</v>
      </c>
      <c r="AG113" t="s" s="0">
        <v>2835</v>
      </c>
      <c r="AH113" t="s" s="0">
        <v>82</v>
      </c>
      <c r="AI113" t="s" s="0">
        <v>2836</v>
      </c>
      <c r="AJ113" t="s" s="0">
        <v>82</v>
      </c>
      <c r="AK113" t="s" s="0">
        <v>82</v>
      </c>
      <c r="AL113" t="s" s="0">
        <v>811</v>
      </c>
      <c r="AM113" t="s" s="0">
        <v>77</v>
      </c>
      <c r="AN113" t="s" s="0">
        <v>77</v>
      </c>
      <c r="AO113" t="s" s="0">
        <v>264</v>
      </c>
      <c r="AP113" t="s" s="0">
        <v>264</v>
      </c>
      <c r="AQ113" t="s" s="0">
        <v>2054</v>
      </c>
      <c r="AR113" t="s" s="0">
        <v>1027</v>
      </c>
      <c r="AS113" t="s" s="0">
        <v>2055</v>
      </c>
      <c r="AT113" t="s" s="0">
        <v>2837</v>
      </c>
      <c r="AU113" t="s" s="0">
        <v>2838</v>
      </c>
      <c r="AV113" t="s" s="0">
        <v>82</v>
      </c>
      <c r="AW113" t="s" s="0">
        <v>2839</v>
      </c>
      <c r="AX113" t="s" s="0">
        <v>2840</v>
      </c>
      <c r="AY113" t="s" s="0">
        <v>82</v>
      </c>
      <c r="AZ113" t="s" s="0">
        <v>141</v>
      </c>
      <c r="BA113" t="s" s="0">
        <v>82</v>
      </c>
      <c r="BB113" t="s" s="0">
        <v>82</v>
      </c>
      <c r="BC113" t="s" s="0">
        <v>82</v>
      </c>
      <c r="BD113" t="s" s="0">
        <v>82</v>
      </c>
      <c r="BE113" t="s" s="0">
        <v>82</v>
      </c>
      <c r="BF113" t="s" s="0">
        <v>82</v>
      </c>
      <c r="BG113" t="s" s="0">
        <v>82</v>
      </c>
      <c r="BH113" t="s" s="0">
        <v>82</v>
      </c>
      <c r="BI113" t="s" s="0">
        <v>82</v>
      </c>
      <c r="BJ113" t="s" s="0">
        <v>2841</v>
      </c>
      <c r="BK113" t="s" s="223">
        <f>HYPERLINK("http://dx.doi.org/10.1093/jamia/ocag053","http://dx.doi.org/10.1093/jamia/ocag053")</f>
        <v>2842</v>
      </c>
      <c r="BL113" t="s" s="0">
        <v>82</v>
      </c>
      <c r="BM113" t="s" s="0">
        <v>147</v>
      </c>
      <c r="BN113" t="s" s="0">
        <v>277</v>
      </c>
      <c r="BO113" t="s" s="0">
        <v>2843</v>
      </c>
      <c r="BP113" t="s" s="0">
        <v>2844</v>
      </c>
      <c r="BQ113" t="s" s="0">
        <v>2845</v>
      </c>
      <c r="BR113" t="s" s="0">
        <v>2846</v>
      </c>
      <c r="BS113" t="s" s="0">
        <v>2847</v>
      </c>
      <c r="BT113" t="s" s="224">
        <f>HYPERLINK("https://www.webofscience.com/wos/woscc/full-record/WOS:001792876900001","View Record in Web of Science")</f>
        <v>118</v>
      </c>
      <c r="BU113" t="s" s="0">
        <v>82</v>
      </c>
      <c r="BV113" t="s" s="0">
        <v>82</v>
      </c>
      <c r="BW113" t="s" s="0">
        <v>82</v>
      </c>
      <c r="BX113" t="s" s="0">
        <v>119</v>
      </c>
    </row>
    <row r="114">
      <c r="A114" t="s" s="0">
        <v>77</v>
      </c>
      <c r="B114" t="s" s="0">
        <v>77</v>
      </c>
      <c r="C114" t="s" s="0">
        <v>169</v>
      </c>
      <c r="D114" t="s" s="0">
        <v>77</v>
      </c>
      <c r="E114" t="s" s="0">
        <v>2848</v>
      </c>
      <c r="F114" t="s" s="0">
        <v>2849</v>
      </c>
      <c r="G114" t="s" s="0">
        <v>2850</v>
      </c>
      <c r="H114" t="s" s="0">
        <v>82</v>
      </c>
      <c r="I114" t="s" s="0">
        <v>83</v>
      </c>
      <c r="J114" t="s" s="0">
        <v>2851</v>
      </c>
      <c r="K114" t="s" s="0">
        <v>2852</v>
      </c>
      <c r="L114" t="s" s="0">
        <v>2853</v>
      </c>
      <c r="M114" t="s" s="0">
        <v>2853</v>
      </c>
      <c r="N114" t="s" s="0">
        <v>2854</v>
      </c>
      <c r="O114" t="s" s="0">
        <v>2855</v>
      </c>
      <c r="P114" t="s" s="0">
        <v>2856</v>
      </c>
      <c r="Q114" t="s" s="0">
        <v>88</v>
      </c>
      <c r="R114" t="s" s="0">
        <v>82</v>
      </c>
      <c r="S114" t="s" s="0">
        <v>82</v>
      </c>
      <c r="T114" t="s" s="0">
        <v>82</v>
      </c>
      <c r="U114" t="s" s="0">
        <v>82</v>
      </c>
      <c r="V114" t="s" s="0">
        <v>2857</v>
      </c>
      <c r="W114" t="s" s="0">
        <v>2858</v>
      </c>
      <c r="X114" t="s" s="0">
        <v>82</v>
      </c>
      <c r="Y114" t="s" s="0">
        <v>82</v>
      </c>
      <c r="Z114" t="s" s="0">
        <v>91</v>
      </c>
      <c r="AA114" t="s" s="0">
        <v>92</v>
      </c>
      <c r="AB114" t="s" s="0">
        <v>82</v>
      </c>
      <c r="AC114" t="s" s="0">
        <v>82</v>
      </c>
      <c r="AD114" t="s" s="0">
        <v>82</v>
      </c>
      <c r="AE114" t="s" s="0">
        <v>82</v>
      </c>
      <c r="AF114" t="s" s="0">
        <v>82</v>
      </c>
      <c r="AG114" t="s" s="0">
        <v>2859</v>
      </c>
      <c r="AH114" t="s" s="0">
        <v>82</v>
      </c>
      <c r="AI114" t="s" s="0">
        <v>2860</v>
      </c>
      <c r="AJ114" t="s" s="0">
        <v>2861</v>
      </c>
      <c r="AK114" t="s" s="0">
        <v>82</v>
      </c>
      <c r="AL114" t="s" s="0">
        <v>452</v>
      </c>
      <c r="AM114" t="s" s="0">
        <v>425</v>
      </c>
      <c r="AN114" t="s" s="0">
        <v>132</v>
      </c>
      <c r="AO114" t="s" s="0">
        <v>169</v>
      </c>
      <c r="AP114" t="s" s="0">
        <v>277</v>
      </c>
      <c r="AQ114" t="s" s="0">
        <v>99</v>
      </c>
      <c r="AR114" t="s" s="0">
        <v>100</v>
      </c>
      <c r="AS114" t="s" s="0">
        <v>101</v>
      </c>
      <c r="AT114" t="s" s="0">
        <v>2862</v>
      </c>
      <c r="AU114" t="s" s="0">
        <v>2863</v>
      </c>
      <c r="AV114" t="s" s="0">
        <v>82</v>
      </c>
      <c r="AW114" t="s" s="0">
        <v>2864</v>
      </c>
      <c r="AX114" t="s" s="0">
        <v>2865</v>
      </c>
      <c r="AY114" t="s" s="0">
        <v>2866</v>
      </c>
      <c r="AZ114" t="s" s="0">
        <v>341</v>
      </c>
      <c r="BA114" t="s" s="0">
        <v>485</v>
      </c>
      <c r="BB114" t="s" s="0">
        <v>82</v>
      </c>
      <c r="BC114" t="s" s="0">
        <v>82</v>
      </c>
      <c r="BD114" t="s" s="0">
        <v>82</v>
      </c>
      <c r="BE114" t="s" s="0">
        <v>82</v>
      </c>
      <c r="BF114" t="s" s="0">
        <v>82</v>
      </c>
      <c r="BG114" t="s" s="0">
        <v>950</v>
      </c>
      <c r="BH114" t="s" s="0">
        <v>2867</v>
      </c>
      <c r="BI114" t="s" s="0">
        <v>82</v>
      </c>
      <c r="BJ114" t="s" s="0">
        <v>2868</v>
      </c>
      <c r="BK114" t="s" s="225">
        <f>HYPERLINK("http://dx.doi.org/10.1016/j.euros.2024.10.009","http://dx.doi.org/10.1016/j.euros.2024.10.009")</f>
        <v>2869</v>
      </c>
      <c r="BL114" t="s" s="0">
        <v>82</v>
      </c>
      <c r="BM114" t="s" s="0">
        <v>2870</v>
      </c>
      <c r="BN114" t="s" s="0">
        <v>244</v>
      </c>
      <c r="BO114" t="s" s="0">
        <v>1290</v>
      </c>
      <c r="BP114" t="s" s="0">
        <v>1290</v>
      </c>
      <c r="BQ114" t="s" s="0">
        <v>2871</v>
      </c>
      <c r="BR114" t="s" s="0">
        <v>2872</v>
      </c>
      <c r="BS114" t="s" s="0">
        <v>2873</v>
      </c>
      <c r="BT114" t="s" s="226">
        <f>HYPERLINK("https://www.webofscience.com/wos/woscc/full-record/WOS:001344260300001","View Record in Web of Science")</f>
        <v>118</v>
      </c>
      <c r="BU114" t="s" s="0">
        <v>187</v>
      </c>
      <c r="BV114" t="s" s="0">
        <v>82</v>
      </c>
      <c r="BW114" t="s" s="0">
        <v>82</v>
      </c>
      <c r="BX114" t="s" s="0">
        <v>119</v>
      </c>
    </row>
    <row r="115">
      <c r="A115" t="s" s="0">
        <v>77</v>
      </c>
      <c r="B115" t="s" s="0">
        <v>77</v>
      </c>
      <c r="C115" t="s" s="0">
        <v>77</v>
      </c>
      <c r="D115" t="s" s="0">
        <v>77</v>
      </c>
      <c r="E115" t="s" s="0">
        <v>2874</v>
      </c>
      <c r="F115" t="s" s="0">
        <v>2875</v>
      </c>
      <c r="G115" t="s" s="0">
        <v>2876</v>
      </c>
      <c r="H115" t="s" s="0">
        <v>82</v>
      </c>
      <c r="I115" t="s" s="0">
        <v>83</v>
      </c>
      <c r="J115" t="s" s="0">
        <v>2877</v>
      </c>
      <c r="K115" t="s" s="0">
        <v>2878</v>
      </c>
      <c r="L115" t="s" s="0">
        <v>82</v>
      </c>
      <c r="M115" t="s" s="0">
        <v>82</v>
      </c>
      <c r="N115" t="s" s="0">
        <v>82</v>
      </c>
      <c r="O115" t="s" s="0">
        <v>2879</v>
      </c>
      <c r="P115" t="s" s="0">
        <v>2880</v>
      </c>
      <c r="Q115" t="s" s="0">
        <v>88</v>
      </c>
      <c r="R115" t="s" s="0">
        <v>82</v>
      </c>
      <c r="S115" t="s" s="0">
        <v>82</v>
      </c>
      <c r="T115" t="s" s="0">
        <v>82</v>
      </c>
      <c r="U115" t="s" s="0">
        <v>82</v>
      </c>
      <c r="V115" t="s" s="0">
        <v>2881</v>
      </c>
      <c r="W115" t="s" s="0">
        <v>289</v>
      </c>
      <c r="X115" t="s" s="0">
        <v>82</v>
      </c>
      <c r="Y115" t="s" s="0">
        <v>82</v>
      </c>
      <c r="Z115" t="s" s="0">
        <v>91</v>
      </c>
      <c r="AA115" t="s" s="0">
        <v>92</v>
      </c>
      <c r="AB115" t="s" s="0">
        <v>82</v>
      </c>
      <c r="AC115" t="s" s="0">
        <v>82</v>
      </c>
      <c r="AD115" t="s" s="0">
        <v>82</v>
      </c>
      <c r="AE115" t="s" s="0">
        <v>82</v>
      </c>
      <c r="AF115" t="s" s="0">
        <v>82</v>
      </c>
      <c r="AG115" t="s" s="0">
        <v>2882</v>
      </c>
      <c r="AH115" t="s" s="0">
        <v>82</v>
      </c>
      <c r="AI115" t="s" s="0">
        <v>2883</v>
      </c>
      <c r="AJ115" t="s" s="0">
        <v>2884</v>
      </c>
      <c r="AK115" t="s" s="0">
        <v>82</v>
      </c>
      <c r="AL115" t="s" s="0">
        <v>790</v>
      </c>
      <c r="AM115" t="s" s="0">
        <v>77</v>
      </c>
      <c r="AN115" t="s" s="0">
        <v>77</v>
      </c>
      <c r="AO115" t="s" s="0">
        <v>264</v>
      </c>
      <c r="AP115" t="s" s="0">
        <v>264</v>
      </c>
      <c r="AQ115" t="s" s="0">
        <v>295</v>
      </c>
      <c r="AR115" t="s" s="0">
        <v>296</v>
      </c>
      <c r="AS115" t="s" s="0">
        <v>297</v>
      </c>
      <c r="AT115" t="s" s="0">
        <v>298</v>
      </c>
      <c r="AU115" t="s" s="0">
        <v>299</v>
      </c>
      <c r="AV115" t="s" s="0">
        <v>82</v>
      </c>
      <c r="AW115" t="s" s="0">
        <v>300</v>
      </c>
      <c r="AX115" t="s" s="0">
        <v>301</v>
      </c>
      <c r="AY115" t="s" s="0">
        <v>147</v>
      </c>
      <c r="AZ115" t="s" s="0">
        <v>141</v>
      </c>
      <c r="BA115" t="s" s="0">
        <v>2885</v>
      </c>
      <c r="BB115" t="s" s="0">
        <v>82</v>
      </c>
      <c r="BC115" t="s" s="0">
        <v>82</v>
      </c>
      <c r="BD115" t="s" s="0">
        <v>82</v>
      </c>
      <c r="BE115" t="s" s="0">
        <v>82</v>
      </c>
      <c r="BF115" t="s" s="0">
        <v>82</v>
      </c>
      <c r="BG115" t="s" s="0">
        <v>82</v>
      </c>
      <c r="BH115" t="s" s="0">
        <v>82</v>
      </c>
      <c r="BI115" t="s" s="0">
        <v>2886</v>
      </c>
      <c r="BJ115" t="s" s="0">
        <v>2887</v>
      </c>
      <c r="BK115" t="s" s="227">
        <f>HYPERLINK("http://dx.doi.org/10.1016/j.tvjl.2026.106611","http://dx.doi.org/10.1016/j.tvjl.2026.106611")</f>
        <v>2888</v>
      </c>
      <c r="BL115" t="s" s="0">
        <v>82</v>
      </c>
      <c r="BM115" t="s" s="0">
        <v>82</v>
      </c>
      <c r="BN115" t="s" s="0">
        <v>98</v>
      </c>
      <c r="BO115" t="s" s="0">
        <v>309</v>
      </c>
      <c r="BP115" t="s" s="0">
        <v>309</v>
      </c>
      <c r="BQ115" t="s" s="0">
        <v>2889</v>
      </c>
      <c r="BR115" t="s" s="0">
        <v>2890</v>
      </c>
      <c r="BS115" t="s" s="0">
        <v>2891</v>
      </c>
      <c r="BT115" t="s" s="228">
        <f>HYPERLINK("https://www.webofscience.com/wos/woscc/full-record/WOS:001705078200001","View Record in Web of Science")</f>
        <v>118</v>
      </c>
      <c r="BU115" t="s" s="0">
        <v>82</v>
      </c>
      <c r="BV115" t="s" s="0">
        <v>82</v>
      </c>
      <c r="BW115" t="s" s="0">
        <v>82</v>
      </c>
      <c r="BX115" t="s" s="0">
        <v>119</v>
      </c>
    </row>
    <row r="116">
      <c r="A116" t="s" s="0">
        <v>77</v>
      </c>
      <c r="B116" t="s" s="0">
        <v>77</v>
      </c>
      <c r="C116" t="s" s="0">
        <v>425</v>
      </c>
      <c r="D116" t="s" s="0">
        <v>77</v>
      </c>
      <c r="E116" t="s" s="0">
        <v>2892</v>
      </c>
      <c r="F116" t="s" s="0">
        <v>2893</v>
      </c>
      <c r="G116" t="s" s="0">
        <v>2894</v>
      </c>
      <c r="H116" t="s" s="0">
        <v>82</v>
      </c>
      <c r="I116" t="s" s="0">
        <v>83</v>
      </c>
      <c r="J116" t="s" s="0">
        <v>2895</v>
      </c>
      <c r="K116" t="s" s="0">
        <v>2896</v>
      </c>
      <c r="L116" t="s" s="0">
        <v>82</v>
      </c>
      <c r="M116" t="s" s="0">
        <v>82</v>
      </c>
      <c r="N116" t="s" s="0">
        <v>82</v>
      </c>
      <c r="O116" t="s" s="0">
        <v>2897</v>
      </c>
      <c r="P116" t="s" s="0">
        <v>2898</v>
      </c>
      <c r="Q116" t="s" s="0">
        <v>88</v>
      </c>
      <c r="R116" t="s" s="0">
        <v>82</v>
      </c>
      <c r="S116" t="s" s="0">
        <v>82</v>
      </c>
      <c r="T116" t="s" s="0">
        <v>82</v>
      </c>
      <c r="U116" t="s" s="0">
        <v>82</v>
      </c>
      <c r="V116" t="s" s="0">
        <v>2899</v>
      </c>
      <c r="W116" t="s" s="0">
        <v>2900</v>
      </c>
      <c r="X116" t="s" s="0">
        <v>82</v>
      </c>
      <c r="Y116" t="s" s="0">
        <v>82</v>
      </c>
      <c r="Z116" t="s" s="0">
        <v>91</v>
      </c>
      <c r="AA116" t="s" s="0">
        <v>92</v>
      </c>
      <c r="AB116" t="s" s="0">
        <v>82</v>
      </c>
      <c r="AC116" t="s" s="0">
        <v>82</v>
      </c>
      <c r="AD116" t="s" s="0">
        <v>82</v>
      </c>
      <c r="AE116" t="s" s="0">
        <v>82</v>
      </c>
      <c r="AF116" t="s" s="0">
        <v>82</v>
      </c>
      <c r="AG116" t="s" s="0">
        <v>82</v>
      </c>
      <c r="AH116" t="s" s="0">
        <v>82</v>
      </c>
      <c r="AI116" t="s" s="0">
        <v>2901</v>
      </c>
      <c r="AJ116" t="s" s="0">
        <v>2902</v>
      </c>
      <c r="AK116" t="s" s="0">
        <v>82</v>
      </c>
      <c r="AL116" t="s" s="0">
        <v>770</v>
      </c>
      <c r="AM116" t="s" s="0">
        <v>659</v>
      </c>
      <c r="AN116" t="s" s="0">
        <v>2903</v>
      </c>
      <c r="AO116" t="s" s="0">
        <v>169</v>
      </c>
      <c r="AP116" t="s" s="0">
        <v>845</v>
      </c>
      <c r="AQ116" t="s" s="0">
        <v>1582</v>
      </c>
      <c r="AR116" t="s" s="0">
        <v>632</v>
      </c>
      <c r="AS116" t="s" s="0">
        <v>1583</v>
      </c>
      <c r="AT116" t="s" s="0">
        <v>82</v>
      </c>
      <c r="AU116" t="s" s="0">
        <v>2904</v>
      </c>
      <c r="AV116" t="s" s="0">
        <v>82</v>
      </c>
      <c r="AW116" t="s" s="0">
        <v>2905</v>
      </c>
      <c r="AX116" t="s" s="0">
        <v>2906</v>
      </c>
      <c r="AY116" t="s" s="0">
        <v>2870</v>
      </c>
      <c r="AZ116" t="s" s="0">
        <v>341</v>
      </c>
      <c r="BA116" t="s" s="0">
        <v>244</v>
      </c>
      <c r="BB116" t="s" s="0">
        <v>82</v>
      </c>
      <c r="BC116" t="s" s="0">
        <v>82</v>
      </c>
      <c r="BD116" t="s" s="0">
        <v>82</v>
      </c>
      <c r="BE116" t="s" s="0">
        <v>82</v>
      </c>
      <c r="BF116" t="s" s="0">
        <v>82</v>
      </c>
      <c r="BG116" t="s" s="0">
        <v>82</v>
      </c>
      <c r="BH116" t="s" s="0">
        <v>82</v>
      </c>
      <c r="BI116" t="s" s="0">
        <v>2907</v>
      </c>
      <c r="BJ116" t="s" s="0">
        <v>2908</v>
      </c>
      <c r="BK116" t="s" s="229">
        <f>HYPERLINK("http://dx.doi.org/10.1200/PO-24-00478","http://dx.doi.org/10.1200/PO-24-00478")</f>
        <v>2909</v>
      </c>
      <c r="BL116" t="s" s="0">
        <v>82</v>
      </c>
      <c r="BM116" t="s" s="0">
        <v>82</v>
      </c>
      <c r="BN116" t="s" s="0">
        <v>132</v>
      </c>
      <c r="BO116" t="s" s="0">
        <v>2910</v>
      </c>
      <c r="BP116" t="s" s="0">
        <v>2910</v>
      </c>
      <c r="BQ116" t="s" s="0">
        <v>2911</v>
      </c>
      <c r="BR116" t="s" s="0">
        <v>2912</v>
      </c>
      <c r="BS116" t="s" s="0">
        <v>2913</v>
      </c>
      <c r="BT116" t="s" s="230">
        <f>HYPERLINK("https://www.webofscience.com/wos/woscc/full-record/WOS:001376907800001","View Record in Web of Science")</f>
        <v>118</v>
      </c>
      <c r="BU116" t="s" s="0">
        <v>538</v>
      </c>
      <c r="BV116" t="s" s="0">
        <v>82</v>
      </c>
      <c r="BW116" t="s" s="0">
        <v>82</v>
      </c>
      <c r="BX116" t="s" s="0">
        <v>119</v>
      </c>
    </row>
    <row r="117">
      <c r="A117" t="s" s="0">
        <v>77</v>
      </c>
      <c r="B117" t="s" s="0">
        <v>77</v>
      </c>
      <c r="C117" t="s" s="0">
        <v>77</v>
      </c>
      <c r="D117" t="s" s="0">
        <v>229</v>
      </c>
      <c r="E117" t="s" s="0">
        <v>2914</v>
      </c>
      <c r="F117" t="s" s="0">
        <v>2915</v>
      </c>
      <c r="G117" t="s" s="0">
        <v>2916</v>
      </c>
      <c r="H117" t="s" s="0">
        <v>82</v>
      </c>
      <c r="I117" t="s" s="0">
        <v>83</v>
      </c>
      <c r="J117" t="s" s="0">
        <v>2917</v>
      </c>
      <c r="K117" t="s" s="0">
        <v>2918</v>
      </c>
      <c r="L117" t="s" s="0">
        <v>2919</v>
      </c>
      <c r="M117" t="s" s="0">
        <v>2920</v>
      </c>
      <c r="N117" t="s" s="0">
        <v>2921</v>
      </c>
      <c r="O117" t="s" s="0">
        <v>2922</v>
      </c>
      <c r="P117" t="s" s="0">
        <v>2923</v>
      </c>
      <c r="Q117" t="s" s="0">
        <v>88</v>
      </c>
      <c r="R117" t="s" s="0">
        <v>82</v>
      </c>
      <c r="S117" t="s" s="0">
        <v>82</v>
      </c>
      <c r="T117" t="s" s="0">
        <v>82</v>
      </c>
      <c r="U117" t="s" s="0">
        <v>82</v>
      </c>
      <c r="V117" t="s" s="0">
        <v>2924</v>
      </c>
      <c r="W117" t="s" s="0">
        <v>2925</v>
      </c>
      <c r="X117" t="s" s="0">
        <v>82</v>
      </c>
      <c r="Y117" t="s" s="0">
        <v>82</v>
      </c>
      <c r="Z117" t="s" s="0">
        <v>91</v>
      </c>
      <c r="AA117" t="s" s="0">
        <v>92</v>
      </c>
      <c r="AB117" t="s" s="0">
        <v>82</v>
      </c>
      <c r="AC117" t="s" s="0">
        <v>82</v>
      </c>
      <c r="AD117" t="s" s="0">
        <v>82</v>
      </c>
      <c r="AE117" t="s" s="0">
        <v>82</v>
      </c>
      <c r="AF117" t="s" s="0">
        <v>82</v>
      </c>
      <c r="AG117" t="s" s="0">
        <v>2926</v>
      </c>
      <c r="AH117" t="s" s="0">
        <v>82</v>
      </c>
      <c r="AI117" t="s" s="0">
        <v>2927</v>
      </c>
      <c r="AJ117" t="s" s="0">
        <v>2928</v>
      </c>
      <c r="AK117" t="s" s="0">
        <v>82</v>
      </c>
      <c r="AL117" t="s" s="0">
        <v>746</v>
      </c>
      <c r="AM117" t="s" s="0">
        <v>264</v>
      </c>
      <c r="AN117" t="s" s="0">
        <v>239</v>
      </c>
      <c r="AO117" t="s" s="0">
        <v>229</v>
      </c>
      <c r="AP117" t="s" s="0">
        <v>308</v>
      </c>
      <c r="AQ117" t="s" s="0">
        <v>170</v>
      </c>
      <c r="AR117" t="s" s="0">
        <v>171</v>
      </c>
      <c r="AS117" t="s" s="0">
        <v>172</v>
      </c>
      <c r="AT117" t="s" s="0">
        <v>82</v>
      </c>
      <c r="AU117" t="s" s="0">
        <v>2929</v>
      </c>
      <c r="AV117" t="s" s="0">
        <v>82</v>
      </c>
      <c r="AW117" t="s" s="0">
        <v>2925</v>
      </c>
      <c r="AX117" t="s" s="0">
        <v>2930</v>
      </c>
      <c r="AY117" t="s" s="0">
        <v>2931</v>
      </c>
      <c r="AZ117" t="s" s="0">
        <v>107</v>
      </c>
      <c r="BA117" t="s" s="0">
        <v>368</v>
      </c>
      <c r="BB117" t="s" s="0">
        <v>425</v>
      </c>
      <c r="BC117" t="s" s="0">
        <v>82</v>
      </c>
      <c r="BD117" t="s" s="0">
        <v>82</v>
      </c>
      <c r="BE117" t="s" s="0">
        <v>82</v>
      </c>
      <c r="BF117" t="s" s="0">
        <v>82</v>
      </c>
      <c r="BG117" t="s" s="0">
        <v>82</v>
      </c>
      <c r="BH117" t="s" s="0">
        <v>82</v>
      </c>
      <c r="BI117" t="s" s="0">
        <v>2932</v>
      </c>
      <c r="BJ117" t="s" s="0">
        <v>2933</v>
      </c>
      <c r="BK117" t="s" s="231">
        <f>HYPERLINK("http://dx.doi.org/10.3390/cancers17132073","http://dx.doi.org/10.3390/cancers17132073")</f>
        <v>2934</v>
      </c>
      <c r="BL117" t="s" s="0">
        <v>82</v>
      </c>
      <c r="BM117" t="s" s="0">
        <v>82</v>
      </c>
      <c r="BN117" t="s" s="0">
        <v>132</v>
      </c>
      <c r="BO117" t="s" s="0">
        <v>2910</v>
      </c>
      <c r="BP117" t="s" s="0">
        <v>2910</v>
      </c>
      <c r="BQ117" t="s" s="0">
        <v>2935</v>
      </c>
      <c r="BR117" t="s" s="0">
        <v>2936</v>
      </c>
      <c r="BS117" t="s" s="0">
        <v>2937</v>
      </c>
      <c r="BT117" t="s" s="232">
        <f>HYPERLINK("https://www.webofscience.com/wos/woscc/full-record/WOS:001528700900001","View Record in Web of Science")</f>
        <v>118</v>
      </c>
      <c r="BU117" t="s" s="0">
        <v>187</v>
      </c>
      <c r="BV117" t="s" s="0">
        <v>82</v>
      </c>
      <c r="BW117" t="s" s="0">
        <v>82</v>
      </c>
      <c r="BX117" t="s" s="0">
        <v>119</v>
      </c>
    </row>
    <row r="118">
      <c r="A118" t="s" s="0">
        <v>77</v>
      </c>
      <c r="B118" t="s" s="0">
        <v>77</v>
      </c>
      <c r="C118" t="s" s="0">
        <v>77</v>
      </c>
      <c r="D118" t="s" s="0">
        <v>77</v>
      </c>
      <c r="E118" t="s" s="0">
        <v>2938</v>
      </c>
      <c r="F118" t="s" s="0">
        <v>2939</v>
      </c>
      <c r="G118" t="s" s="0">
        <v>2940</v>
      </c>
      <c r="H118" t="s" s="0">
        <v>82</v>
      </c>
      <c r="I118" t="s" s="0">
        <v>83</v>
      </c>
      <c r="J118" t="s" s="0">
        <v>2941</v>
      </c>
      <c r="K118" t="s" s="0">
        <v>2942</v>
      </c>
      <c r="L118" t="s" s="0">
        <v>2943</v>
      </c>
      <c r="M118" t="s" s="0">
        <v>2944</v>
      </c>
      <c r="N118" t="s" s="0">
        <v>2945</v>
      </c>
      <c r="O118" t="s" s="0">
        <v>2946</v>
      </c>
      <c r="P118" t="s" s="0">
        <v>2947</v>
      </c>
      <c r="Q118" t="s" s="0">
        <v>88</v>
      </c>
      <c r="R118" t="s" s="0">
        <v>82</v>
      </c>
      <c r="S118" t="s" s="0">
        <v>82</v>
      </c>
      <c r="T118" t="s" s="0">
        <v>82</v>
      </c>
      <c r="U118" t="s" s="0">
        <v>82</v>
      </c>
      <c r="V118" t="s" s="0">
        <v>2948</v>
      </c>
      <c r="W118" t="s" s="0">
        <v>884</v>
      </c>
      <c r="X118" t="s" s="0">
        <v>82</v>
      </c>
      <c r="Y118" t="s" s="0">
        <v>82</v>
      </c>
      <c r="Z118" t="s" s="0">
        <v>91</v>
      </c>
      <c r="AA118" t="s" s="0">
        <v>92</v>
      </c>
      <c r="AB118" t="s" s="0">
        <v>82</v>
      </c>
      <c r="AC118" t="s" s="0">
        <v>82</v>
      </c>
      <c r="AD118" t="s" s="0">
        <v>82</v>
      </c>
      <c r="AE118" t="s" s="0">
        <v>82</v>
      </c>
      <c r="AF118" t="s" s="0">
        <v>82</v>
      </c>
      <c r="AG118" t="s" s="0">
        <v>2949</v>
      </c>
      <c r="AH118" t="s" s="0">
        <v>82</v>
      </c>
      <c r="AI118" t="s" s="0">
        <v>2950</v>
      </c>
      <c r="AJ118" t="s" s="0">
        <v>82</v>
      </c>
      <c r="AK118" t="s" s="0">
        <v>82</v>
      </c>
      <c r="AL118" t="s" s="0">
        <v>790</v>
      </c>
      <c r="AM118" t="s" s="0">
        <v>264</v>
      </c>
      <c r="AN118" t="s" s="0">
        <v>264</v>
      </c>
      <c r="AO118" t="s" s="0">
        <v>239</v>
      </c>
      <c r="AP118" t="s" s="0">
        <v>308</v>
      </c>
      <c r="AQ118" t="s" s="0">
        <v>711</v>
      </c>
      <c r="AR118" t="s" s="0">
        <v>712</v>
      </c>
      <c r="AS118" t="s" s="0">
        <v>713</v>
      </c>
      <c r="AT118" t="s" s="0">
        <v>82</v>
      </c>
      <c r="AU118" t="s" s="0">
        <v>888</v>
      </c>
      <c r="AV118" t="s" s="0">
        <v>82</v>
      </c>
      <c r="AW118" t="s" s="0">
        <v>889</v>
      </c>
      <c r="AX118" t="s" s="0">
        <v>890</v>
      </c>
      <c r="AY118" t="s" s="0">
        <v>175</v>
      </c>
      <c r="AZ118" t="s" s="0">
        <v>107</v>
      </c>
      <c r="BA118" t="s" s="0">
        <v>346</v>
      </c>
      <c r="BB118" t="s" s="0">
        <v>82</v>
      </c>
      <c r="BC118" t="s" s="0">
        <v>82</v>
      </c>
      <c r="BD118" t="s" s="0">
        <v>82</v>
      </c>
      <c r="BE118" t="s" s="0">
        <v>82</v>
      </c>
      <c r="BF118" t="s" s="0">
        <v>82</v>
      </c>
      <c r="BG118" t="s" s="0">
        <v>82</v>
      </c>
      <c r="BH118" t="s" s="0">
        <v>82</v>
      </c>
      <c r="BI118" t="s" s="0">
        <v>2951</v>
      </c>
      <c r="BJ118" t="s" s="0">
        <v>2952</v>
      </c>
      <c r="BK118" t="s" s="233">
        <f>HYPERLINK("http://dx.doi.org/10.3389/fmed.2025.1618222","http://dx.doi.org/10.3389/fmed.2025.1618222")</f>
        <v>2953</v>
      </c>
      <c r="BL118" t="s" s="0">
        <v>82</v>
      </c>
      <c r="BM118" t="s" s="0">
        <v>82</v>
      </c>
      <c r="BN118" t="s" s="0">
        <v>425</v>
      </c>
      <c r="BO118" t="s" s="0">
        <v>182</v>
      </c>
      <c r="BP118" t="s" s="0">
        <v>183</v>
      </c>
      <c r="BQ118" t="s" s="0">
        <v>2954</v>
      </c>
      <c r="BR118" t="s" s="0">
        <v>2955</v>
      </c>
      <c r="BS118" t="s" s="0">
        <v>2956</v>
      </c>
      <c r="BT118" t="s" s="234">
        <f>HYPERLINK("https://www.webofscience.com/wos/woscc/full-record/WOS:001618597200001","View Record in Web of Science")</f>
        <v>118</v>
      </c>
      <c r="BU118" t="s" s="0">
        <v>187</v>
      </c>
      <c r="BV118" t="s" s="0">
        <v>82</v>
      </c>
      <c r="BW118" t="s" s="0">
        <v>82</v>
      </c>
      <c r="BX118" t="s" s="0">
        <v>119</v>
      </c>
    </row>
    <row r="119">
      <c r="A119" t="s" s="0">
        <v>77</v>
      </c>
      <c r="B119" t="s" s="0">
        <v>77</v>
      </c>
      <c r="C119" t="s" s="0">
        <v>77</v>
      </c>
      <c r="D119" t="s" s="0">
        <v>77</v>
      </c>
      <c r="E119" t="s" s="0">
        <v>2957</v>
      </c>
      <c r="F119" t="s" s="0">
        <v>2958</v>
      </c>
      <c r="G119" t="s" s="0">
        <v>2959</v>
      </c>
      <c r="H119" t="s" s="0">
        <v>82</v>
      </c>
      <c r="I119" t="s" s="0">
        <v>83</v>
      </c>
      <c r="J119" t="s" s="0">
        <v>2960</v>
      </c>
      <c r="K119" t="s" s="0">
        <v>2961</v>
      </c>
      <c r="L119" t="s" s="0">
        <v>2962</v>
      </c>
      <c r="M119" t="s" s="0">
        <v>2963</v>
      </c>
      <c r="N119" t="s" s="0">
        <v>2964</v>
      </c>
      <c r="O119" t="s" s="0">
        <v>2965</v>
      </c>
      <c r="P119" t="s" s="0">
        <v>2966</v>
      </c>
      <c r="Q119" t="s" s="0">
        <v>88</v>
      </c>
      <c r="R119" t="s" s="0">
        <v>82</v>
      </c>
      <c r="S119" t="s" s="0">
        <v>82</v>
      </c>
      <c r="T119" t="s" s="0">
        <v>82</v>
      </c>
      <c r="U119" t="s" s="0">
        <v>82</v>
      </c>
      <c r="V119" t="s" s="0">
        <v>2967</v>
      </c>
      <c r="W119" t="s" s="0">
        <v>2968</v>
      </c>
      <c r="X119" t="s" s="0">
        <v>82</v>
      </c>
      <c r="Y119" t="s" s="0">
        <v>82</v>
      </c>
      <c r="Z119" t="s" s="0">
        <v>91</v>
      </c>
      <c r="AA119" t="s" s="0">
        <v>92</v>
      </c>
      <c r="AB119" t="s" s="0">
        <v>82</v>
      </c>
      <c r="AC119" t="s" s="0">
        <v>82</v>
      </c>
      <c r="AD119" t="s" s="0">
        <v>82</v>
      </c>
      <c r="AE119" t="s" s="0">
        <v>82</v>
      </c>
      <c r="AF119" t="s" s="0">
        <v>82</v>
      </c>
      <c r="AG119" t="s" s="0">
        <v>2969</v>
      </c>
      <c r="AH119" t="s" s="0">
        <v>2970</v>
      </c>
      <c r="AI119" t="s" s="0">
        <v>2971</v>
      </c>
      <c r="AJ119" t="s" s="0">
        <v>2972</v>
      </c>
      <c r="AK119" t="s" s="0">
        <v>82</v>
      </c>
      <c r="AL119" t="s" s="0">
        <v>332</v>
      </c>
      <c r="AM119" t="s" s="0">
        <v>277</v>
      </c>
      <c r="AN119" t="s" s="0">
        <v>277</v>
      </c>
      <c r="AO119" t="s" s="0">
        <v>77</v>
      </c>
      <c r="AP119" t="s" s="0">
        <v>342</v>
      </c>
      <c r="AQ119" t="s" s="0">
        <v>550</v>
      </c>
      <c r="AR119" t="s" s="0">
        <v>739</v>
      </c>
      <c r="AS119" t="s" s="0">
        <v>740</v>
      </c>
      <c r="AT119" t="s" s="0">
        <v>2973</v>
      </c>
      <c r="AU119" t="s" s="0">
        <v>2974</v>
      </c>
      <c r="AV119" t="s" s="0">
        <v>82</v>
      </c>
      <c r="AW119" t="s" s="0">
        <v>2968</v>
      </c>
      <c r="AX119" t="s" s="0">
        <v>2975</v>
      </c>
      <c r="AY119" t="s" s="0">
        <v>2270</v>
      </c>
      <c r="AZ119" t="s" s="0">
        <v>107</v>
      </c>
      <c r="BA119" t="s" s="0">
        <v>2976</v>
      </c>
      <c r="BB119" t="s" s="0">
        <v>229</v>
      </c>
      <c r="BC119" t="s" s="0">
        <v>82</v>
      </c>
      <c r="BD119" t="s" s="0">
        <v>82</v>
      </c>
      <c r="BE119" t="s" s="0">
        <v>82</v>
      </c>
      <c r="BF119" t="s" s="0">
        <v>82</v>
      </c>
      <c r="BG119" t="s" s="0">
        <v>2977</v>
      </c>
      <c r="BH119" t="s" s="0">
        <v>2978</v>
      </c>
      <c r="BI119" t="s" s="0">
        <v>82</v>
      </c>
      <c r="BJ119" t="s" s="0">
        <v>2979</v>
      </c>
      <c r="BK119" t="s" s="235">
        <f>HYPERLINK("http://dx.doi.org/10.1007/s12020-024-03981-3","http://dx.doi.org/10.1007/s12020-024-03981-3")</f>
        <v>2980</v>
      </c>
      <c r="BL119" t="s" s="0">
        <v>82</v>
      </c>
      <c r="BM119" t="s" s="0">
        <v>2211</v>
      </c>
      <c r="BN119" t="s" s="0">
        <v>244</v>
      </c>
      <c r="BO119" t="s" s="0">
        <v>2981</v>
      </c>
      <c r="BP119" t="s" s="0">
        <v>2981</v>
      </c>
      <c r="BQ119" t="s" s="0">
        <v>2982</v>
      </c>
      <c r="BR119" t="s" s="0">
        <v>2983</v>
      </c>
      <c r="BS119" t="s" s="0">
        <v>2984</v>
      </c>
      <c r="BT119" t="s" s="236">
        <f>HYPERLINK("https://www.webofscience.com/wos/woscc/full-record/WOS:001281038100001","View Record in Web of Science")</f>
        <v>118</v>
      </c>
      <c r="BU119" t="s" s="0">
        <v>82</v>
      </c>
      <c r="BV119" t="s" s="0">
        <v>82</v>
      </c>
      <c r="BW119" t="s" s="0">
        <v>82</v>
      </c>
      <c r="BX119" t="s" s="0">
        <v>119</v>
      </c>
    </row>
    <row r="120">
      <c r="A120" t="s" s="0">
        <v>77</v>
      </c>
      <c r="B120" t="s" s="0">
        <v>77</v>
      </c>
      <c r="C120" t="s" s="0">
        <v>77</v>
      </c>
      <c r="D120" t="s" s="0">
        <v>77</v>
      </c>
      <c r="E120" t="s" s="0">
        <v>2985</v>
      </c>
      <c r="F120" t="s" s="0">
        <v>2986</v>
      </c>
      <c r="G120" t="s" s="0">
        <v>2987</v>
      </c>
      <c r="H120" t="s" s="0">
        <v>82</v>
      </c>
      <c r="I120" t="s" s="0">
        <v>83</v>
      </c>
      <c r="J120" t="s" s="0">
        <v>2988</v>
      </c>
      <c r="K120" t="s" s="0">
        <v>2989</v>
      </c>
      <c r="L120" t="s" s="0">
        <v>2990</v>
      </c>
      <c r="M120" t="s" s="0">
        <v>2991</v>
      </c>
      <c r="N120" t="s" s="0">
        <v>2992</v>
      </c>
      <c r="O120" t="s" s="0">
        <v>2993</v>
      </c>
      <c r="P120" t="s" s="0">
        <v>2994</v>
      </c>
      <c r="Q120" t="s" s="0">
        <v>88</v>
      </c>
      <c r="R120" t="s" s="0">
        <v>82</v>
      </c>
      <c r="S120" t="s" s="0">
        <v>82</v>
      </c>
      <c r="T120" t="s" s="0">
        <v>82</v>
      </c>
      <c r="U120" t="s" s="0">
        <v>82</v>
      </c>
      <c r="V120" t="s" s="0">
        <v>2995</v>
      </c>
      <c r="W120" t="s" s="0">
        <v>2996</v>
      </c>
      <c r="X120" t="s" s="0">
        <v>82</v>
      </c>
      <c r="Y120" t="s" s="0">
        <v>82</v>
      </c>
      <c r="Z120" t="s" s="0">
        <v>91</v>
      </c>
      <c r="AA120" t="s" s="0">
        <v>92</v>
      </c>
      <c r="AB120" t="s" s="0">
        <v>82</v>
      </c>
      <c r="AC120" t="s" s="0">
        <v>82</v>
      </c>
      <c r="AD120" t="s" s="0">
        <v>82</v>
      </c>
      <c r="AE120" t="s" s="0">
        <v>82</v>
      </c>
      <c r="AF120" t="s" s="0">
        <v>82</v>
      </c>
      <c r="AG120" t="s" s="0">
        <v>2997</v>
      </c>
      <c r="AH120" t="s" s="0">
        <v>82</v>
      </c>
      <c r="AI120" t="s" s="0">
        <v>2998</v>
      </c>
      <c r="AJ120" t="s" s="0">
        <v>2999</v>
      </c>
      <c r="AK120" t="s" s="0">
        <v>82</v>
      </c>
      <c r="AL120" t="s" s="0">
        <v>485</v>
      </c>
      <c r="AM120" t="s" s="0">
        <v>308</v>
      </c>
      <c r="AN120" t="s" s="0">
        <v>308</v>
      </c>
      <c r="AO120" t="s" s="0">
        <v>168</v>
      </c>
      <c r="AP120" t="s" s="0">
        <v>1749</v>
      </c>
      <c r="AQ120" t="s" s="0">
        <v>295</v>
      </c>
      <c r="AR120" t="s" s="0">
        <v>296</v>
      </c>
      <c r="AS120" t="s" s="0">
        <v>297</v>
      </c>
      <c r="AT120" t="s" s="0">
        <v>3000</v>
      </c>
      <c r="AU120" t="s" s="0">
        <v>3001</v>
      </c>
      <c r="AV120" t="s" s="0">
        <v>82</v>
      </c>
      <c r="AW120" t="s" s="0">
        <v>3002</v>
      </c>
      <c r="AX120" t="s" s="0">
        <v>3003</v>
      </c>
      <c r="AY120" t="s" s="0">
        <v>643</v>
      </c>
      <c r="AZ120" t="s" s="0">
        <v>141</v>
      </c>
      <c r="BA120" t="s" s="0">
        <v>3004</v>
      </c>
      <c r="BB120" t="s" s="0">
        <v>82</v>
      </c>
      <c r="BC120" t="s" s="0">
        <v>82</v>
      </c>
      <c r="BD120" t="s" s="0">
        <v>3005</v>
      </c>
      <c r="BE120" t="s" s="0">
        <v>82</v>
      </c>
      <c r="BF120" t="s" s="0">
        <v>82</v>
      </c>
      <c r="BG120" t="s" s="0">
        <v>82</v>
      </c>
      <c r="BH120" t="s" s="0">
        <v>82</v>
      </c>
      <c r="BI120" t="s" s="0">
        <v>3006</v>
      </c>
      <c r="BJ120" t="s" s="0">
        <v>3007</v>
      </c>
      <c r="BK120" t="s" s="237">
        <f>HYPERLINK("http://dx.doi.org/10.1016/j.aei.2025.104078","http://dx.doi.org/10.1016/j.aei.2025.104078")</f>
        <v>3008</v>
      </c>
      <c r="BL120" t="s" s="0">
        <v>82</v>
      </c>
      <c r="BM120" t="s" s="0">
        <v>307</v>
      </c>
      <c r="BN120" t="s" s="0">
        <v>790</v>
      </c>
      <c r="BO120" t="s" s="0">
        <v>3009</v>
      </c>
      <c r="BP120" t="s" s="0">
        <v>3010</v>
      </c>
      <c r="BQ120" t="s" s="0">
        <v>3011</v>
      </c>
      <c r="BR120" t="s" s="0">
        <v>82</v>
      </c>
      <c r="BS120" t="s" s="0">
        <v>3012</v>
      </c>
      <c r="BT120" t="s" s="238">
        <f>HYPERLINK("https://www.webofscience.com/wos/woscc/full-record/WOS:001630964700002","View Record in Web of Science")</f>
        <v>118</v>
      </c>
      <c r="BU120" t="s" s="0">
        <v>82</v>
      </c>
      <c r="BV120" t="s" s="0">
        <v>82</v>
      </c>
      <c r="BW120" t="s" s="0">
        <v>82</v>
      </c>
      <c r="BX120" t="s" s="0">
        <v>119</v>
      </c>
    </row>
    <row r="121">
      <c r="A121" t="s" s="0">
        <v>77</v>
      </c>
      <c r="B121" t="s" s="0">
        <v>77</v>
      </c>
      <c r="C121" t="s" s="0">
        <v>77</v>
      </c>
      <c r="D121" t="s" s="0">
        <v>77</v>
      </c>
      <c r="E121" t="s" s="0">
        <v>3013</v>
      </c>
      <c r="F121" t="s" s="0">
        <v>3014</v>
      </c>
      <c r="G121" t="s" s="0">
        <v>3015</v>
      </c>
      <c r="H121" t="s" s="0">
        <v>82</v>
      </c>
      <c r="I121" t="s" s="0">
        <v>83</v>
      </c>
      <c r="J121" t="s" s="0">
        <v>3016</v>
      </c>
      <c r="K121" t="s" s="0">
        <v>3017</v>
      </c>
      <c r="L121" t="s" s="0">
        <v>3018</v>
      </c>
      <c r="M121" t="s" s="0">
        <v>3019</v>
      </c>
      <c r="N121" t="s" s="0">
        <v>3020</v>
      </c>
      <c r="O121" t="s" s="0">
        <v>3021</v>
      </c>
      <c r="P121" t="s" s="0">
        <v>3022</v>
      </c>
      <c r="Q121" t="s" s="0">
        <v>88</v>
      </c>
      <c r="R121" t="s" s="0">
        <v>82</v>
      </c>
      <c r="S121" t="s" s="0">
        <v>82</v>
      </c>
      <c r="T121" t="s" s="0">
        <v>82</v>
      </c>
      <c r="U121" t="s" s="0">
        <v>82</v>
      </c>
      <c r="V121" t="s" s="0">
        <v>3023</v>
      </c>
      <c r="W121" t="s" s="0">
        <v>857</v>
      </c>
      <c r="X121" t="s" s="0">
        <v>82</v>
      </c>
      <c r="Y121" t="s" s="0">
        <v>82</v>
      </c>
      <c r="Z121" t="s" s="0">
        <v>91</v>
      </c>
      <c r="AA121" t="s" s="0">
        <v>92</v>
      </c>
      <c r="AB121" t="s" s="0">
        <v>82</v>
      </c>
      <c r="AC121" t="s" s="0">
        <v>82</v>
      </c>
      <c r="AD121" t="s" s="0">
        <v>82</v>
      </c>
      <c r="AE121" t="s" s="0">
        <v>82</v>
      </c>
      <c r="AF121" t="s" s="0">
        <v>82</v>
      </c>
      <c r="AG121" t="s" s="0">
        <v>3024</v>
      </c>
      <c r="AH121" t="s" s="0">
        <v>82</v>
      </c>
      <c r="AI121" t="s" s="0">
        <v>3025</v>
      </c>
      <c r="AJ121" t="s" s="0">
        <v>3026</v>
      </c>
      <c r="AK121" t="s" s="0">
        <v>82</v>
      </c>
      <c r="AL121" t="s" s="0">
        <v>294</v>
      </c>
      <c r="AM121" t="s" s="0">
        <v>78</v>
      </c>
      <c r="AN121" t="s" s="0">
        <v>78</v>
      </c>
      <c r="AO121" t="s" s="0">
        <v>229</v>
      </c>
      <c r="AP121" t="s" s="0">
        <v>78</v>
      </c>
      <c r="AQ121" t="s" s="0">
        <v>265</v>
      </c>
      <c r="AR121" t="s" s="0">
        <v>266</v>
      </c>
      <c r="AS121" t="s" s="0">
        <v>267</v>
      </c>
      <c r="AT121" t="s" s="0">
        <v>863</v>
      </c>
      <c r="AU121" t="s" s="0">
        <v>82</v>
      </c>
      <c r="AV121" t="s" s="0">
        <v>82</v>
      </c>
      <c r="AW121" t="s" s="0">
        <v>864</v>
      </c>
      <c r="AX121" t="s" s="0">
        <v>865</v>
      </c>
      <c r="AY121" t="s" s="0">
        <v>3027</v>
      </c>
      <c r="AZ121" t="s" s="0">
        <v>107</v>
      </c>
      <c r="BA121" t="s" s="0">
        <v>181</v>
      </c>
      <c r="BB121" t="s" s="0">
        <v>229</v>
      </c>
      <c r="BC121" t="s" s="0">
        <v>82</v>
      </c>
      <c r="BD121" t="s" s="0">
        <v>82</v>
      </c>
      <c r="BE121" t="s" s="0">
        <v>82</v>
      </c>
      <c r="BF121" t="s" s="0">
        <v>82</v>
      </c>
      <c r="BG121" t="s" s="0">
        <v>82</v>
      </c>
      <c r="BH121" t="s" s="0">
        <v>82</v>
      </c>
      <c r="BI121" t="s" s="0">
        <v>3028</v>
      </c>
      <c r="BJ121" t="s" s="0">
        <v>3029</v>
      </c>
      <c r="BK121" t="s" s="239">
        <f>HYPERLINK("http://dx.doi.org/10.1038/s41598-025-32602-w","http://dx.doi.org/10.1038/s41598-025-32602-w")</f>
        <v>3030</v>
      </c>
      <c r="BL121" t="s" s="0">
        <v>82</v>
      </c>
      <c r="BM121" t="s" s="0">
        <v>82</v>
      </c>
      <c r="BN121" t="s" s="0">
        <v>244</v>
      </c>
      <c r="BO121" t="s" s="0">
        <v>380</v>
      </c>
      <c r="BP121" t="s" s="0">
        <v>381</v>
      </c>
      <c r="BQ121" t="s" s="0">
        <v>3031</v>
      </c>
      <c r="BR121" t="s" s="0">
        <v>3032</v>
      </c>
      <c r="BS121" t="s" s="0">
        <v>3033</v>
      </c>
      <c r="BT121" t="s" s="240">
        <f>HYPERLINK("https://www.webofscience.com/wos/woscc/full-record/WOS:001667609400001","View Record in Web of Science")</f>
        <v>118</v>
      </c>
      <c r="BU121" t="s" s="0">
        <v>187</v>
      </c>
      <c r="BV121" t="s" s="0">
        <v>82</v>
      </c>
      <c r="BW121" t="s" s="0">
        <v>82</v>
      </c>
      <c r="BX121" t="s" s="0">
        <v>119</v>
      </c>
    </row>
    <row r="122">
      <c r="A122" t="s" s="0">
        <v>77</v>
      </c>
      <c r="B122" t="s" s="0">
        <v>77</v>
      </c>
      <c r="C122" t="s" s="0">
        <v>77</v>
      </c>
      <c r="D122" t="s" s="0">
        <v>77</v>
      </c>
      <c r="E122" t="s" s="0">
        <v>3034</v>
      </c>
      <c r="F122" t="s" s="0">
        <v>3035</v>
      </c>
      <c r="G122" t="s" s="0">
        <v>3036</v>
      </c>
      <c r="H122" t="s" s="0">
        <v>82</v>
      </c>
      <c r="I122" t="s" s="0">
        <v>83</v>
      </c>
      <c r="J122" t="s" s="0">
        <v>3037</v>
      </c>
      <c r="K122" t="s" s="0">
        <v>3038</v>
      </c>
      <c r="L122" t="s" s="0">
        <v>3039</v>
      </c>
      <c r="M122" t="s" s="0">
        <v>3039</v>
      </c>
      <c r="N122" t="s" s="0">
        <v>3040</v>
      </c>
      <c r="O122" t="s" s="0">
        <v>3041</v>
      </c>
      <c r="P122" t="s" s="0">
        <v>3042</v>
      </c>
      <c r="Q122" t="s" s="0">
        <v>88</v>
      </c>
      <c r="R122" t="s" s="0">
        <v>82</v>
      </c>
      <c r="S122" t="s" s="0">
        <v>82</v>
      </c>
      <c r="T122" t="s" s="0">
        <v>82</v>
      </c>
      <c r="U122" t="s" s="0">
        <v>82</v>
      </c>
      <c r="V122" t="s" s="0">
        <v>3043</v>
      </c>
      <c r="W122" t="s" s="0">
        <v>3044</v>
      </c>
      <c r="X122" t="s" s="0">
        <v>82</v>
      </c>
      <c r="Y122" t="s" s="0">
        <v>82</v>
      </c>
      <c r="Z122" t="s" s="0">
        <v>91</v>
      </c>
      <c r="AA122" t="s" s="0">
        <v>92</v>
      </c>
      <c r="AB122" t="s" s="0">
        <v>82</v>
      </c>
      <c r="AC122" t="s" s="0">
        <v>82</v>
      </c>
      <c r="AD122" t="s" s="0">
        <v>82</v>
      </c>
      <c r="AE122" t="s" s="0">
        <v>82</v>
      </c>
      <c r="AF122" t="s" s="0">
        <v>82</v>
      </c>
      <c r="AG122" t="s" s="0">
        <v>3045</v>
      </c>
      <c r="AH122" t="s" s="0">
        <v>82</v>
      </c>
      <c r="AI122" t="s" s="0">
        <v>82</v>
      </c>
      <c r="AJ122" t="s" s="0">
        <v>82</v>
      </c>
      <c r="AK122" t="s" s="0">
        <v>82</v>
      </c>
      <c r="AL122" t="s" s="0">
        <v>811</v>
      </c>
      <c r="AM122" t="s" s="0">
        <v>78</v>
      </c>
      <c r="AN122" t="s" s="0">
        <v>78</v>
      </c>
      <c r="AO122" t="s" s="0">
        <v>264</v>
      </c>
      <c r="AP122" t="s" s="0">
        <v>264</v>
      </c>
      <c r="AQ122" t="s" s="0">
        <v>604</v>
      </c>
      <c r="AR122" t="s" s="0">
        <v>605</v>
      </c>
      <c r="AS122" t="s" s="0">
        <v>606</v>
      </c>
      <c r="AT122" t="s" s="0">
        <v>82</v>
      </c>
      <c r="AU122" t="s" s="0">
        <v>3046</v>
      </c>
      <c r="AV122" t="s" s="0">
        <v>82</v>
      </c>
      <c r="AW122" t="s" s="0">
        <v>3044</v>
      </c>
      <c r="AX122" t="s" s="0">
        <v>3047</v>
      </c>
      <c r="AY122" t="s" s="0">
        <v>3048</v>
      </c>
      <c r="AZ122" t="s" s="0">
        <v>141</v>
      </c>
      <c r="BA122" t="s" s="0">
        <v>332</v>
      </c>
      <c r="BB122" t="s" s="0">
        <v>229</v>
      </c>
      <c r="BC122" t="s" s="0">
        <v>82</v>
      </c>
      <c r="BD122" t="s" s="0">
        <v>82</v>
      </c>
      <c r="BE122" t="s" s="0">
        <v>82</v>
      </c>
      <c r="BF122" t="s" s="0">
        <v>82</v>
      </c>
      <c r="BG122" t="s" s="0">
        <v>82</v>
      </c>
      <c r="BH122" t="s" s="0">
        <v>82</v>
      </c>
      <c r="BI122" t="s" s="0">
        <v>3049</v>
      </c>
      <c r="BJ122" t="s" s="0">
        <v>3050</v>
      </c>
      <c r="BK122" t="s" s="241">
        <f>HYPERLINK("http://dx.doi.org/10.1186/s12888-026-07988-0","http://dx.doi.org/10.1186/s12888-026-07988-0")</f>
        <v>3051</v>
      </c>
      <c r="BL122" t="s" s="0">
        <v>82</v>
      </c>
      <c r="BM122" t="s" s="0">
        <v>562</v>
      </c>
      <c r="BN122" t="s" s="0">
        <v>346</v>
      </c>
      <c r="BO122" t="s" s="0">
        <v>1780</v>
      </c>
      <c r="BP122" t="s" s="0">
        <v>1780</v>
      </c>
      <c r="BQ122" t="s" s="0">
        <v>3052</v>
      </c>
      <c r="BR122" t="s" s="0">
        <v>3053</v>
      </c>
      <c r="BS122" t="s" s="0">
        <v>3054</v>
      </c>
      <c r="BT122" t="s" s="242">
        <f>HYPERLINK("https://www.webofscience.com/wos/woscc/full-record/WOS:001763364000002","View Record in Web of Science")</f>
        <v>118</v>
      </c>
      <c r="BU122" t="s" s="0">
        <v>187</v>
      </c>
      <c r="BV122" t="s" s="0">
        <v>82</v>
      </c>
      <c r="BW122" t="s" s="0">
        <v>82</v>
      </c>
      <c r="BX122" t="s" s="0">
        <v>119</v>
      </c>
    </row>
    <row r="123">
      <c r="A123" t="s" s="0">
        <v>77</v>
      </c>
      <c r="B123" t="s" s="0">
        <v>77</v>
      </c>
      <c r="C123" t="s" s="0">
        <v>229</v>
      </c>
      <c r="D123" t="s" s="0">
        <v>77</v>
      </c>
      <c r="E123" t="s" s="0">
        <v>3055</v>
      </c>
      <c r="F123" t="s" s="0">
        <v>3056</v>
      </c>
      <c r="G123" t="s" s="0">
        <v>3057</v>
      </c>
      <c r="H123" t="s" s="0">
        <v>82</v>
      </c>
      <c r="I123" t="s" s="0">
        <v>83</v>
      </c>
      <c r="J123" t="s" s="0">
        <v>3058</v>
      </c>
      <c r="K123" t="s" s="0">
        <v>3059</v>
      </c>
      <c r="L123" t="s" s="0">
        <v>82</v>
      </c>
      <c r="M123" t="s" s="0">
        <v>82</v>
      </c>
      <c r="N123" t="s" s="0">
        <v>82</v>
      </c>
      <c r="O123" t="s" s="0">
        <v>3060</v>
      </c>
      <c r="P123" t="s" s="0">
        <v>3061</v>
      </c>
      <c r="Q123" t="s" s="0">
        <v>88</v>
      </c>
      <c r="R123" t="s" s="0">
        <v>82</v>
      </c>
      <c r="S123" t="s" s="0">
        <v>82</v>
      </c>
      <c r="T123" t="s" s="0">
        <v>82</v>
      </c>
      <c r="U123" t="s" s="0">
        <v>82</v>
      </c>
      <c r="V123" t="s" s="0">
        <v>3062</v>
      </c>
      <c r="W123" t="s" s="0">
        <v>3063</v>
      </c>
      <c r="X123" t="s" s="0">
        <v>82</v>
      </c>
      <c r="Y123" t="s" s="0">
        <v>82</v>
      </c>
      <c r="Z123" t="s" s="0">
        <v>91</v>
      </c>
      <c r="AA123" t="s" s="0">
        <v>92</v>
      </c>
      <c r="AB123" t="s" s="0">
        <v>82</v>
      </c>
      <c r="AC123" t="s" s="0">
        <v>82</v>
      </c>
      <c r="AD123" t="s" s="0">
        <v>82</v>
      </c>
      <c r="AE123" t="s" s="0">
        <v>82</v>
      </c>
      <c r="AF123" t="s" s="0">
        <v>82</v>
      </c>
      <c r="AG123" t="s" s="0">
        <v>3064</v>
      </c>
      <c r="AH123" t="s" s="0">
        <v>3065</v>
      </c>
      <c r="AI123" t="s" s="0">
        <v>3066</v>
      </c>
      <c r="AJ123" t="s" s="0">
        <v>3067</v>
      </c>
      <c r="AK123" t="s" s="0">
        <v>82</v>
      </c>
      <c r="AL123" t="s" s="0">
        <v>1256</v>
      </c>
      <c r="AM123" t="s" s="0">
        <v>308</v>
      </c>
      <c r="AN123" t="s" s="0">
        <v>308</v>
      </c>
      <c r="AO123" t="s" s="0">
        <v>425</v>
      </c>
      <c r="AP123" t="s" s="0">
        <v>168</v>
      </c>
      <c r="AQ123" t="s" s="0">
        <v>133</v>
      </c>
      <c r="AR123" t="s" s="0">
        <v>134</v>
      </c>
      <c r="AS123" t="s" s="0">
        <v>135</v>
      </c>
      <c r="AT123" t="s" s="0">
        <v>3068</v>
      </c>
      <c r="AU123" t="s" s="0">
        <v>3069</v>
      </c>
      <c r="AV123" t="s" s="0">
        <v>82</v>
      </c>
      <c r="AW123" t="s" s="0">
        <v>3070</v>
      </c>
      <c r="AX123" t="s" s="0">
        <v>3071</v>
      </c>
      <c r="AY123" t="s" s="0">
        <v>3072</v>
      </c>
      <c r="AZ123" t="s" s="0">
        <v>107</v>
      </c>
      <c r="BA123" t="s" s="0">
        <v>238</v>
      </c>
      <c r="BB123" t="s" s="0">
        <v>78</v>
      </c>
      <c r="BC123" t="s" s="0">
        <v>82</v>
      </c>
      <c r="BD123" t="s" s="0">
        <v>82</v>
      </c>
      <c r="BE123" t="s" s="0">
        <v>82</v>
      </c>
      <c r="BF123" t="s" s="0">
        <v>82</v>
      </c>
      <c r="BG123" t="s" s="0">
        <v>82</v>
      </c>
      <c r="BH123" t="s" s="0">
        <v>82</v>
      </c>
      <c r="BI123" t="s" s="0">
        <v>3073</v>
      </c>
      <c r="BJ123" t="s" s="0">
        <v>3074</v>
      </c>
      <c r="BK123" t="s" s="243">
        <f>HYPERLINK("http://dx.doi.org/10.1111/coin.70051","http://dx.doi.org/10.1111/coin.70051")</f>
        <v>3075</v>
      </c>
      <c r="BL123" t="s" s="0">
        <v>82</v>
      </c>
      <c r="BM123" t="s" s="0">
        <v>82</v>
      </c>
      <c r="BN123" t="s" s="0">
        <v>132</v>
      </c>
      <c r="BO123" t="s" s="0">
        <v>3076</v>
      </c>
      <c r="BP123" t="s" s="0">
        <v>982</v>
      </c>
      <c r="BQ123" t="s" s="0">
        <v>3077</v>
      </c>
      <c r="BR123" t="s" s="0">
        <v>82</v>
      </c>
      <c r="BS123" t="s" s="0">
        <v>3078</v>
      </c>
      <c r="BT123" t="s" s="244">
        <f>HYPERLINK("https://www.webofscience.com/wos/woscc/full-record/WOS:001463477800001","View Record in Web of Science")</f>
        <v>118</v>
      </c>
      <c r="BU123" t="s" s="0">
        <v>249</v>
      </c>
      <c r="BV123" t="s" s="0">
        <v>82</v>
      </c>
      <c r="BW123" t="s" s="0">
        <v>82</v>
      </c>
      <c r="BX123" t="s" s="0">
        <v>119</v>
      </c>
    </row>
    <row r="124">
      <c r="A124" t="s" s="0">
        <v>77</v>
      </c>
      <c r="B124" t="s" s="0">
        <v>77</v>
      </c>
      <c r="C124" t="s" s="0">
        <v>77</v>
      </c>
      <c r="D124" t="s" s="0">
        <v>77</v>
      </c>
      <c r="E124" t="s" s="0">
        <v>3079</v>
      </c>
      <c r="F124" t="s" s="0">
        <v>3080</v>
      </c>
      <c r="G124" t="s" s="0">
        <v>3081</v>
      </c>
      <c r="H124" t="s" s="0">
        <v>82</v>
      </c>
      <c r="I124" t="s" s="0">
        <v>83</v>
      </c>
      <c r="J124" t="s" s="0">
        <v>3082</v>
      </c>
      <c r="K124" t="s" s="0">
        <v>3083</v>
      </c>
      <c r="L124" t="s" s="0">
        <v>82</v>
      </c>
      <c r="M124" t="s" s="0">
        <v>82</v>
      </c>
      <c r="N124" t="s" s="0">
        <v>82</v>
      </c>
      <c r="O124" t="s" s="0">
        <v>3084</v>
      </c>
      <c r="P124" t="s" s="0">
        <v>3085</v>
      </c>
      <c r="Q124" t="s" s="0">
        <v>88</v>
      </c>
      <c r="R124" t="s" s="0">
        <v>82</v>
      </c>
      <c r="S124" t="s" s="0">
        <v>82</v>
      </c>
      <c r="T124" t="s" s="0">
        <v>82</v>
      </c>
      <c r="U124" t="s" s="0">
        <v>82</v>
      </c>
      <c r="V124" t="s" s="0">
        <v>3086</v>
      </c>
      <c r="W124" t="s" s="0">
        <v>3087</v>
      </c>
      <c r="X124" t="s" s="0">
        <v>82</v>
      </c>
      <c r="Y124" t="s" s="0">
        <v>82</v>
      </c>
      <c r="Z124" t="s" s="0">
        <v>91</v>
      </c>
      <c r="AA124" t="s" s="0">
        <v>526</v>
      </c>
      <c r="AB124" t="s" s="0">
        <v>82</v>
      </c>
      <c r="AC124" t="s" s="0">
        <v>82</v>
      </c>
      <c r="AD124" t="s" s="0">
        <v>82</v>
      </c>
      <c r="AE124" t="s" s="0">
        <v>82</v>
      </c>
      <c r="AF124" t="s" s="0">
        <v>82</v>
      </c>
      <c r="AG124" t="s" s="0">
        <v>3088</v>
      </c>
      <c r="AH124" t="s" s="0">
        <v>82</v>
      </c>
      <c r="AI124" t="s" s="0">
        <v>3089</v>
      </c>
      <c r="AJ124" t="s" s="0">
        <v>82</v>
      </c>
      <c r="AK124" t="s" s="0">
        <v>82</v>
      </c>
      <c r="AL124" t="s" s="0">
        <v>689</v>
      </c>
      <c r="AM124" t="s" s="0">
        <v>77</v>
      </c>
      <c r="AN124" t="s" s="0">
        <v>77</v>
      </c>
      <c r="AO124" t="s" s="0">
        <v>229</v>
      </c>
      <c r="AP124" t="s" s="0">
        <v>229</v>
      </c>
      <c r="AQ124" t="s" s="0">
        <v>3090</v>
      </c>
      <c r="AR124" t="s" s="0">
        <v>605</v>
      </c>
      <c r="AS124" t="s" s="0">
        <v>3091</v>
      </c>
      <c r="AT124" t="s" s="0">
        <v>3092</v>
      </c>
      <c r="AU124" t="s" s="0">
        <v>3093</v>
      </c>
      <c r="AV124" t="s" s="0">
        <v>82</v>
      </c>
      <c r="AW124" t="s" s="0">
        <v>3094</v>
      </c>
      <c r="AX124" t="s" s="0">
        <v>3095</v>
      </c>
      <c r="AY124" t="s" s="0">
        <v>82</v>
      </c>
      <c r="AZ124" t="s" s="0">
        <v>141</v>
      </c>
      <c r="BA124" t="s" s="0">
        <v>82</v>
      </c>
      <c r="BB124" t="s" s="0">
        <v>82</v>
      </c>
      <c r="BC124" t="s" s="0">
        <v>82</v>
      </c>
      <c r="BD124" t="s" s="0">
        <v>82</v>
      </c>
      <c r="BE124" t="s" s="0">
        <v>82</v>
      </c>
      <c r="BF124" t="s" s="0">
        <v>82</v>
      </c>
      <c r="BG124" t="s" s="0">
        <v>82</v>
      </c>
      <c r="BH124" t="s" s="0">
        <v>82</v>
      </c>
      <c r="BI124" t="s" s="0">
        <v>82</v>
      </c>
      <c r="BJ124" t="s" s="0">
        <v>3096</v>
      </c>
      <c r="BK124" t="s" s="245">
        <f>HYPERLINK("http://dx.doi.org/10.1136/bjo-2025-328867","http://dx.doi.org/10.1136/bjo-2025-328867")</f>
        <v>3097</v>
      </c>
      <c r="BL124" t="s" s="0">
        <v>82</v>
      </c>
      <c r="BM124" t="s" s="0">
        <v>276</v>
      </c>
      <c r="BN124" t="s" s="0">
        <v>244</v>
      </c>
      <c r="BO124" t="s" s="0">
        <v>1525</v>
      </c>
      <c r="BP124" t="s" s="0">
        <v>1525</v>
      </c>
      <c r="BQ124" t="s" s="0">
        <v>3098</v>
      </c>
      <c r="BR124" t="s" s="0">
        <v>3099</v>
      </c>
      <c r="BS124" t="s" s="0">
        <v>3100</v>
      </c>
      <c r="BT124" t="s" s="246">
        <f>HYPERLINK("https://www.webofscience.com/wos/woscc/full-record/WOS:001736055100001","View Record in Web of Science")</f>
        <v>118</v>
      </c>
      <c r="BU124" t="s" s="0">
        <v>82</v>
      </c>
      <c r="BV124" t="s" s="0">
        <v>82</v>
      </c>
      <c r="BW124" t="s" s="0">
        <v>82</v>
      </c>
      <c r="BX124" t="s" s="0">
        <v>119</v>
      </c>
    </row>
    <row r="125">
      <c r="A125" t="s" s="0">
        <v>77</v>
      </c>
      <c r="B125" t="s" s="0">
        <v>77</v>
      </c>
      <c r="C125" t="s" s="0">
        <v>78</v>
      </c>
      <c r="D125" t="s" s="0">
        <v>77</v>
      </c>
      <c r="E125" t="s" s="0">
        <v>3101</v>
      </c>
      <c r="F125" t="s" s="0">
        <v>3102</v>
      </c>
      <c r="G125" t="s" s="0">
        <v>3103</v>
      </c>
      <c r="H125" t="s" s="0">
        <v>82</v>
      </c>
      <c r="I125" t="s" s="0">
        <v>83</v>
      </c>
      <c r="J125" t="s" s="0">
        <v>3104</v>
      </c>
      <c r="K125" t="s" s="0">
        <v>3105</v>
      </c>
      <c r="L125" t="s" s="0">
        <v>3106</v>
      </c>
      <c r="M125" t="s" s="0">
        <v>3107</v>
      </c>
      <c r="N125" t="s" s="0">
        <v>3108</v>
      </c>
      <c r="O125" t="s" s="0">
        <v>3109</v>
      </c>
      <c r="P125" t="s" s="0">
        <v>3110</v>
      </c>
      <c r="Q125" t="s" s="0">
        <v>88</v>
      </c>
      <c r="R125" t="s" s="0">
        <v>82</v>
      </c>
      <c r="S125" t="s" s="0">
        <v>82</v>
      </c>
      <c r="T125" t="s" s="0">
        <v>82</v>
      </c>
      <c r="U125" t="s" s="0">
        <v>82</v>
      </c>
      <c r="V125" t="s" s="0">
        <v>3111</v>
      </c>
      <c r="W125" t="s" s="0">
        <v>3112</v>
      </c>
      <c r="X125" t="s" s="0">
        <v>82</v>
      </c>
      <c r="Y125" t="s" s="0">
        <v>82</v>
      </c>
      <c r="Z125" t="s" s="0">
        <v>91</v>
      </c>
      <c r="AA125" t="s" s="0">
        <v>92</v>
      </c>
      <c r="AB125" t="s" s="0">
        <v>82</v>
      </c>
      <c r="AC125" t="s" s="0">
        <v>82</v>
      </c>
      <c r="AD125" t="s" s="0">
        <v>82</v>
      </c>
      <c r="AE125" t="s" s="0">
        <v>82</v>
      </c>
      <c r="AF125" t="s" s="0">
        <v>82</v>
      </c>
      <c r="AG125" t="s" s="0">
        <v>3113</v>
      </c>
      <c r="AH125" t="s" s="0">
        <v>3114</v>
      </c>
      <c r="AI125" t="s" s="0">
        <v>3115</v>
      </c>
      <c r="AJ125" t="s" s="0">
        <v>3116</v>
      </c>
      <c r="AK125" t="s" s="0">
        <v>82</v>
      </c>
      <c r="AL125" t="s" s="0">
        <v>379</v>
      </c>
      <c r="AM125" t="s" s="0">
        <v>98</v>
      </c>
      <c r="AN125" t="s" s="0">
        <v>98</v>
      </c>
      <c r="AO125" t="s" s="0">
        <v>264</v>
      </c>
      <c r="AP125" t="s" s="0">
        <v>169</v>
      </c>
      <c r="AQ125" t="s" s="0">
        <v>3117</v>
      </c>
      <c r="AR125" t="s" s="0">
        <v>3118</v>
      </c>
      <c r="AS125" t="s" s="0">
        <v>3119</v>
      </c>
      <c r="AT125" t="s" s="0">
        <v>3120</v>
      </c>
      <c r="AU125" t="s" s="0">
        <v>3121</v>
      </c>
      <c r="AV125" t="s" s="0">
        <v>82</v>
      </c>
      <c r="AW125" t="s" s="0">
        <v>3122</v>
      </c>
      <c r="AX125" t="s" s="0">
        <v>3123</v>
      </c>
      <c r="AY125" t="s" s="0">
        <v>307</v>
      </c>
      <c r="AZ125" t="s" s="0">
        <v>107</v>
      </c>
      <c r="BA125" t="s" s="0">
        <v>3124</v>
      </c>
      <c r="BB125" t="s" s="0">
        <v>239</v>
      </c>
      <c r="BC125" t="s" s="0">
        <v>82</v>
      </c>
      <c r="BD125" t="s" s="0">
        <v>82</v>
      </c>
      <c r="BE125" t="s" s="0">
        <v>82</v>
      </c>
      <c r="BF125" t="s" s="0">
        <v>82</v>
      </c>
      <c r="BG125" t="s" s="0">
        <v>3125</v>
      </c>
      <c r="BH125" t="s" s="0">
        <v>3126</v>
      </c>
      <c r="BI125" t="s" s="0">
        <v>82</v>
      </c>
      <c r="BJ125" t="s" s="0">
        <v>3127</v>
      </c>
      <c r="BK125" t="s" s="247">
        <f>HYPERLINK("http://dx.doi.org/10.1007/s00404-025-08145-w","http://dx.doi.org/10.1007/s00404-025-08145-w")</f>
        <v>3128</v>
      </c>
      <c r="BL125" t="s" s="0">
        <v>82</v>
      </c>
      <c r="BM125" t="s" s="0">
        <v>751</v>
      </c>
      <c r="BN125" t="s" s="0">
        <v>342</v>
      </c>
      <c r="BO125" t="s" s="0">
        <v>3129</v>
      </c>
      <c r="BP125" t="s" s="0">
        <v>3129</v>
      </c>
      <c r="BQ125" t="s" s="0">
        <v>3130</v>
      </c>
      <c r="BR125" t="s" s="0">
        <v>3131</v>
      </c>
      <c r="BS125" t="s" s="0">
        <v>3132</v>
      </c>
      <c r="BT125" t="s" s="248">
        <f>HYPERLINK("https://www.webofscience.com/wos/woscc/full-record/WOS:001555866500001","View Record in Web of Science")</f>
        <v>118</v>
      </c>
      <c r="BU125" t="s" s="0">
        <v>187</v>
      </c>
      <c r="BV125" t="s" s="0">
        <v>82</v>
      </c>
      <c r="BW125" t="s" s="0">
        <v>82</v>
      </c>
      <c r="BX125" t="s" s="0">
        <v>119</v>
      </c>
    </row>
    <row r="126">
      <c r="A126" t="s" s="0">
        <v>77</v>
      </c>
      <c r="B126" t="s" s="0">
        <v>77</v>
      </c>
      <c r="C126" t="s" s="0">
        <v>77</v>
      </c>
      <c r="D126" t="s" s="0">
        <v>77</v>
      </c>
      <c r="E126" t="s" s="0">
        <v>3133</v>
      </c>
      <c r="F126" t="s" s="0">
        <v>3134</v>
      </c>
      <c r="G126" t="s" s="0">
        <v>3135</v>
      </c>
      <c r="H126" t="s" s="0">
        <v>82</v>
      </c>
      <c r="I126" t="s" s="0">
        <v>83</v>
      </c>
      <c r="J126" t="s" s="0">
        <v>3136</v>
      </c>
      <c r="K126" t="s" s="0">
        <v>3137</v>
      </c>
      <c r="L126" t="s" s="0">
        <v>82</v>
      </c>
      <c r="M126" t="s" s="0">
        <v>82</v>
      </c>
      <c r="N126" t="s" s="0">
        <v>82</v>
      </c>
      <c r="O126" t="s" s="0">
        <v>3138</v>
      </c>
      <c r="P126" t="s" s="0">
        <v>3139</v>
      </c>
      <c r="Q126" t="s" s="0">
        <v>88</v>
      </c>
      <c r="R126" t="s" s="0">
        <v>82</v>
      </c>
      <c r="S126" t="s" s="0">
        <v>82</v>
      </c>
      <c r="T126" t="s" s="0">
        <v>82</v>
      </c>
      <c r="U126" t="s" s="0">
        <v>82</v>
      </c>
      <c r="V126" t="s" s="0">
        <v>3140</v>
      </c>
      <c r="W126" t="s" s="0">
        <v>1537</v>
      </c>
      <c r="X126" t="s" s="0">
        <v>82</v>
      </c>
      <c r="Y126" t="s" s="0">
        <v>82</v>
      </c>
      <c r="Z126" t="s" s="0">
        <v>91</v>
      </c>
      <c r="AA126" t="s" s="0">
        <v>92</v>
      </c>
      <c r="AB126" t="s" s="0">
        <v>82</v>
      </c>
      <c r="AC126" t="s" s="0">
        <v>82</v>
      </c>
      <c r="AD126" t="s" s="0">
        <v>82</v>
      </c>
      <c r="AE126" t="s" s="0">
        <v>82</v>
      </c>
      <c r="AF126" t="s" s="0">
        <v>82</v>
      </c>
      <c r="AG126" t="s" s="0">
        <v>3141</v>
      </c>
      <c r="AH126" t="s" s="0">
        <v>82</v>
      </c>
      <c r="AI126" t="s" s="0">
        <v>3142</v>
      </c>
      <c r="AJ126" t="s" s="0">
        <v>3143</v>
      </c>
      <c r="AK126" t="s" s="0">
        <v>82</v>
      </c>
      <c r="AL126" t="s" s="0">
        <v>790</v>
      </c>
      <c r="AM126" t="s" s="0">
        <v>78</v>
      </c>
      <c r="AN126" t="s" s="0">
        <v>78</v>
      </c>
      <c r="AO126" t="s" s="0">
        <v>264</v>
      </c>
      <c r="AP126" t="s" s="0">
        <v>308</v>
      </c>
      <c r="AQ126" t="s" s="0">
        <v>604</v>
      </c>
      <c r="AR126" t="s" s="0">
        <v>605</v>
      </c>
      <c r="AS126" t="s" s="0">
        <v>606</v>
      </c>
      <c r="AT126" t="s" s="0">
        <v>1541</v>
      </c>
      <c r="AU126" t="s" s="0">
        <v>82</v>
      </c>
      <c r="AV126" t="s" s="0">
        <v>82</v>
      </c>
      <c r="AW126" t="s" s="0">
        <v>1537</v>
      </c>
      <c r="AX126" t="s" s="0">
        <v>1542</v>
      </c>
      <c r="AY126" t="s" s="0">
        <v>3144</v>
      </c>
      <c r="AZ126" t="s" s="0">
        <v>107</v>
      </c>
      <c r="BA126" t="s" s="0">
        <v>1068</v>
      </c>
      <c r="BB126" t="s" s="0">
        <v>229</v>
      </c>
      <c r="BC126" t="s" s="0">
        <v>82</v>
      </c>
      <c r="BD126" t="s" s="0">
        <v>82</v>
      </c>
      <c r="BE126" t="s" s="0">
        <v>82</v>
      </c>
      <c r="BF126" t="s" s="0">
        <v>82</v>
      </c>
      <c r="BG126" t="s" s="0">
        <v>82</v>
      </c>
      <c r="BH126" t="s" s="0">
        <v>82</v>
      </c>
      <c r="BI126" t="s" s="0">
        <v>3145</v>
      </c>
      <c r="BJ126" t="s" s="0">
        <v>3146</v>
      </c>
      <c r="BK126" t="s" s="249">
        <f>HYPERLINK("http://dx.doi.org/10.1186/s12903-025-06987-z","http://dx.doi.org/10.1186/s12903-025-06987-z")</f>
        <v>3147</v>
      </c>
      <c r="BL126" t="s" s="0">
        <v>82</v>
      </c>
      <c r="BM126" t="s" s="0">
        <v>82</v>
      </c>
      <c r="BN126" t="s" s="0">
        <v>308</v>
      </c>
      <c r="BO126" t="s" s="0">
        <v>588</v>
      </c>
      <c r="BP126" t="s" s="0">
        <v>588</v>
      </c>
      <c r="BQ126" t="s" s="0">
        <v>3148</v>
      </c>
      <c r="BR126" t="s" s="0">
        <v>3149</v>
      </c>
      <c r="BS126" t="s" s="0">
        <v>3150</v>
      </c>
      <c r="BT126" t="s" s="250">
        <f>HYPERLINK("https://www.webofscience.com/wos/woscc/full-record/WOS:001590971600001","View Record in Web of Science")</f>
        <v>118</v>
      </c>
      <c r="BU126" t="s" s="0">
        <v>187</v>
      </c>
      <c r="BV126" t="s" s="0">
        <v>82</v>
      </c>
      <c r="BW126" t="s" s="0">
        <v>82</v>
      </c>
      <c r="BX126" t="s" s="0">
        <v>119</v>
      </c>
    </row>
    <row r="127">
      <c r="A127" t="s" s="0">
        <v>77</v>
      </c>
      <c r="B127" t="s" s="0">
        <v>77</v>
      </c>
      <c r="C127" t="s" s="0">
        <v>77</v>
      </c>
      <c r="D127" t="s" s="0">
        <v>77</v>
      </c>
      <c r="E127" t="s" s="0">
        <v>3151</v>
      </c>
      <c r="F127" t="s" s="0">
        <v>3152</v>
      </c>
      <c r="G127" t="s" s="0">
        <v>3153</v>
      </c>
      <c r="H127" t="s" s="0">
        <v>82</v>
      </c>
      <c r="I127" t="s" s="0">
        <v>83</v>
      </c>
      <c r="J127" t="s" s="0">
        <v>3154</v>
      </c>
      <c r="K127" t="s" s="0">
        <v>3155</v>
      </c>
      <c r="L127" t="s" s="0">
        <v>3156</v>
      </c>
      <c r="M127" t="s" s="0">
        <v>2770</v>
      </c>
      <c r="N127" t="s" s="0">
        <v>3157</v>
      </c>
      <c r="O127" t="s" s="0">
        <v>3158</v>
      </c>
      <c r="P127" t="s" s="0">
        <v>3159</v>
      </c>
      <c r="Q127" t="s" s="0">
        <v>88</v>
      </c>
      <c r="R127" t="s" s="0">
        <v>82</v>
      </c>
      <c r="S127" t="s" s="0">
        <v>82</v>
      </c>
      <c r="T127" t="s" s="0">
        <v>82</v>
      </c>
      <c r="U127" t="s" s="0">
        <v>82</v>
      </c>
      <c r="V127" t="s" s="0">
        <v>3160</v>
      </c>
      <c r="W127" t="s" s="0">
        <v>3161</v>
      </c>
      <c r="X127" t="s" s="0">
        <v>82</v>
      </c>
      <c r="Y127" t="s" s="0">
        <v>82</v>
      </c>
      <c r="Z127" t="s" s="0">
        <v>91</v>
      </c>
      <c r="AA127" t="s" s="0">
        <v>92</v>
      </c>
      <c r="AB127" t="s" s="0">
        <v>82</v>
      </c>
      <c r="AC127" t="s" s="0">
        <v>82</v>
      </c>
      <c r="AD127" t="s" s="0">
        <v>82</v>
      </c>
      <c r="AE127" t="s" s="0">
        <v>82</v>
      </c>
      <c r="AF127" t="s" s="0">
        <v>82</v>
      </c>
      <c r="AG127" t="s" s="0">
        <v>3162</v>
      </c>
      <c r="AH127" t="s" s="0">
        <v>3163</v>
      </c>
      <c r="AI127" t="s" s="0">
        <v>82</v>
      </c>
      <c r="AJ127" t="s" s="0">
        <v>82</v>
      </c>
      <c r="AK127" t="s" s="0">
        <v>82</v>
      </c>
      <c r="AL127" t="s" s="0">
        <v>2267</v>
      </c>
      <c r="AM127" t="s" s="0">
        <v>77</v>
      </c>
      <c r="AN127" t="s" s="0">
        <v>77</v>
      </c>
      <c r="AO127" t="s" s="0">
        <v>78</v>
      </c>
      <c r="AP127" t="s" s="0">
        <v>78</v>
      </c>
      <c r="AQ127" t="s" s="0">
        <v>711</v>
      </c>
      <c r="AR127" t="s" s="0">
        <v>712</v>
      </c>
      <c r="AS127" t="s" s="0">
        <v>713</v>
      </c>
      <c r="AT127" t="s" s="0">
        <v>3164</v>
      </c>
      <c r="AU127" t="s" s="0">
        <v>82</v>
      </c>
      <c r="AV127" t="s" s="0">
        <v>82</v>
      </c>
      <c r="AW127" t="s" s="0">
        <v>3165</v>
      </c>
      <c r="AX127" t="s" s="0">
        <v>3166</v>
      </c>
      <c r="AY127" t="s" s="0">
        <v>3167</v>
      </c>
      <c r="AZ127" t="s" s="0">
        <v>107</v>
      </c>
      <c r="BA127" t="s" s="0">
        <v>425</v>
      </c>
      <c r="BB127" t="s" s="0">
        <v>82</v>
      </c>
      <c r="BC127" t="s" s="0">
        <v>82</v>
      </c>
      <c r="BD127" t="s" s="0">
        <v>82</v>
      </c>
      <c r="BE127" t="s" s="0">
        <v>82</v>
      </c>
      <c r="BF127" t="s" s="0">
        <v>82</v>
      </c>
      <c r="BG127" t="s" s="0">
        <v>82</v>
      </c>
      <c r="BH127" t="s" s="0">
        <v>82</v>
      </c>
      <c r="BI127" t="s" s="0">
        <v>3168</v>
      </c>
      <c r="BJ127" t="s" s="0">
        <v>3169</v>
      </c>
      <c r="BK127" t="s" s="251">
        <f>HYPERLINK("http://dx.doi.org/10.3389/fcell.2025.1704762","http://dx.doi.org/10.3389/fcell.2025.1704762")</f>
        <v>3170</v>
      </c>
      <c r="BL127" t="s" s="0">
        <v>82</v>
      </c>
      <c r="BM127" t="s" s="0">
        <v>82</v>
      </c>
      <c r="BN127" t="s" s="0">
        <v>181</v>
      </c>
      <c r="BO127" t="s" s="0">
        <v>3171</v>
      </c>
      <c r="BP127" t="s" s="0">
        <v>3171</v>
      </c>
      <c r="BQ127" t="s" s="0">
        <v>3172</v>
      </c>
      <c r="BR127" t="s" s="0">
        <v>3173</v>
      </c>
      <c r="BS127" t="s" s="0">
        <v>3174</v>
      </c>
      <c r="BT127" t="s" s="252">
        <f>HYPERLINK("https://www.webofscience.com/wos/woscc/full-record/WOS:001639177000001","View Record in Web of Science")</f>
        <v>118</v>
      </c>
      <c r="BU127" t="s" s="0">
        <v>187</v>
      </c>
      <c r="BV127" t="s" s="0">
        <v>82</v>
      </c>
      <c r="BW127" t="s" s="0">
        <v>82</v>
      </c>
      <c r="BX127" t="s" s="0">
        <v>119</v>
      </c>
    </row>
    <row r="128">
      <c r="A128" t="s" s="0">
        <v>77</v>
      </c>
      <c r="B128" t="s" s="0">
        <v>77</v>
      </c>
      <c r="C128" t="s" s="0">
        <v>77</v>
      </c>
      <c r="D128" t="s" s="0">
        <v>77</v>
      </c>
      <c r="E128" t="s" s="0">
        <v>3175</v>
      </c>
      <c r="F128" t="s" s="0">
        <v>3176</v>
      </c>
      <c r="G128" t="s" s="0">
        <v>3177</v>
      </c>
      <c r="H128" t="s" s="0">
        <v>82</v>
      </c>
      <c r="I128" t="s" s="0">
        <v>83</v>
      </c>
      <c r="J128" t="s" s="0">
        <v>3178</v>
      </c>
      <c r="K128" t="s" s="0">
        <v>3105</v>
      </c>
      <c r="L128" t="s" s="0">
        <v>82</v>
      </c>
      <c r="M128" t="s" s="0">
        <v>82</v>
      </c>
      <c r="N128" t="s" s="0">
        <v>82</v>
      </c>
      <c r="O128" t="s" s="0">
        <v>3179</v>
      </c>
      <c r="P128" t="s" s="0">
        <v>3106</v>
      </c>
      <c r="Q128" t="s" s="0">
        <v>88</v>
      </c>
      <c r="R128" t="s" s="0">
        <v>82</v>
      </c>
      <c r="S128" t="s" s="0">
        <v>82</v>
      </c>
      <c r="T128" t="s" s="0">
        <v>82</v>
      </c>
      <c r="U128" t="s" s="0">
        <v>82</v>
      </c>
      <c r="V128" t="s" s="0">
        <v>3180</v>
      </c>
      <c r="W128" t="s" s="0">
        <v>3181</v>
      </c>
      <c r="X128" t="s" s="0">
        <v>82</v>
      </c>
      <c r="Y128" t="s" s="0">
        <v>82</v>
      </c>
      <c r="Z128" t="s" s="0">
        <v>91</v>
      </c>
      <c r="AA128" t="s" s="0">
        <v>526</v>
      </c>
      <c r="AB128" t="s" s="0">
        <v>82</v>
      </c>
      <c r="AC128" t="s" s="0">
        <v>82</v>
      </c>
      <c r="AD128" t="s" s="0">
        <v>82</v>
      </c>
      <c r="AE128" t="s" s="0">
        <v>82</v>
      </c>
      <c r="AF128" t="s" s="0">
        <v>82</v>
      </c>
      <c r="AG128" t="s" s="0">
        <v>3182</v>
      </c>
      <c r="AH128" t="s" s="0">
        <v>82</v>
      </c>
      <c r="AI128" t="s" s="0">
        <v>3183</v>
      </c>
      <c r="AJ128" t="s" s="0">
        <v>3184</v>
      </c>
      <c r="AK128" t="s" s="0">
        <v>82</v>
      </c>
      <c r="AL128" t="s" s="0">
        <v>212</v>
      </c>
      <c r="AM128" t="s" s="0">
        <v>77</v>
      </c>
      <c r="AN128" t="s" s="0">
        <v>77</v>
      </c>
      <c r="AO128" t="s" s="0">
        <v>77</v>
      </c>
      <c r="AP128" t="s" s="0">
        <v>77</v>
      </c>
      <c r="AQ128" t="s" s="0">
        <v>133</v>
      </c>
      <c r="AR128" t="s" s="0">
        <v>134</v>
      </c>
      <c r="AS128" t="s" s="0">
        <v>135</v>
      </c>
      <c r="AT128" t="s" s="0">
        <v>3185</v>
      </c>
      <c r="AU128" t="s" s="0">
        <v>3186</v>
      </c>
      <c r="AV128" t="s" s="0">
        <v>82</v>
      </c>
      <c r="AW128" t="s" s="0">
        <v>3187</v>
      </c>
      <c r="AX128" t="s" s="0">
        <v>3188</v>
      </c>
      <c r="AY128" t="s" s="0">
        <v>82</v>
      </c>
      <c r="AZ128" t="s" s="0">
        <v>141</v>
      </c>
      <c r="BA128" t="s" s="0">
        <v>82</v>
      </c>
      <c r="BB128" t="s" s="0">
        <v>82</v>
      </c>
      <c r="BC128" t="s" s="0">
        <v>82</v>
      </c>
      <c r="BD128" t="s" s="0">
        <v>82</v>
      </c>
      <c r="BE128" t="s" s="0">
        <v>82</v>
      </c>
      <c r="BF128" t="s" s="0">
        <v>82</v>
      </c>
      <c r="BG128" t="s" s="0">
        <v>82</v>
      </c>
      <c r="BH128" t="s" s="0">
        <v>82</v>
      </c>
      <c r="BI128" t="s" s="0">
        <v>82</v>
      </c>
      <c r="BJ128" t="s" s="0">
        <v>3189</v>
      </c>
      <c r="BK128" t="s" s="253">
        <f>HYPERLINK("http://dx.doi.org/10.1002/ijgo.71240","http://dx.doi.org/10.1002/ijgo.71240")</f>
        <v>3190</v>
      </c>
      <c r="BL128" t="s" s="0">
        <v>82</v>
      </c>
      <c r="BM128" t="s" s="0">
        <v>534</v>
      </c>
      <c r="BN128" t="s" s="0">
        <v>272</v>
      </c>
      <c r="BO128" t="s" s="0">
        <v>3129</v>
      </c>
      <c r="BP128" t="s" s="0">
        <v>3129</v>
      </c>
      <c r="BQ128" t="s" s="0">
        <v>3191</v>
      </c>
      <c r="BR128" t="s" s="0">
        <v>3192</v>
      </c>
      <c r="BS128" t="s" s="0">
        <v>3193</v>
      </c>
      <c r="BT128" t="s" s="254">
        <f>HYPERLINK("https://www.webofscience.com/wos/woscc/full-record/WOS:001825522600001","View Record in Web of Science")</f>
        <v>118</v>
      </c>
      <c r="BU128" t="s" s="0">
        <v>538</v>
      </c>
      <c r="BV128" t="s" s="0">
        <v>82</v>
      </c>
      <c r="BW128" t="s" s="0">
        <v>82</v>
      </c>
      <c r="BX128" t="s" s="0">
        <v>119</v>
      </c>
    </row>
    <row r="129">
      <c r="A129" t="s" s="0">
        <v>77</v>
      </c>
      <c r="B129" t="s" s="0">
        <v>77</v>
      </c>
      <c r="C129" t="s" s="0">
        <v>229</v>
      </c>
      <c r="D129" t="s" s="0">
        <v>77</v>
      </c>
      <c r="E129" t="s" s="0">
        <v>3194</v>
      </c>
      <c r="F129" t="s" s="0">
        <v>3195</v>
      </c>
      <c r="G129" t="s" s="0">
        <v>3196</v>
      </c>
      <c r="H129" t="s" s="0">
        <v>82</v>
      </c>
      <c r="I129" t="s" s="0">
        <v>83</v>
      </c>
      <c r="J129" t="s" s="0">
        <v>3197</v>
      </c>
      <c r="K129" t="s" s="0">
        <v>3198</v>
      </c>
      <c r="L129" t="s" s="0">
        <v>82</v>
      </c>
      <c r="M129" t="s" s="0">
        <v>82</v>
      </c>
      <c r="N129" t="s" s="0">
        <v>82</v>
      </c>
      <c r="O129" t="s" s="0">
        <v>3199</v>
      </c>
      <c r="P129" t="s" s="0">
        <v>3200</v>
      </c>
      <c r="Q129" t="s" s="0">
        <v>88</v>
      </c>
      <c r="R129" t="s" s="0">
        <v>82</v>
      </c>
      <c r="S129" t="s" s="0">
        <v>82</v>
      </c>
      <c r="T129" t="s" s="0">
        <v>82</v>
      </c>
      <c r="U129" t="s" s="0">
        <v>82</v>
      </c>
      <c r="V129" t="s" s="0">
        <v>3201</v>
      </c>
      <c r="W129" t="s" s="0">
        <v>3202</v>
      </c>
      <c r="X129" t="s" s="0">
        <v>82</v>
      </c>
      <c r="Y129" t="s" s="0">
        <v>82</v>
      </c>
      <c r="Z129" t="s" s="0">
        <v>91</v>
      </c>
      <c r="AA129" t="s" s="0">
        <v>92</v>
      </c>
      <c r="AB129" t="s" s="0">
        <v>82</v>
      </c>
      <c r="AC129" t="s" s="0">
        <v>82</v>
      </c>
      <c r="AD129" t="s" s="0">
        <v>82</v>
      </c>
      <c r="AE129" t="s" s="0">
        <v>82</v>
      </c>
      <c r="AF129" t="s" s="0">
        <v>82</v>
      </c>
      <c r="AG129" t="s" s="0">
        <v>82</v>
      </c>
      <c r="AH129" t="s" s="0">
        <v>82</v>
      </c>
      <c r="AI129" t="s" s="0">
        <v>3203</v>
      </c>
      <c r="AJ129" t="s" s="0">
        <v>3204</v>
      </c>
      <c r="AK129" t="s" s="0">
        <v>82</v>
      </c>
      <c r="AL129" t="s" s="0">
        <v>811</v>
      </c>
      <c r="AM129" t="s" s="0">
        <v>212</v>
      </c>
      <c r="AN129" t="s" s="0">
        <v>1068</v>
      </c>
      <c r="AO129" t="s" s="0">
        <v>78</v>
      </c>
      <c r="AP129" t="s" s="0">
        <v>98</v>
      </c>
      <c r="AQ129" t="s" s="0">
        <v>631</v>
      </c>
      <c r="AR129" t="s" s="0">
        <v>632</v>
      </c>
      <c r="AS129" t="s" s="0">
        <v>633</v>
      </c>
      <c r="AT129" t="s" s="0">
        <v>3205</v>
      </c>
      <c r="AU129" t="s" s="0">
        <v>3206</v>
      </c>
      <c r="AV129" t="s" s="0">
        <v>82</v>
      </c>
      <c r="AW129" t="s" s="0">
        <v>3207</v>
      </c>
      <c r="AX129" t="s" s="0">
        <v>3208</v>
      </c>
      <c r="AY129" t="s" s="0">
        <v>1038</v>
      </c>
      <c r="AZ129" t="s" s="0">
        <v>107</v>
      </c>
      <c r="BA129" t="s" s="0">
        <v>238</v>
      </c>
      <c r="BB129" t="s" s="0">
        <v>239</v>
      </c>
      <c r="BC129" t="s" s="0">
        <v>82</v>
      </c>
      <c r="BD129" t="s" s="0">
        <v>82</v>
      </c>
      <c r="BE129" t="s" s="0">
        <v>82</v>
      </c>
      <c r="BF129" t="s" s="0">
        <v>82</v>
      </c>
      <c r="BG129" t="s" s="0">
        <v>82</v>
      </c>
      <c r="BH129" t="s" s="0">
        <v>82</v>
      </c>
      <c r="BI129" t="s" s="0">
        <v>82</v>
      </c>
      <c r="BJ129" t="s" s="0">
        <v>3209</v>
      </c>
      <c r="BK129" t="s" s="255">
        <f>HYPERLINK("http://dx.doi.org/10.1016/j.arthro.2024.06.021","http://dx.doi.org/10.1016/j.arthro.2024.06.021")</f>
        <v>3210</v>
      </c>
      <c r="BL129" t="s" s="0">
        <v>82</v>
      </c>
      <c r="BM129" t="s" s="0">
        <v>378</v>
      </c>
      <c r="BN129" t="s" s="0">
        <v>845</v>
      </c>
      <c r="BO129" t="s" s="0">
        <v>3211</v>
      </c>
      <c r="BP129" t="s" s="0">
        <v>3211</v>
      </c>
      <c r="BQ129" t="s" s="0">
        <v>3212</v>
      </c>
      <c r="BR129" t="s" s="0">
        <v>3213</v>
      </c>
      <c r="BS129" t="s" s="0">
        <v>3214</v>
      </c>
      <c r="BT129" t="s" s="256">
        <f>HYPERLINK("https://www.webofscience.com/wos/woscc/full-record/WOS:001493899100001","View Record in Web of Science")</f>
        <v>118</v>
      </c>
      <c r="BU129" t="s" s="0">
        <v>82</v>
      </c>
      <c r="BV129" t="s" s="0">
        <v>82</v>
      </c>
      <c r="BW129" t="s" s="0">
        <v>82</v>
      </c>
      <c r="BX129" t="s" s="0">
        <v>119</v>
      </c>
    </row>
    <row r="130">
      <c r="A130" t="s" s="0">
        <v>77</v>
      </c>
      <c r="B130" t="s" s="0">
        <v>77</v>
      </c>
      <c r="C130" t="s" s="0">
        <v>77</v>
      </c>
      <c r="D130" t="s" s="0">
        <v>77</v>
      </c>
      <c r="E130" t="s" s="0">
        <v>3215</v>
      </c>
      <c r="F130" t="s" s="0">
        <v>3216</v>
      </c>
      <c r="G130" t="s" s="0">
        <v>3217</v>
      </c>
      <c r="H130" t="s" s="0">
        <v>82</v>
      </c>
      <c r="I130" t="s" s="0">
        <v>83</v>
      </c>
      <c r="J130" t="s" s="0">
        <v>3218</v>
      </c>
      <c r="K130" t="s" s="0">
        <v>3219</v>
      </c>
      <c r="L130" t="s" s="0">
        <v>82</v>
      </c>
      <c r="M130" t="s" s="0">
        <v>82</v>
      </c>
      <c r="N130" t="s" s="0">
        <v>82</v>
      </c>
      <c r="O130" t="s" s="0">
        <v>3220</v>
      </c>
      <c r="P130" t="s" s="0">
        <v>3221</v>
      </c>
      <c r="Q130" t="s" s="0">
        <v>88</v>
      </c>
      <c r="R130" t="s" s="0">
        <v>82</v>
      </c>
      <c r="S130" t="s" s="0">
        <v>82</v>
      </c>
      <c r="T130" t="s" s="0">
        <v>82</v>
      </c>
      <c r="U130" t="s" s="0">
        <v>82</v>
      </c>
      <c r="V130" t="s" s="0">
        <v>3222</v>
      </c>
      <c r="W130" t="s" s="0">
        <v>3223</v>
      </c>
      <c r="X130" t="s" s="0">
        <v>82</v>
      </c>
      <c r="Y130" t="s" s="0">
        <v>82</v>
      </c>
      <c r="Z130" t="s" s="0">
        <v>91</v>
      </c>
      <c r="AA130" t="s" s="0">
        <v>92</v>
      </c>
      <c r="AB130" t="s" s="0">
        <v>82</v>
      </c>
      <c r="AC130" t="s" s="0">
        <v>82</v>
      </c>
      <c r="AD130" t="s" s="0">
        <v>82</v>
      </c>
      <c r="AE130" t="s" s="0">
        <v>82</v>
      </c>
      <c r="AF130" t="s" s="0">
        <v>82</v>
      </c>
      <c r="AG130" t="s" s="0">
        <v>82</v>
      </c>
      <c r="AH130" t="s" s="0">
        <v>82</v>
      </c>
      <c r="AI130" t="s" s="0">
        <v>3224</v>
      </c>
      <c r="AJ130" t="s" s="0">
        <v>3225</v>
      </c>
      <c r="AK130" t="s" s="0">
        <v>82</v>
      </c>
      <c r="AL130" t="s" s="0">
        <v>208</v>
      </c>
      <c r="AM130" t="s" s="0">
        <v>78</v>
      </c>
      <c r="AN130" t="s" s="0">
        <v>78</v>
      </c>
      <c r="AO130" t="s" s="0">
        <v>98</v>
      </c>
      <c r="AP130" t="s" s="0">
        <v>98</v>
      </c>
      <c r="AQ130" t="s" s="0">
        <v>1582</v>
      </c>
      <c r="AR130" t="s" s="0">
        <v>632</v>
      </c>
      <c r="AS130" t="s" s="0">
        <v>1583</v>
      </c>
      <c r="AT130" t="s" s="0">
        <v>3226</v>
      </c>
      <c r="AU130" t="s" s="0">
        <v>3227</v>
      </c>
      <c r="AV130" t="s" s="0">
        <v>82</v>
      </c>
      <c r="AW130" t="s" s="0">
        <v>3228</v>
      </c>
      <c r="AX130" t="s" s="0">
        <v>3229</v>
      </c>
      <c r="AY130" t="s" s="0">
        <v>3230</v>
      </c>
      <c r="AZ130" t="s" s="0">
        <v>141</v>
      </c>
      <c r="BA130" t="s" s="0">
        <v>557</v>
      </c>
      <c r="BB130" t="s" s="0">
        <v>229</v>
      </c>
      <c r="BC130" t="s" s="0">
        <v>82</v>
      </c>
      <c r="BD130" t="s" s="0">
        <v>82</v>
      </c>
      <c r="BE130" t="s" s="0">
        <v>82</v>
      </c>
      <c r="BF130" t="s" s="0">
        <v>82</v>
      </c>
      <c r="BG130" t="s" s="0">
        <v>3231</v>
      </c>
      <c r="BH130" t="s" s="0">
        <v>508</v>
      </c>
      <c r="BI130" t="s" s="0">
        <v>82</v>
      </c>
      <c r="BJ130" t="s" s="0">
        <v>3232</v>
      </c>
      <c r="BK130" t="s" s="257">
        <f>HYPERLINK("http://dx.doi.org/10.1097/IOP.0000000000002984","http://dx.doi.org/10.1097/IOP.0000000000002984")</f>
        <v>3233</v>
      </c>
      <c r="BL130" t="s" s="0">
        <v>82</v>
      </c>
      <c r="BM130" t="s" s="0">
        <v>82</v>
      </c>
      <c r="BN130" t="s" s="0">
        <v>98</v>
      </c>
      <c r="BO130" t="s" s="0">
        <v>3234</v>
      </c>
      <c r="BP130" t="s" s="0">
        <v>3234</v>
      </c>
      <c r="BQ130" t="s" s="0">
        <v>3235</v>
      </c>
      <c r="BR130" t="s" s="0">
        <v>3236</v>
      </c>
      <c r="BS130" t="s" s="0">
        <v>3237</v>
      </c>
      <c r="BT130" t="s" s="258">
        <f>HYPERLINK("https://www.webofscience.com/wos/woscc/full-record/WOS:001660845800034","View Record in Web of Science")</f>
        <v>118</v>
      </c>
      <c r="BU130" t="s" s="0">
        <v>82</v>
      </c>
      <c r="BV130" t="s" s="0">
        <v>82</v>
      </c>
      <c r="BW130" t="s" s="0">
        <v>82</v>
      </c>
      <c r="BX130" t="s" s="0">
        <v>119</v>
      </c>
    </row>
    <row r="131">
      <c r="A131" t="s" s="0">
        <v>77</v>
      </c>
      <c r="B131" t="s" s="0">
        <v>77</v>
      </c>
      <c r="C131" t="s" s="0">
        <v>77</v>
      </c>
      <c r="D131" t="s" s="0">
        <v>77</v>
      </c>
      <c r="E131" t="s" s="0">
        <v>3238</v>
      </c>
      <c r="F131" t="s" s="0">
        <v>3239</v>
      </c>
      <c r="G131" t="s" s="0">
        <v>3240</v>
      </c>
      <c r="H131" t="s" s="0">
        <v>82</v>
      </c>
      <c r="I131" t="s" s="0">
        <v>1573</v>
      </c>
      <c r="J131" t="s" s="0">
        <v>3241</v>
      </c>
      <c r="K131" t="s" s="0">
        <v>3242</v>
      </c>
      <c r="L131" t="s" s="0">
        <v>3243</v>
      </c>
      <c r="M131" t="s" s="0">
        <v>3244</v>
      </c>
      <c r="N131" t="s" s="0">
        <v>3245</v>
      </c>
      <c r="O131" t="s" s="0">
        <v>3246</v>
      </c>
      <c r="P131" t="s" s="0">
        <v>3247</v>
      </c>
      <c r="Q131" t="s" s="0">
        <v>88</v>
      </c>
      <c r="R131" t="s" s="0">
        <v>82</v>
      </c>
      <c r="S131" t="s" s="0">
        <v>82</v>
      </c>
      <c r="T131" t="s" s="0">
        <v>82</v>
      </c>
      <c r="U131" t="s" s="0">
        <v>82</v>
      </c>
      <c r="V131" t="s" s="0">
        <v>3248</v>
      </c>
      <c r="W131" t="s" s="0">
        <v>3249</v>
      </c>
      <c r="X131" t="s" s="0">
        <v>82</v>
      </c>
      <c r="Y131" t="s" s="0">
        <v>82</v>
      </c>
      <c r="Z131" t="s" s="0">
        <v>91</v>
      </c>
      <c r="AA131" t="s" s="0">
        <v>92</v>
      </c>
      <c r="AB131" t="s" s="0">
        <v>82</v>
      </c>
      <c r="AC131" t="s" s="0">
        <v>82</v>
      </c>
      <c r="AD131" t="s" s="0">
        <v>82</v>
      </c>
      <c r="AE131" t="s" s="0">
        <v>82</v>
      </c>
      <c r="AF131" t="s" s="0">
        <v>82</v>
      </c>
      <c r="AG131" t="s" s="0">
        <v>3250</v>
      </c>
      <c r="AH131" t="s" s="0">
        <v>3251</v>
      </c>
      <c r="AI131" t="s" s="0">
        <v>3252</v>
      </c>
      <c r="AJ131" t="s" s="0">
        <v>3253</v>
      </c>
      <c r="AK131" t="s" s="0">
        <v>82</v>
      </c>
      <c r="AL131" t="s" s="0">
        <v>1256</v>
      </c>
      <c r="AM131" t="s" s="0">
        <v>78</v>
      </c>
      <c r="AN131" t="s" s="0">
        <v>78</v>
      </c>
      <c r="AO131" t="s" s="0">
        <v>277</v>
      </c>
      <c r="AP131" t="s" s="0">
        <v>368</v>
      </c>
      <c r="AQ131" t="s" s="0">
        <v>604</v>
      </c>
      <c r="AR131" t="s" s="0">
        <v>605</v>
      </c>
      <c r="AS131" t="s" s="0">
        <v>606</v>
      </c>
      <c r="AT131" t="s" s="0">
        <v>82</v>
      </c>
      <c r="AU131" t="s" s="0">
        <v>3254</v>
      </c>
      <c r="AV131" t="s" s="0">
        <v>82</v>
      </c>
      <c r="AW131" t="s" s="0">
        <v>3255</v>
      </c>
      <c r="AX131" t="s" s="0">
        <v>3256</v>
      </c>
      <c r="AY131" t="s" s="0">
        <v>3257</v>
      </c>
      <c r="AZ131" t="s" s="0">
        <v>107</v>
      </c>
      <c r="BA131" t="s" s="0">
        <v>1068</v>
      </c>
      <c r="BB131" t="s" s="0">
        <v>229</v>
      </c>
      <c r="BC131" t="s" s="0">
        <v>82</v>
      </c>
      <c r="BD131" t="s" s="0">
        <v>82</v>
      </c>
      <c r="BE131" t="s" s="0">
        <v>82</v>
      </c>
      <c r="BF131" t="s" s="0">
        <v>82</v>
      </c>
      <c r="BG131" t="s" s="0">
        <v>82</v>
      </c>
      <c r="BH131" t="s" s="0">
        <v>82</v>
      </c>
      <c r="BI131" t="s" s="0">
        <v>3258</v>
      </c>
      <c r="BJ131" t="s" s="0">
        <v>3259</v>
      </c>
      <c r="BK131" t="s" s="259">
        <f>HYPERLINK("http://dx.doi.org/10.1186/s12909-025-07872-7","http://dx.doi.org/10.1186/s12909-025-07872-7")</f>
        <v>3260</v>
      </c>
      <c r="BL131" t="s" s="0">
        <v>82</v>
      </c>
      <c r="BM131" t="s" s="0">
        <v>82</v>
      </c>
      <c r="BN131" t="s" s="0">
        <v>181</v>
      </c>
      <c r="BO131" t="s" s="0">
        <v>3261</v>
      </c>
      <c r="BP131" t="s" s="0">
        <v>1898</v>
      </c>
      <c r="BQ131" t="s" s="0">
        <v>3262</v>
      </c>
      <c r="BR131" t="s" s="0">
        <v>3263</v>
      </c>
      <c r="BS131" t="s" s="0">
        <v>3264</v>
      </c>
      <c r="BT131" t="s" s="260">
        <f>HYPERLINK("https://www.webofscience.com/wos/woscc/full-record/WOS:001600907300004","View Record in Web of Science")</f>
        <v>118</v>
      </c>
      <c r="BU131" t="s" s="0">
        <v>187</v>
      </c>
      <c r="BV131" t="s" s="0">
        <v>82</v>
      </c>
      <c r="BW131" t="s" s="0">
        <v>82</v>
      </c>
      <c r="BX131" t="s" s="0">
        <v>119</v>
      </c>
    </row>
    <row r="132">
      <c r="A132" t="s" s="0">
        <v>77</v>
      </c>
      <c r="B132" t="s" s="0">
        <v>77</v>
      </c>
      <c r="C132" t="s" s="0">
        <v>77</v>
      </c>
      <c r="D132" t="s" s="0">
        <v>77</v>
      </c>
      <c r="E132" t="s" s="0">
        <v>3265</v>
      </c>
      <c r="F132" t="s" s="0">
        <v>3266</v>
      </c>
      <c r="G132" t="s" s="0">
        <v>3267</v>
      </c>
      <c r="H132" t="s" s="0">
        <v>82</v>
      </c>
      <c r="I132" t="s" s="0">
        <v>83</v>
      </c>
      <c r="J132" t="s" s="0">
        <v>3268</v>
      </c>
      <c r="K132" t="s" s="0">
        <v>3269</v>
      </c>
      <c r="L132" t="s" s="0">
        <v>82</v>
      </c>
      <c r="M132" t="s" s="0">
        <v>82</v>
      </c>
      <c r="N132" t="s" s="0">
        <v>82</v>
      </c>
      <c r="O132" t="s" s="0">
        <v>3270</v>
      </c>
      <c r="P132" t="s" s="0">
        <v>3271</v>
      </c>
      <c r="Q132" t="s" s="0">
        <v>88</v>
      </c>
      <c r="R132" t="s" s="0">
        <v>82</v>
      </c>
      <c r="S132" t="s" s="0">
        <v>82</v>
      </c>
      <c r="T132" t="s" s="0">
        <v>82</v>
      </c>
      <c r="U132" t="s" s="0">
        <v>82</v>
      </c>
      <c r="V132" t="s" s="0">
        <v>3272</v>
      </c>
      <c r="W132" t="s" s="0">
        <v>3273</v>
      </c>
      <c r="X132" t="s" s="0">
        <v>82</v>
      </c>
      <c r="Y132" t="s" s="0">
        <v>82</v>
      </c>
      <c r="Z132" t="s" s="0">
        <v>91</v>
      </c>
      <c r="AA132" t="s" s="0">
        <v>92</v>
      </c>
      <c r="AB132" t="s" s="0">
        <v>82</v>
      </c>
      <c r="AC132" t="s" s="0">
        <v>82</v>
      </c>
      <c r="AD132" t="s" s="0">
        <v>82</v>
      </c>
      <c r="AE132" t="s" s="0">
        <v>82</v>
      </c>
      <c r="AF132" t="s" s="0">
        <v>82</v>
      </c>
      <c r="AG132" t="s" s="0">
        <v>3274</v>
      </c>
      <c r="AH132" t="s" s="0">
        <v>82</v>
      </c>
      <c r="AI132" t="s" s="0">
        <v>3275</v>
      </c>
      <c r="AJ132" t="s" s="0">
        <v>82</v>
      </c>
      <c r="AK132" t="s" s="0">
        <v>82</v>
      </c>
      <c r="AL132" t="s" s="0">
        <v>1369</v>
      </c>
      <c r="AM132" t="s" s="0">
        <v>229</v>
      </c>
      <c r="AN132" t="s" s="0">
        <v>229</v>
      </c>
      <c r="AO132" t="s" s="0">
        <v>77</v>
      </c>
      <c r="AP132" t="s" s="0">
        <v>77</v>
      </c>
      <c r="AQ132" t="s" s="0">
        <v>3276</v>
      </c>
      <c r="AR132" t="s" s="0">
        <v>3277</v>
      </c>
      <c r="AS132" t="s" s="0">
        <v>3278</v>
      </c>
      <c r="AT132" t="s" s="0">
        <v>3279</v>
      </c>
      <c r="AU132" t="s" s="0">
        <v>82</v>
      </c>
      <c r="AV132" t="s" s="0">
        <v>82</v>
      </c>
      <c r="AW132" t="s" s="0">
        <v>3280</v>
      </c>
      <c r="AX132" t="s" s="0">
        <v>3281</v>
      </c>
      <c r="AY132" t="s" s="0">
        <v>106</v>
      </c>
      <c r="AZ132" t="s" s="0">
        <v>107</v>
      </c>
      <c r="BA132" t="s" s="0">
        <v>132</v>
      </c>
      <c r="BB132" t="s" s="0">
        <v>342</v>
      </c>
      <c r="BC132" t="s" s="0">
        <v>82</v>
      </c>
      <c r="BD132" t="s" s="0">
        <v>82</v>
      </c>
      <c r="BE132" t="s" s="0">
        <v>82</v>
      </c>
      <c r="BF132" t="s" s="0">
        <v>82</v>
      </c>
      <c r="BG132" t="s" s="0">
        <v>82</v>
      </c>
      <c r="BH132" t="s" s="0">
        <v>82</v>
      </c>
      <c r="BI132" t="s" s="0">
        <v>425</v>
      </c>
      <c r="BJ132" t="s" s="0">
        <v>3282</v>
      </c>
      <c r="BK132" t="s" s="261">
        <f>HYPERLINK("http://dx.doi.org/10.1167/tvst.14.10.13","http://dx.doi.org/10.1167/tvst.14.10.13")</f>
        <v>3283</v>
      </c>
      <c r="BL132" t="s" s="0">
        <v>82</v>
      </c>
      <c r="BM132" t="s" s="0">
        <v>82</v>
      </c>
      <c r="BN132" t="s" s="0">
        <v>342</v>
      </c>
      <c r="BO132" t="s" s="0">
        <v>1525</v>
      </c>
      <c r="BP132" t="s" s="0">
        <v>1525</v>
      </c>
      <c r="BQ132" t="s" s="0">
        <v>3284</v>
      </c>
      <c r="BR132" t="s" s="0">
        <v>3285</v>
      </c>
      <c r="BS132" t="s" s="0">
        <v>3286</v>
      </c>
      <c r="BT132" t="s" s="262">
        <f>HYPERLINK("https://www.webofscience.com/wos/woscc/full-record/WOS:001630844000004","View Record in Web of Science")</f>
        <v>118</v>
      </c>
      <c r="BU132" t="s" s="0">
        <v>187</v>
      </c>
      <c r="BV132" t="s" s="0">
        <v>82</v>
      </c>
      <c r="BW132" t="s" s="0">
        <v>82</v>
      </c>
      <c r="BX132" t="s" s="0">
        <v>119</v>
      </c>
    </row>
    <row r="133">
      <c r="A133" t="s" s="0">
        <v>77</v>
      </c>
      <c r="B133" t="s" s="0">
        <v>77</v>
      </c>
      <c r="C133" t="s" s="0">
        <v>77</v>
      </c>
      <c r="D133" t="s" s="0">
        <v>77</v>
      </c>
      <c r="E133" t="s" s="0">
        <v>3287</v>
      </c>
      <c r="F133" t="s" s="0">
        <v>3288</v>
      </c>
      <c r="G133" t="s" s="0">
        <v>3289</v>
      </c>
      <c r="H133" t="s" s="0">
        <v>82</v>
      </c>
      <c r="I133" t="s" s="0">
        <v>83</v>
      </c>
      <c r="J133" t="s" s="0">
        <v>3290</v>
      </c>
      <c r="K133" t="s" s="0">
        <v>3291</v>
      </c>
      <c r="L133" t="s" s="0">
        <v>3292</v>
      </c>
      <c r="M133" t="s" s="0">
        <v>2770</v>
      </c>
      <c r="N133" t="s" s="0">
        <v>3293</v>
      </c>
      <c r="O133" t="s" s="0">
        <v>3294</v>
      </c>
      <c r="P133" t="s" s="0">
        <v>3295</v>
      </c>
      <c r="Q133" t="s" s="0">
        <v>88</v>
      </c>
      <c r="R133" t="s" s="0">
        <v>82</v>
      </c>
      <c r="S133" t="s" s="0">
        <v>82</v>
      </c>
      <c r="T133" t="s" s="0">
        <v>82</v>
      </c>
      <c r="U133" t="s" s="0">
        <v>82</v>
      </c>
      <c r="V133" t="s" s="0">
        <v>3296</v>
      </c>
      <c r="W133" t="s" s="0">
        <v>3297</v>
      </c>
      <c r="X133" t="s" s="0">
        <v>82</v>
      </c>
      <c r="Y133" t="s" s="0">
        <v>82</v>
      </c>
      <c r="Z133" t="s" s="0">
        <v>91</v>
      </c>
      <c r="AA133" t="s" s="0">
        <v>92</v>
      </c>
      <c r="AB133" t="s" s="0">
        <v>82</v>
      </c>
      <c r="AC133" t="s" s="0">
        <v>82</v>
      </c>
      <c r="AD133" t="s" s="0">
        <v>82</v>
      </c>
      <c r="AE133" t="s" s="0">
        <v>82</v>
      </c>
      <c r="AF133" t="s" s="0">
        <v>82</v>
      </c>
      <c r="AG133" t="s" s="0">
        <v>3298</v>
      </c>
      <c r="AH133" t="s" s="0">
        <v>82</v>
      </c>
      <c r="AI133" t="s" s="0">
        <v>3299</v>
      </c>
      <c r="AJ133" t="s" s="0">
        <v>82</v>
      </c>
      <c r="AK133" t="s" s="0">
        <v>82</v>
      </c>
      <c r="AL133" t="s" s="0">
        <v>3300</v>
      </c>
      <c r="AM133" t="s" s="0">
        <v>77</v>
      </c>
      <c r="AN133" t="s" s="0">
        <v>77</v>
      </c>
      <c r="AO133" t="s" s="0">
        <v>264</v>
      </c>
      <c r="AP133" t="s" s="0">
        <v>264</v>
      </c>
      <c r="AQ133" t="s" s="0">
        <v>604</v>
      </c>
      <c r="AR133" t="s" s="0">
        <v>605</v>
      </c>
      <c r="AS133" t="s" s="0">
        <v>606</v>
      </c>
      <c r="AT133" t="s" s="0">
        <v>82</v>
      </c>
      <c r="AU133" t="s" s="0">
        <v>3301</v>
      </c>
      <c r="AV133" t="s" s="0">
        <v>82</v>
      </c>
      <c r="AW133" t="s" s="0">
        <v>3302</v>
      </c>
      <c r="AX133" t="s" s="0">
        <v>3303</v>
      </c>
      <c r="AY133" t="s" s="0">
        <v>3304</v>
      </c>
      <c r="AZ133" t="s" s="0">
        <v>141</v>
      </c>
      <c r="BA133" t="s" s="0">
        <v>332</v>
      </c>
      <c r="BB133" t="s" s="0">
        <v>229</v>
      </c>
      <c r="BC133" t="s" s="0">
        <v>82</v>
      </c>
      <c r="BD133" t="s" s="0">
        <v>82</v>
      </c>
      <c r="BE133" t="s" s="0">
        <v>82</v>
      </c>
      <c r="BF133" t="s" s="0">
        <v>82</v>
      </c>
      <c r="BG133" t="s" s="0">
        <v>82</v>
      </c>
      <c r="BH133" t="s" s="0">
        <v>82</v>
      </c>
      <c r="BI133" t="s" s="0">
        <v>3305</v>
      </c>
      <c r="BJ133" t="s" s="0">
        <v>3306</v>
      </c>
      <c r="BK133" t="s" s="263">
        <f>HYPERLINK("http://dx.doi.org/10.1186/s12913-026-14350-3","http://dx.doi.org/10.1186/s12913-026-14350-3")</f>
        <v>3307</v>
      </c>
      <c r="BL133" t="s" s="0">
        <v>82</v>
      </c>
      <c r="BM133" t="s" s="0">
        <v>562</v>
      </c>
      <c r="BN133" t="s" s="0">
        <v>425</v>
      </c>
      <c r="BO133" t="s" s="0">
        <v>3308</v>
      </c>
      <c r="BP133" t="s" s="0">
        <v>3308</v>
      </c>
      <c r="BQ133" t="s" s="0">
        <v>3309</v>
      </c>
      <c r="BR133" t="s" s="0">
        <v>3310</v>
      </c>
      <c r="BS133" t="s" s="0">
        <v>3311</v>
      </c>
      <c r="BT133" t="s" s="264">
        <f>HYPERLINK("https://www.webofscience.com/wos/woscc/full-record/WOS:001745160700001","View Record in Web of Science")</f>
        <v>118</v>
      </c>
      <c r="BU133" t="s" s="0">
        <v>1634</v>
      </c>
      <c r="BV133" t="s" s="0">
        <v>82</v>
      </c>
      <c r="BW133" t="s" s="0">
        <v>82</v>
      </c>
      <c r="BX133" t="s" s="0">
        <v>119</v>
      </c>
    </row>
    <row r="134">
      <c r="A134" t="s" s="0">
        <v>77</v>
      </c>
      <c r="B134" t="s" s="0">
        <v>77</v>
      </c>
      <c r="C134" t="s" s="0">
        <v>77</v>
      </c>
      <c r="D134" t="s" s="0">
        <v>77</v>
      </c>
      <c r="E134" t="s" s="0">
        <v>3312</v>
      </c>
      <c r="F134" t="s" s="0">
        <v>3313</v>
      </c>
      <c r="G134" t="s" s="0">
        <v>3314</v>
      </c>
      <c r="H134" t="s" s="0">
        <v>82</v>
      </c>
      <c r="I134" t="s" s="0">
        <v>83</v>
      </c>
      <c r="J134" t="s" s="0">
        <v>3315</v>
      </c>
      <c r="K134" t="s" s="0">
        <v>3316</v>
      </c>
      <c r="L134" t="s" s="0">
        <v>82</v>
      </c>
      <c r="M134" t="s" s="0">
        <v>82</v>
      </c>
      <c r="N134" t="s" s="0">
        <v>82</v>
      </c>
      <c r="O134" t="s" s="0">
        <v>3317</v>
      </c>
      <c r="P134" t="s" s="0">
        <v>82</v>
      </c>
      <c r="Q134" t="s" s="0">
        <v>88</v>
      </c>
      <c r="R134" t="s" s="0">
        <v>82</v>
      </c>
      <c r="S134" t="s" s="0">
        <v>82</v>
      </c>
      <c r="T134" t="s" s="0">
        <v>82</v>
      </c>
      <c r="U134" t="s" s="0">
        <v>82</v>
      </c>
      <c r="V134" t="s" s="0">
        <v>3318</v>
      </c>
      <c r="W134" t="s" s="0">
        <v>3319</v>
      </c>
      <c r="X134" t="s" s="0">
        <v>82</v>
      </c>
      <c r="Y134" t="s" s="0">
        <v>82</v>
      </c>
      <c r="Z134" t="s" s="0">
        <v>91</v>
      </c>
      <c r="AA134" t="s" s="0">
        <v>92</v>
      </c>
      <c r="AB134" t="s" s="0">
        <v>82</v>
      </c>
      <c r="AC134" t="s" s="0">
        <v>82</v>
      </c>
      <c r="AD134" t="s" s="0">
        <v>82</v>
      </c>
      <c r="AE134" t="s" s="0">
        <v>82</v>
      </c>
      <c r="AF134" t="s" s="0">
        <v>82</v>
      </c>
      <c r="AG134" t="s" s="0">
        <v>3320</v>
      </c>
      <c r="AH134" t="s" s="0">
        <v>82</v>
      </c>
      <c r="AI134" t="s" s="0">
        <v>82</v>
      </c>
      <c r="AJ134" t="s" s="0">
        <v>3321</v>
      </c>
      <c r="AK134" t="s" s="0">
        <v>82</v>
      </c>
      <c r="AL134" t="s" s="0">
        <v>1068</v>
      </c>
      <c r="AM134" t="s" s="0">
        <v>229</v>
      </c>
      <c r="AN134" t="s" s="0">
        <v>229</v>
      </c>
      <c r="AO134" t="s" s="0">
        <v>78</v>
      </c>
      <c r="AP134" t="s" s="0">
        <v>78</v>
      </c>
      <c r="AQ134" t="s" s="0">
        <v>170</v>
      </c>
      <c r="AR134" t="s" s="0">
        <v>171</v>
      </c>
      <c r="AS134" t="s" s="0">
        <v>172</v>
      </c>
      <c r="AT134" t="s" s="0">
        <v>82</v>
      </c>
      <c r="AU134" t="s" s="0">
        <v>3322</v>
      </c>
      <c r="AV134" t="s" s="0">
        <v>82</v>
      </c>
      <c r="AW134" t="s" s="0">
        <v>3323</v>
      </c>
      <c r="AX134" t="s" s="0">
        <v>3324</v>
      </c>
      <c r="AY134" t="s" s="0">
        <v>3325</v>
      </c>
      <c r="AZ134" t="s" s="0">
        <v>141</v>
      </c>
      <c r="BA134" t="s" s="0">
        <v>176</v>
      </c>
      <c r="BB134" t="s" s="0">
        <v>239</v>
      </c>
      <c r="BC134" t="s" s="0">
        <v>82</v>
      </c>
      <c r="BD134" t="s" s="0">
        <v>82</v>
      </c>
      <c r="BE134" t="s" s="0">
        <v>82</v>
      </c>
      <c r="BF134" t="s" s="0">
        <v>82</v>
      </c>
      <c r="BG134" t="s" s="0">
        <v>82</v>
      </c>
      <c r="BH134" t="s" s="0">
        <v>82</v>
      </c>
      <c r="BI134" t="s" s="0">
        <v>3326</v>
      </c>
      <c r="BJ134" t="s" s="0">
        <v>3327</v>
      </c>
      <c r="BK134" t="s" s="265">
        <f>HYPERLINK("http://dx.doi.org/10.3390/jcm15051730","http://dx.doi.org/10.3390/jcm15051730")</f>
        <v>3328</v>
      </c>
      <c r="BL134" t="s" s="0">
        <v>82</v>
      </c>
      <c r="BM134" t="s" s="0">
        <v>82</v>
      </c>
      <c r="BN134" t="s" s="0">
        <v>452</v>
      </c>
      <c r="BO134" t="s" s="0">
        <v>182</v>
      </c>
      <c r="BP134" t="s" s="0">
        <v>183</v>
      </c>
      <c r="BQ134" t="s" s="0">
        <v>3329</v>
      </c>
      <c r="BR134" t="s" s="0">
        <v>3330</v>
      </c>
      <c r="BS134" t="s" s="0">
        <v>3331</v>
      </c>
      <c r="BT134" t="s" s="266">
        <f>HYPERLINK("https://www.webofscience.com/wos/woscc/full-record/WOS:001713679500001","View Record in Web of Science")</f>
        <v>118</v>
      </c>
      <c r="BU134" t="s" s="0">
        <v>187</v>
      </c>
      <c r="BV134" t="s" s="0">
        <v>82</v>
      </c>
      <c r="BW134" t="s" s="0">
        <v>82</v>
      </c>
      <c r="BX134" t="s" s="0">
        <v>119</v>
      </c>
    </row>
    <row r="135">
      <c r="A135" t="s" s="0">
        <v>77</v>
      </c>
      <c r="B135" t="s" s="0">
        <v>77</v>
      </c>
      <c r="C135" t="s" s="0">
        <v>77</v>
      </c>
      <c r="D135" t="s" s="0">
        <v>77</v>
      </c>
      <c r="E135" t="s" s="0">
        <v>3332</v>
      </c>
      <c r="F135" t="s" s="0">
        <v>3333</v>
      </c>
      <c r="G135" t="s" s="0">
        <v>3334</v>
      </c>
      <c r="H135" t="s" s="0">
        <v>82</v>
      </c>
      <c r="I135" t="s" s="0">
        <v>595</v>
      </c>
      <c r="J135" t="s" s="0">
        <v>3335</v>
      </c>
      <c r="K135" t="s" s="0">
        <v>3336</v>
      </c>
      <c r="L135" t="s" s="0">
        <v>82</v>
      </c>
      <c r="M135" t="s" s="0">
        <v>82</v>
      </c>
      <c r="N135" t="s" s="0">
        <v>3337</v>
      </c>
      <c r="O135" t="s" s="0">
        <v>3338</v>
      </c>
      <c r="P135" t="s" s="0">
        <v>3339</v>
      </c>
      <c r="Q135" t="s" s="0">
        <v>88</v>
      </c>
      <c r="R135" t="s" s="0">
        <v>82</v>
      </c>
      <c r="S135" t="s" s="0">
        <v>82</v>
      </c>
      <c r="T135" t="s" s="0">
        <v>82</v>
      </c>
      <c r="U135" t="s" s="0">
        <v>82</v>
      </c>
      <c r="V135" t="s" s="0">
        <v>3340</v>
      </c>
      <c r="W135" t="s" s="0">
        <v>3341</v>
      </c>
      <c r="X135" t="s" s="0">
        <v>82</v>
      </c>
      <c r="Y135" t="s" s="0">
        <v>82</v>
      </c>
      <c r="Z135" t="s" s="0">
        <v>91</v>
      </c>
      <c r="AA135" t="s" s="0">
        <v>92</v>
      </c>
      <c r="AB135" t="s" s="0">
        <v>82</v>
      </c>
      <c r="AC135" t="s" s="0">
        <v>82</v>
      </c>
      <c r="AD135" t="s" s="0">
        <v>82</v>
      </c>
      <c r="AE135" t="s" s="0">
        <v>82</v>
      </c>
      <c r="AF135" t="s" s="0">
        <v>82</v>
      </c>
      <c r="AG135" t="s" s="0">
        <v>3342</v>
      </c>
      <c r="AH135" t="s" s="0">
        <v>3343</v>
      </c>
      <c r="AI135" t="s" s="0">
        <v>82</v>
      </c>
      <c r="AJ135" t="s" s="0">
        <v>82</v>
      </c>
      <c r="AK135" t="s" s="0">
        <v>82</v>
      </c>
      <c r="AL135" t="s" s="0">
        <v>1256</v>
      </c>
      <c r="AM135" t="s" s="0">
        <v>77</v>
      </c>
      <c r="AN135" t="s" s="0">
        <v>77</v>
      </c>
      <c r="AO135" t="s" s="0">
        <v>77</v>
      </c>
      <c r="AP135" t="s" s="0">
        <v>77</v>
      </c>
      <c r="AQ135" t="s" s="0">
        <v>200</v>
      </c>
      <c r="AR135" t="s" s="0">
        <v>201</v>
      </c>
      <c r="AS135" t="s" s="0">
        <v>202</v>
      </c>
      <c r="AT135" t="s" s="0">
        <v>82</v>
      </c>
      <c r="AU135" t="s" s="0">
        <v>3344</v>
      </c>
      <c r="AV135" t="s" s="0">
        <v>82</v>
      </c>
      <c r="AW135" t="s" s="0">
        <v>3341</v>
      </c>
      <c r="AX135" t="s" s="0">
        <v>3341</v>
      </c>
      <c r="AY135" t="s" s="0">
        <v>141</v>
      </c>
      <c r="AZ135" t="s" s="0">
        <v>141</v>
      </c>
      <c r="BA135" t="s" s="0">
        <v>239</v>
      </c>
      <c r="BB135" t="s" s="0">
        <v>82</v>
      </c>
      <c r="BC135" t="s" s="0">
        <v>82</v>
      </c>
      <c r="BD135" t="s" s="0">
        <v>82</v>
      </c>
      <c r="BE135" t="s" s="0">
        <v>82</v>
      </c>
      <c r="BF135" t="s" s="0">
        <v>82</v>
      </c>
      <c r="BG135" t="s" s="0">
        <v>82</v>
      </c>
      <c r="BH135" t="s" s="0">
        <v>82</v>
      </c>
      <c r="BI135" t="s" s="0">
        <v>3345</v>
      </c>
      <c r="BJ135" t="s" s="0">
        <v>3346</v>
      </c>
      <c r="BK135" t="s" s="267">
        <f>HYPERLINK("http://dx.doi.org/10.2196/70017","http://dx.doi.org/10.2196/70017")</f>
        <v>3347</v>
      </c>
      <c r="BL135" t="s" s="0">
        <v>82</v>
      </c>
      <c r="BM135" t="s" s="0">
        <v>82</v>
      </c>
      <c r="BN135" t="s" s="0">
        <v>346</v>
      </c>
      <c r="BO135" t="s" s="0">
        <v>213</v>
      </c>
      <c r="BP135" t="s" s="0">
        <v>213</v>
      </c>
      <c r="BQ135" t="s" s="0">
        <v>3348</v>
      </c>
      <c r="BR135" t="s" s="0">
        <v>3349</v>
      </c>
      <c r="BS135" t="s" s="0">
        <v>3350</v>
      </c>
      <c r="BT135" t="s" s="268">
        <f>HYPERLINK("https://www.webofscience.com/wos/woscc/full-record/WOS:001761845300001","View Record in Web of Science")</f>
        <v>118</v>
      </c>
      <c r="BU135" t="s" s="0">
        <v>187</v>
      </c>
      <c r="BV135" t="s" s="0">
        <v>82</v>
      </c>
      <c r="BW135" t="s" s="0">
        <v>82</v>
      </c>
      <c r="BX135" t="s" s="0">
        <v>119</v>
      </c>
    </row>
    <row r="136">
      <c r="A136" t="s" s="0">
        <v>77</v>
      </c>
      <c r="B136" t="s" s="0">
        <v>77</v>
      </c>
      <c r="C136" t="s" s="0">
        <v>77</v>
      </c>
      <c r="D136" t="s" s="0">
        <v>77</v>
      </c>
      <c r="E136" t="s" s="0">
        <v>3351</v>
      </c>
      <c r="F136" t="s" s="0">
        <v>3352</v>
      </c>
      <c r="G136" t="s" s="0">
        <v>3353</v>
      </c>
      <c r="H136" t="s" s="0">
        <v>82</v>
      </c>
      <c r="I136" t="s" s="0">
        <v>83</v>
      </c>
      <c r="J136" t="s" s="0">
        <v>3354</v>
      </c>
      <c r="K136" t="s" s="0">
        <v>3355</v>
      </c>
      <c r="L136" t="s" s="0">
        <v>82</v>
      </c>
      <c r="M136" t="s" s="0">
        <v>82</v>
      </c>
      <c r="N136" t="s" s="0">
        <v>82</v>
      </c>
      <c r="O136" t="s" s="0">
        <v>3356</v>
      </c>
      <c r="P136" t="s" s="0">
        <v>3357</v>
      </c>
      <c r="Q136" t="s" s="0">
        <v>88</v>
      </c>
      <c r="R136" t="s" s="0">
        <v>82</v>
      </c>
      <c r="S136" t="s" s="0">
        <v>82</v>
      </c>
      <c r="T136" t="s" s="0">
        <v>82</v>
      </c>
      <c r="U136" t="s" s="0">
        <v>82</v>
      </c>
      <c r="V136" t="s" s="0">
        <v>3358</v>
      </c>
      <c r="W136" t="s" s="0">
        <v>3359</v>
      </c>
      <c r="X136" t="s" s="0">
        <v>82</v>
      </c>
      <c r="Y136" t="s" s="0">
        <v>82</v>
      </c>
      <c r="Z136" t="s" s="0">
        <v>91</v>
      </c>
      <c r="AA136" t="s" s="0">
        <v>92</v>
      </c>
      <c r="AB136" t="s" s="0">
        <v>82</v>
      </c>
      <c r="AC136" t="s" s="0">
        <v>82</v>
      </c>
      <c r="AD136" t="s" s="0">
        <v>82</v>
      </c>
      <c r="AE136" t="s" s="0">
        <v>82</v>
      </c>
      <c r="AF136" t="s" s="0">
        <v>82</v>
      </c>
      <c r="AG136" t="s" s="0">
        <v>3360</v>
      </c>
      <c r="AH136" t="s" s="0">
        <v>3361</v>
      </c>
      <c r="AI136" t="s" s="0">
        <v>3362</v>
      </c>
      <c r="AJ136" t="s" s="0">
        <v>3363</v>
      </c>
      <c r="AK136" t="s" s="0">
        <v>82</v>
      </c>
      <c r="AL136" t="s" s="0">
        <v>425</v>
      </c>
      <c r="AM136" t="s" s="0">
        <v>78</v>
      </c>
      <c r="AN136" t="s" s="0">
        <v>78</v>
      </c>
      <c r="AO136" t="s" s="0">
        <v>229</v>
      </c>
      <c r="AP136" t="s" s="0">
        <v>78</v>
      </c>
      <c r="AQ136" t="s" s="0">
        <v>1230</v>
      </c>
      <c r="AR136" t="s" s="0">
        <v>1231</v>
      </c>
      <c r="AS136" t="s" s="0">
        <v>1232</v>
      </c>
      <c r="AT136" t="s" s="0">
        <v>3364</v>
      </c>
      <c r="AU136" t="s" s="0">
        <v>82</v>
      </c>
      <c r="AV136" t="s" s="0">
        <v>82</v>
      </c>
      <c r="AW136" t="s" s="0">
        <v>3365</v>
      </c>
      <c r="AX136" t="s" s="0">
        <v>3366</v>
      </c>
      <c r="AY136" t="s" s="0">
        <v>107</v>
      </c>
      <c r="AZ136" t="s" s="0">
        <v>107</v>
      </c>
      <c r="BA136" t="s" s="0">
        <v>368</v>
      </c>
      <c r="BB136" t="s" s="0">
        <v>82</v>
      </c>
      <c r="BC136" t="s" s="0">
        <v>82</v>
      </c>
      <c r="BD136" t="s" s="0">
        <v>82</v>
      </c>
      <c r="BE136" t="s" s="0">
        <v>82</v>
      </c>
      <c r="BF136" t="s" s="0">
        <v>82</v>
      </c>
      <c r="BG136" t="s" s="0">
        <v>3367</v>
      </c>
      <c r="BH136" t="s" s="0">
        <v>3368</v>
      </c>
      <c r="BI136" t="s" s="0">
        <v>82</v>
      </c>
      <c r="BJ136" t="s" s="0">
        <v>3369</v>
      </c>
      <c r="BK136" t="s" s="269">
        <f>HYPERLINK("http://dx.doi.org/10.2147/NSS.S536823","http://dx.doi.org/10.2147/NSS.S536823")</f>
        <v>3370</v>
      </c>
      <c r="BL136" t="s" s="0">
        <v>82</v>
      </c>
      <c r="BM136" t="s" s="0">
        <v>82</v>
      </c>
      <c r="BN136" t="s" s="0">
        <v>425</v>
      </c>
      <c r="BO136" t="s" s="0">
        <v>148</v>
      </c>
      <c r="BP136" t="s" s="0">
        <v>114</v>
      </c>
      <c r="BQ136" t="s" s="0">
        <v>3371</v>
      </c>
      <c r="BR136" t="s" s="0">
        <v>3372</v>
      </c>
      <c r="BS136" t="s" s="0">
        <v>3373</v>
      </c>
      <c r="BT136" t="s" s="270">
        <f>HYPERLINK("https://www.webofscience.com/wos/woscc/full-record/WOS:001528150200001","View Record in Web of Science")</f>
        <v>118</v>
      </c>
      <c r="BU136" t="s" s="0">
        <v>187</v>
      </c>
      <c r="BV136" t="s" s="0">
        <v>82</v>
      </c>
      <c r="BW136" t="s" s="0">
        <v>82</v>
      </c>
      <c r="BX136" t="s" s="0">
        <v>119</v>
      </c>
    </row>
    <row r="137">
      <c r="A137" t="s" s="0">
        <v>77</v>
      </c>
      <c r="B137" t="s" s="0">
        <v>77</v>
      </c>
      <c r="C137" t="s" s="0">
        <v>77</v>
      </c>
      <c r="D137" t="s" s="0">
        <v>77</v>
      </c>
      <c r="E137" t="s" s="0">
        <v>3374</v>
      </c>
      <c r="F137" t="s" s="0">
        <v>3375</v>
      </c>
      <c r="G137" t="s" s="0">
        <v>3376</v>
      </c>
      <c r="H137" t="s" s="0">
        <v>82</v>
      </c>
      <c r="I137" t="s" s="0">
        <v>83</v>
      </c>
      <c r="J137" t="s" s="0">
        <v>3377</v>
      </c>
      <c r="K137" t="s" s="0">
        <v>3378</v>
      </c>
      <c r="L137" t="s" s="0">
        <v>3379</v>
      </c>
      <c r="M137" t="s" s="0">
        <v>3380</v>
      </c>
      <c r="N137" t="s" s="0">
        <v>3381</v>
      </c>
      <c r="O137" t="s" s="0">
        <v>3382</v>
      </c>
      <c r="P137" t="s" s="0">
        <v>3383</v>
      </c>
      <c r="Q137" t="s" s="0">
        <v>88</v>
      </c>
      <c r="R137" t="s" s="0">
        <v>82</v>
      </c>
      <c r="S137" t="s" s="0">
        <v>82</v>
      </c>
      <c r="T137" t="s" s="0">
        <v>82</v>
      </c>
      <c r="U137" t="s" s="0">
        <v>82</v>
      </c>
      <c r="V137" t="s" s="0">
        <v>3384</v>
      </c>
      <c r="W137" t="s" s="0">
        <v>3385</v>
      </c>
      <c r="X137" t="s" s="0">
        <v>82</v>
      </c>
      <c r="Y137" t="s" s="0">
        <v>82</v>
      </c>
      <c r="Z137" t="s" s="0">
        <v>91</v>
      </c>
      <c r="AA137" t="s" s="0">
        <v>92</v>
      </c>
      <c r="AB137" t="s" s="0">
        <v>82</v>
      </c>
      <c r="AC137" t="s" s="0">
        <v>82</v>
      </c>
      <c r="AD137" t="s" s="0">
        <v>82</v>
      </c>
      <c r="AE137" t="s" s="0">
        <v>82</v>
      </c>
      <c r="AF137" t="s" s="0">
        <v>82</v>
      </c>
      <c r="AG137" t="s" s="0">
        <v>3386</v>
      </c>
      <c r="AH137" t="s" s="0">
        <v>3387</v>
      </c>
      <c r="AI137" t="s" s="0">
        <v>82</v>
      </c>
      <c r="AJ137" t="s" s="0">
        <v>82</v>
      </c>
      <c r="AK137" t="s" s="0">
        <v>82</v>
      </c>
      <c r="AL137" t="s" s="0">
        <v>452</v>
      </c>
      <c r="AM137" t="s" s="0">
        <v>77</v>
      </c>
      <c r="AN137" t="s" s="0">
        <v>77</v>
      </c>
      <c r="AO137" t="s" s="0">
        <v>239</v>
      </c>
      <c r="AP137" t="s" s="0">
        <v>98</v>
      </c>
      <c r="AQ137" t="s" s="0">
        <v>295</v>
      </c>
      <c r="AR137" t="s" s="0">
        <v>296</v>
      </c>
      <c r="AS137" t="s" s="0">
        <v>297</v>
      </c>
      <c r="AT137" t="s" s="0">
        <v>3388</v>
      </c>
      <c r="AU137" t="s" s="0">
        <v>3389</v>
      </c>
      <c r="AV137" t="s" s="0">
        <v>82</v>
      </c>
      <c r="AW137" t="s" s="0">
        <v>3390</v>
      </c>
      <c r="AX137" t="s" s="0">
        <v>3385</v>
      </c>
      <c r="AY137" t="s" s="0">
        <v>643</v>
      </c>
      <c r="AZ137" t="s" s="0">
        <v>141</v>
      </c>
      <c r="BA137" t="s" s="0">
        <v>583</v>
      </c>
      <c r="BB137" t="s" s="0">
        <v>229</v>
      </c>
      <c r="BC137" t="s" s="0">
        <v>82</v>
      </c>
      <c r="BD137" t="s" s="0">
        <v>82</v>
      </c>
      <c r="BE137" t="s" s="0">
        <v>82</v>
      </c>
      <c r="BF137" t="s" s="0">
        <v>82</v>
      </c>
      <c r="BG137" t="s" s="0">
        <v>82</v>
      </c>
      <c r="BH137" t="s" s="0">
        <v>82</v>
      </c>
      <c r="BI137" t="s" s="0">
        <v>3391</v>
      </c>
      <c r="BJ137" t="s" s="0">
        <v>3392</v>
      </c>
      <c r="BK137" t="s" s="271">
        <f>HYPERLINK("http://dx.doi.org/10.1016/j.ejso.2025.111175","http://dx.doi.org/10.1016/j.ejso.2025.111175")</f>
        <v>3393</v>
      </c>
      <c r="BL137" t="s" s="0">
        <v>82</v>
      </c>
      <c r="BM137" t="s" s="0">
        <v>307</v>
      </c>
      <c r="BN137" t="s" s="0">
        <v>98</v>
      </c>
      <c r="BO137" t="s" s="0">
        <v>2819</v>
      </c>
      <c r="BP137" t="s" s="0">
        <v>2819</v>
      </c>
      <c r="BQ137" t="s" s="0">
        <v>3394</v>
      </c>
      <c r="BR137" t="s" s="0">
        <v>3395</v>
      </c>
      <c r="BS137" t="s" s="0">
        <v>3396</v>
      </c>
      <c r="BT137" t="s" s="272">
        <f>HYPERLINK("https://www.webofscience.com/wos/woscc/full-record/WOS:001619327200002","View Record in Web of Science")</f>
        <v>118</v>
      </c>
      <c r="BU137" t="s" s="0">
        <v>82</v>
      </c>
      <c r="BV137" t="s" s="0">
        <v>82</v>
      </c>
      <c r="BW137" t="s" s="0">
        <v>82</v>
      </c>
      <c r="BX137" t="s" s="0">
        <v>119</v>
      </c>
    </row>
    <row r="138">
      <c r="A138" t="s" s="0">
        <v>77</v>
      </c>
      <c r="B138" t="s" s="0">
        <v>77</v>
      </c>
      <c r="C138" t="s" s="0">
        <v>77</v>
      </c>
      <c r="D138" t="s" s="0">
        <v>77</v>
      </c>
      <c r="E138" t="s" s="0">
        <v>3397</v>
      </c>
      <c r="F138" t="s" s="0">
        <v>3398</v>
      </c>
      <c r="G138" t="s" s="0">
        <v>3399</v>
      </c>
      <c r="H138" t="s" s="0">
        <v>82</v>
      </c>
      <c r="I138" t="s" s="0">
        <v>83</v>
      </c>
      <c r="J138" t="s" s="0">
        <v>3400</v>
      </c>
      <c r="K138" t="s" s="0">
        <v>3401</v>
      </c>
      <c r="L138" t="s" s="0">
        <v>3402</v>
      </c>
      <c r="M138" t="s" s="0">
        <v>3403</v>
      </c>
      <c r="N138" t="s" s="0">
        <v>3404</v>
      </c>
      <c r="O138" t="s" s="0">
        <v>3405</v>
      </c>
      <c r="P138" t="s" s="0">
        <v>3406</v>
      </c>
      <c r="Q138" t="s" s="0">
        <v>88</v>
      </c>
      <c r="R138" t="s" s="0">
        <v>82</v>
      </c>
      <c r="S138" t="s" s="0">
        <v>82</v>
      </c>
      <c r="T138" t="s" s="0">
        <v>82</v>
      </c>
      <c r="U138" t="s" s="0">
        <v>82</v>
      </c>
      <c r="V138" t="s" s="0">
        <v>3407</v>
      </c>
      <c r="W138" t="s" s="0">
        <v>857</v>
      </c>
      <c r="X138" t="s" s="0">
        <v>82</v>
      </c>
      <c r="Y138" t="s" s="0">
        <v>82</v>
      </c>
      <c r="Z138" t="s" s="0">
        <v>91</v>
      </c>
      <c r="AA138" t="s" s="0">
        <v>92</v>
      </c>
      <c r="AB138" t="s" s="0">
        <v>82</v>
      </c>
      <c r="AC138" t="s" s="0">
        <v>82</v>
      </c>
      <c r="AD138" t="s" s="0">
        <v>82</v>
      </c>
      <c r="AE138" t="s" s="0">
        <v>82</v>
      </c>
      <c r="AF138" t="s" s="0">
        <v>82</v>
      </c>
      <c r="AG138" t="s" s="0">
        <v>3408</v>
      </c>
      <c r="AH138" t="s" s="0">
        <v>3409</v>
      </c>
      <c r="AI138" t="s" s="0">
        <v>82</v>
      </c>
      <c r="AJ138" t="s" s="0">
        <v>82</v>
      </c>
      <c r="AK138" t="s" s="0">
        <v>82</v>
      </c>
      <c r="AL138" t="s" s="0">
        <v>485</v>
      </c>
      <c r="AM138" t="s" s="0">
        <v>77</v>
      </c>
      <c r="AN138" t="s" s="0">
        <v>77</v>
      </c>
      <c r="AO138" t="s" s="0">
        <v>181</v>
      </c>
      <c r="AP138" t="s" s="0">
        <v>181</v>
      </c>
      <c r="AQ138" t="s" s="0">
        <v>265</v>
      </c>
      <c r="AR138" t="s" s="0">
        <v>266</v>
      </c>
      <c r="AS138" t="s" s="0">
        <v>267</v>
      </c>
      <c r="AT138" t="s" s="0">
        <v>863</v>
      </c>
      <c r="AU138" t="s" s="0">
        <v>82</v>
      </c>
      <c r="AV138" t="s" s="0">
        <v>82</v>
      </c>
      <c r="AW138" t="s" s="0">
        <v>864</v>
      </c>
      <c r="AX138" t="s" s="0">
        <v>865</v>
      </c>
      <c r="AY138" t="s" s="0">
        <v>3410</v>
      </c>
      <c r="AZ138" t="s" s="0">
        <v>107</v>
      </c>
      <c r="BA138" t="s" s="0">
        <v>181</v>
      </c>
      <c r="BB138" t="s" s="0">
        <v>229</v>
      </c>
      <c r="BC138" t="s" s="0">
        <v>82</v>
      </c>
      <c r="BD138" t="s" s="0">
        <v>82</v>
      </c>
      <c r="BE138" t="s" s="0">
        <v>82</v>
      </c>
      <c r="BF138" t="s" s="0">
        <v>82</v>
      </c>
      <c r="BG138" t="s" s="0">
        <v>82</v>
      </c>
      <c r="BH138" t="s" s="0">
        <v>82</v>
      </c>
      <c r="BI138" t="s" s="0">
        <v>3411</v>
      </c>
      <c r="BJ138" t="s" s="0">
        <v>3412</v>
      </c>
      <c r="BK138" t="s" s="273">
        <f>HYPERLINK("http://dx.doi.org/10.1038/s41598-025-33342-7","http://dx.doi.org/10.1038/s41598-025-33342-7")</f>
        <v>3413</v>
      </c>
      <c r="BL138" t="s" s="0">
        <v>82</v>
      </c>
      <c r="BM138" t="s" s="0">
        <v>82</v>
      </c>
      <c r="BN138" t="s" s="0">
        <v>176</v>
      </c>
      <c r="BO138" t="s" s="0">
        <v>380</v>
      </c>
      <c r="BP138" t="s" s="0">
        <v>381</v>
      </c>
      <c r="BQ138" t="s" s="0">
        <v>3414</v>
      </c>
      <c r="BR138" t="s" s="0">
        <v>3415</v>
      </c>
      <c r="BS138" t="s" s="0">
        <v>3416</v>
      </c>
      <c r="BT138" t="s" s="274">
        <f>HYPERLINK("https://www.webofscience.com/wos/woscc/full-record/WOS:001671802000005","View Record in Web of Science")</f>
        <v>118</v>
      </c>
      <c r="BU138" t="s" s="0">
        <v>187</v>
      </c>
      <c r="BV138" t="s" s="0">
        <v>82</v>
      </c>
      <c r="BW138" t="s" s="0">
        <v>82</v>
      </c>
      <c r="BX138" t="s" s="0">
        <v>119</v>
      </c>
    </row>
    <row r="139">
      <c r="A139" t="s" s="0">
        <v>77</v>
      </c>
      <c r="B139" t="s" s="0">
        <v>77</v>
      </c>
      <c r="C139" t="s" s="0">
        <v>229</v>
      </c>
      <c r="D139" t="s" s="0">
        <v>77</v>
      </c>
      <c r="E139" t="s" s="0">
        <v>3417</v>
      </c>
      <c r="F139" t="s" s="0">
        <v>3418</v>
      </c>
      <c r="G139" t="s" s="0">
        <v>3419</v>
      </c>
      <c r="H139" t="s" s="0">
        <v>82</v>
      </c>
      <c r="I139" t="s" s="0">
        <v>595</v>
      </c>
      <c r="J139" t="s" s="0">
        <v>3420</v>
      </c>
      <c r="K139" t="s" s="0">
        <v>3421</v>
      </c>
      <c r="L139" t="s" s="0">
        <v>82</v>
      </c>
      <c r="M139" t="s" s="0">
        <v>82</v>
      </c>
      <c r="N139" t="s" s="0">
        <v>82</v>
      </c>
      <c r="O139" t="s" s="0">
        <v>3422</v>
      </c>
      <c r="P139" t="s" s="0">
        <v>82</v>
      </c>
      <c r="Q139" t="s" s="0">
        <v>88</v>
      </c>
      <c r="R139" t="s" s="0">
        <v>82</v>
      </c>
      <c r="S139" t="s" s="0">
        <v>82</v>
      </c>
      <c r="T139" t="s" s="0">
        <v>82</v>
      </c>
      <c r="U139" t="s" s="0">
        <v>82</v>
      </c>
      <c r="V139" t="s" s="0">
        <v>3423</v>
      </c>
      <c r="W139" t="s" s="0">
        <v>3424</v>
      </c>
      <c r="X139" t="s" s="0">
        <v>82</v>
      </c>
      <c r="Y139" t="s" s="0">
        <v>82</v>
      </c>
      <c r="Z139" t="s" s="0">
        <v>91</v>
      </c>
      <c r="AA139" t="s" s="0">
        <v>92</v>
      </c>
      <c r="AB139" t="s" s="0">
        <v>82</v>
      </c>
      <c r="AC139" t="s" s="0">
        <v>82</v>
      </c>
      <c r="AD139" t="s" s="0">
        <v>82</v>
      </c>
      <c r="AE139" t="s" s="0">
        <v>82</v>
      </c>
      <c r="AF139" t="s" s="0">
        <v>82</v>
      </c>
      <c r="AG139" t="s" s="0">
        <v>3425</v>
      </c>
      <c r="AH139" t="s" s="0">
        <v>82</v>
      </c>
      <c r="AI139" t="s" s="0">
        <v>3426</v>
      </c>
      <c r="AJ139" t="s" s="0">
        <v>3427</v>
      </c>
      <c r="AK139" t="s" s="0">
        <v>82</v>
      </c>
      <c r="AL139" t="s" s="0">
        <v>177</v>
      </c>
      <c r="AM139" t="s" s="0">
        <v>277</v>
      </c>
      <c r="AN139" t="s" s="0">
        <v>346</v>
      </c>
      <c r="AO139" t="s" s="0">
        <v>229</v>
      </c>
      <c r="AP139" t="s" s="0">
        <v>169</v>
      </c>
      <c r="AQ139" t="s" s="0">
        <v>2025</v>
      </c>
      <c r="AR139" t="s" s="0">
        <v>605</v>
      </c>
      <c r="AS139" t="s" s="0">
        <v>2105</v>
      </c>
      <c r="AT139" t="s" s="0">
        <v>82</v>
      </c>
      <c r="AU139" t="s" s="0">
        <v>3428</v>
      </c>
      <c r="AV139" t="s" s="0">
        <v>82</v>
      </c>
      <c r="AW139" t="s" s="0">
        <v>3429</v>
      </c>
      <c r="AX139" t="s" s="0">
        <v>3430</v>
      </c>
      <c r="AY139" t="s" s="0">
        <v>3431</v>
      </c>
      <c r="AZ139" t="s" s="0">
        <v>107</v>
      </c>
      <c r="BA139" t="s" s="0">
        <v>272</v>
      </c>
      <c r="BB139" t="s" s="0">
        <v>229</v>
      </c>
      <c r="BC139" t="s" s="0">
        <v>82</v>
      </c>
      <c r="BD139" t="s" s="0">
        <v>82</v>
      </c>
      <c r="BE139" t="s" s="0">
        <v>82</v>
      </c>
      <c r="BF139" t="s" s="0">
        <v>82</v>
      </c>
      <c r="BG139" t="s" s="0">
        <v>82</v>
      </c>
      <c r="BH139" t="s" s="0">
        <v>82</v>
      </c>
      <c r="BI139" t="s" s="0">
        <v>2626</v>
      </c>
      <c r="BJ139" t="s" s="0">
        <v>3432</v>
      </c>
      <c r="BK139" t="s" s="275">
        <f>HYPERLINK("http://dx.doi.org/10.1186/s41927-025-00512-z","http://dx.doi.org/10.1186/s41927-025-00512-z")</f>
        <v>3433</v>
      </c>
      <c r="BL139" t="s" s="0">
        <v>82</v>
      </c>
      <c r="BM139" t="s" s="0">
        <v>82</v>
      </c>
      <c r="BN139" t="s" s="0">
        <v>346</v>
      </c>
      <c r="BO139" t="s" s="0">
        <v>3434</v>
      </c>
      <c r="BP139" t="s" s="0">
        <v>3434</v>
      </c>
      <c r="BQ139" t="s" s="0">
        <v>3435</v>
      </c>
      <c r="BR139" t="s" s="0">
        <v>3436</v>
      </c>
      <c r="BS139" t="s" s="0">
        <v>3437</v>
      </c>
      <c r="BT139" t="s" s="276">
        <f>HYPERLINK("https://www.webofscience.com/wos/woscc/full-record/WOS:001489838200001","View Record in Web of Science")</f>
        <v>118</v>
      </c>
      <c r="BU139" t="s" s="0">
        <v>187</v>
      </c>
      <c r="BV139" t="s" s="0">
        <v>82</v>
      </c>
      <c r="BW139" t="s" s="0">
        <v>82</v>
      </c>
      <c r="BX139" t="s" s="0">
        <v>119</v>
      </c>
    </row>
    <row r="140">
      <c r="A140" t="s" s="0">
        <v>77</v>
      </c>
      <c r="B140" t="s" s="0">
        <v>77</v>
      </c>
      <c r="C140" t="s" s="0">
        <v>78</v>
      </c>
      <c r="D140" t="s" s="0">
        <v>77</v>
      </c>
      <c r="E140" t="s" s="0">
        <v>3438</v>
      </c>
      <c r="F140" t="s" s="0">
        <v>3439</v>
      </c>
      <c r="G140" t="s" s="0">
        <v>3440</v>
      </c>
      <c r="H140" t="s" s="0">
        <v>82</v>
      </c>
      <c r="I140" t="s" s="0">
        <v>83</v>
      </c>
      <c r="J140" t="s" s="0">
        <v>3441</v>
      </c>
      <c r="K140" t="s" s="0">
        <v>3442</v>
      </c>
      <c r="L140" t="s" s="0">
        <v>82</v>
      </c>
      <c r="M140" t="s" s="0">
        <v>82</v>
      </c>
      <c r="N140" t="s" s="0">
        <v>82</v>
      </c>
      <c r="O140" t="s" s="0">
        <v>3443</v>
      </c>
      <c r="P140" t="s" s="0">
        <v>3444</v>
      </c>
      <c r="Q140" t="s" s="0">
        <v>88</v>
      </c>
      <c r="R140" t="s" s="0">
        <v>82</v>
      </c>
      <c r="S140" t="s" s="0">
        <v>82</v>
      </c>
      <c r="T140" t="s" s="0">
        <v>82</v>
      </c>
      <c r="U140" t="s" s="0">
        <v>82</v>
      </c>
      <c r="V140" t="s" s="0">
        <v>3445</v>
      </c>
      <c r="W140" t="s" s="0">
        <v>3446</v>
      </c>
      <c r="X140" t="s" s="0">
        <v>82</v>
      </c>
      <c r="Y140" t="s" s="0">
        <v>82</v>
      </c>
      <c r="Z140" t="s" s="0">
        <v>91</v>
      </c>
      <c r="AA140" t="s" s="0">
        <v>92</v>
      </c>
      <c r="AB140" t="s" s="0">
        <v>82</v>
      </c>
      <c r="AC140" t="s" s="0">
        <v>82</v>
      </c>
      <c r="AD140" t="s" s="0">
        <v>82</v>
      </c>
      <c r="AE140" t="s" s="0">
        <v>82</v>
      </c>
      <c r="AF140" t="s" s="0">
        <v>82</v>
      </c>
      <c r="AG140" t="s" s="0">
        <v>3447</v>
      </c>
      <c r="AH140" t="s" s="0">
        <v>3448</v>
      </c>
      <c r="AI140" t="s" s="0">
        <v>3449</v>
      </c>
      <c r="AJ140" t="s" s="0">
        <v>3450</v>
      </c>
      <c r="AK140" t="s" s="0">
        <v>82</v>
      </c>
      <c r="AL140" t="s" s="0">
        <v>346</v>
      </c>
      <c r="AM140" t="s" s="0">
        <v>1256</v>
      </c>
      <c r="AN140" t="s" s="0">
        <v>2903</v>
      </c>
      <c r="AO140" t="s" s="0">
        <v>264</v>
      </c>
      <c r="AP140" t="s" s="0">
        <v>332</v>
      </c>
      <c r="AQ140" t="s" s="0">
        <v>631</v>
      </c>
      <c r="AR140" t="s" s="0">
        <v>632</v>
      </c>
      <c r="AS140" t="s" s="0">
        <v>633</v>
      </c>
      <c r="AT140" t="s" s="0">
        <v>3451</v>
      </c>
      <c r="AU140" t="s" s="0">
        <v>3452</v>
      </c>
      <c r="AV140" t="s" s="0">
        <v>82</v>
      </c>
      <c r="AW140" t="s" s="0">
        <v>3453</v>
      </c>
      <c r="AX140" t="s" s="0">
        <v>3454</v>
      </c>
      <c r="AY140" t="s" s="0">
        <v>3455</v>
      </c>
      <c r="AZ140" t="s" s="0">
        <v>3456</v>
      </c>
      <c r="BA140" t="s" s="0">
        <v>1256</v>
      </c>
      <c r="BB140" t="s" s="0">
        <v>342</v>
      </c>
      <c r="BC140" t="s" s="0">
        <v>82</v>
      </c>
      <c r="BD140" t="s" s="0">
        <v>82</v>
      </c>
      <c r="BE140" t="s" s="0">
        <v>82</v>
      </c>
      <c r="BF140" t="s" s="0">
        <v>82</v>
      </c>
      <c r="BG140" t="s" s="0">
        <v>3457</v>
      </c>
      <c r="BH140" t="s" s="0">
        <v>3458</v>
      </c>
      <c r="BI140" t="s" s="0">
        <v>82</v>
      </c>
      <c r="BJ140" t="s" s="0">
        <v>3459</v>
      </c>
      <c r="BK140" t="s" s="277">
        <f>HYPERLINK("http://dx.doi.org/10.1016/j.jhsa.2023.07.003","http://dx.doi.org/10.1016/j.jhsa.2023.07.003")</f>
        <v>3460</v>
      </c>
      <c r="BL140" t="s" s="0">
        <v>82</v>
      </c>
      <c r="BM140" t="s" s="0">
        <v>3455</v>
      </c>
      <c r="BN140" t="s" s="0">
        <v>272</v>
      </c>
      <c r="BO140" t="s" s="0">
        <v>3461</v>
      </c>
      <c r="BP140" t="s" s="0">
        <v>3461</v>
      </c>
      <c r="BQ140" t="s" s="0">
        <v>3462</v>
      </c>
      <c r="BR140" t="s" s="0">
        <v>3463</v>
      </c>
      <c r="BS140" t="s" s="0">
        <v>3464</v>
      </c>
      <c r="BT140" t="s" s="278">
        <f>HYPERLINK("https://www.webofscience.com/wos/woscc/full-record/WOS:001086963800001","View Record in Web of Science")</f>
        <v>118</v>
      </c>
      <c r="BU140" t="s" s="0">
        <v>82</v>
      </c>
      <c r="BV140" t="s" s="0">
        <v>82</v>
      </c>
      <c r="BW140" t="s" s="0">
        <v>82</v>
      </c>
      <c r="BX140" t="s" s="0">
        <v>119</v>
      </c>
    </row>
    <row r="141">
      <c r="A141" t="s" s="0">
        <v>77</v>
      </c>
      <c r="B141" t="s" s="0">
        <v>77</v>
      </c>
      <c r="C141" t="s" s="0">
        <v>77</v>
      </c>
      <c r="D141" t="s" s="0">
        <v>77</v>
      </c>
      <c r="E141" t="s" s="0">
        <v>3465</v>
      </c>
      <c r="F141" t="s" s="0">
        <v>3466</v>
      </c>
      <c r="G141" t="s" s="0">
        <v>3467</v>
      </c>
      <c r="H141" t="s" s="0">
        <v>82</v>
      </c>
      <c r="I141" t="s" s="0">
        <v>83</v>
      </c>
      <c r="J141" t="s" s="0">
        <v>3468</v>
      </c>
      <c r="K141" t="s" s="0">
        <v>3469</v>
      </c>
      <c r="L141" t="s" s="0">
        <v>3470</v>
      </c>
      <c r="M141" t="s" s="0">
        <v>3471</v>
      </c>
      <c r="N141" t="s" s="0">
        <v>3472</v>
      </c>
      <c r="O141" t="s" s="0">
        <v>3473</v>
      </c>
      <c r="P141" t="s" s="0">
        <v>3474</v>
      </c>
      <c r="Q141" t="s" s="0">
        <v>88</v>
      </c>
      <c r="R141" t="s" s="0">
        <v>82</v>
      </c>
      <c r="S141" t="s" s="0">
        <v>82</v>
      </c>
      <c r="T141" t="s" s="0">
        <v>82</v>
      </c>
      <c r="U141" t="s" s="0">
        <v>82</v>
      </c>
      <c r="V141" t="s" s="0">
        <v>3475</v>
      </c>
      <c r="W141" t="s" s="0">
        <v>857</v>
      </c>
      <c r="X141" t="s" s="0">
        <v>82</v>
      </c>
      <c r="Y141" t="s" s="0">
        <v>82</v>
      </c>
      <c r="Z141" t="s" s="0">
        <v>91</v>
      </c>
      <c r="AA141" t="s" s="0">
        <v>92</v>
      </c>
      <c r="AB141" t="s" s="0">
        <v>82</v>
      </c>
      <c r="AC141" t="s" s="0">
        <v>82</v>
      </c>
      <c r="AD141" t="s" s="0">
        <v>82</v>
      </c>
      <c r="AE141" t="s" s="0">
        <v>82</v>
      </c>
      <c r="AF141" t="s" s="0">
        <v>82</v>
      </c>
      <c r="AG141" t="s" s="0">
        <v>3476</v>
      </c>
      <c r="AH141" t="s" s="0">
        <v>82</v>
      </c>
      <c r="AI141" t="s" s="0">
        <v>3477</v>
      </c>
      <c r="AJ141" t="s" s="0">
        <v>82</v>
      </c>
      <c r="AK141" t="s" s="0">
        <v>82</v>
      </c>
      <c r="AL141" t="s" s="0">
        <v>845</v>
      </c>
      <c r="AM141" t="s" s="0">
        <v>98</v>
      </c>
      <c r="AN141" t="s" s="0">
        <v>98</v>
      </c>
      <c r="AO141" t="s" s="0">
        <v>229</v>
      </c>
      <c r="AP141" t="s" s="0">
        <v>264</v>
      </c>
      <c r="AQ141" t="s" s="0">
        <v>265</v>
      </c>
      <c r="AR141" t="s" s="0">
        <v>266</v>
      </c>
      <c r="AS141" t="s" s="0">
        <v>267</v>
      </c>
      <c r="AT141" t="s" s="0">
        <v>863</v>
      </c>
      <c r="AU141" t="s" s="0">
        <v>82</v>
      </c>
      <c r="AV141" t="s" s="0">
        <v>82</v>
      </c>
      <c r="AW141" t="s" s="0">
        <v>864</v>
      </c>
      <c r="AX141" t="s" s="0">
        <v>865</v>
      </c>
      <c r="AY141" t="s" s="0">
        <v>1163</v>
      </c>
      <c r="AZ141" t="s" s="0">
        <v>107</v>
      </c>
      <c r="BA141" t="s" s="0">
        <v>176</v>
      </c>
      <c r="BB141" t="s" s="0">
        <v>229</v>
      </c>
      <c r="BC141" t="s" s="0">
        <v>82</v>
      </c>
      <c r="BD141" t="s" s="0">
        <v>82</v>
      </c>
      <c r="BE141" t="s" s="0">
        <v>82</v>
      </c>
      <c r="BF141" t="s" s="0">
        <v>82</v>
      </c>
      <c r="BG141" t="s" s="0">
        <v>82</v>
      </c>
      <c r="BH141" t="s" s="0">
        <v>82</v>
      </c>
      <c r="BI141" t="s" s="0">
        <v>3478</v>
      </c>
      <c r="BJ141" t="s" s="0">
        <v>3479</v>
      </c>
      <c r="BK141" t="s" s="279">
        <f>HYPERLINK("http://dx.doi.org/10.1038/s41598-025-02601-y","http://dx.doi.org/10.1038/s41598-025-02601-y")</f>
        <v>3480</v>
      </c>
      <c r="BL141" t="s" s="0">
        <v>82</v>
      </c>
      <c r="BM141" t="s" s="0">
        <v>82</v>
      </c>
      <c r="BN141" t="s" s="0">
        <v>272</v>
      </c>
      <c r="BO141" t="s" s="0">
        <v>380</v>
      </c>
      <c r="BP141" t="s" s="0">
        <v>381</v>
      </c>
      <c r="BQ141" t="s" s="0">
        <v>3481</v>
      </c>
      <c r="BR141" t="s" s="0">
        <v>3482</v>
      </c>
      <c r="BS141" t="s" s="0">
        <v>3483</v>
      </c>
      <c r="BT141" t="s" s="280">
        <f>HYPERLINK("https://www.webofscience.com/wos/woscc/full-record/WOS:001492819600040","View Record in Web of Science")</f>
        <v>118</v>
      </c>
      <c r="BU141" t="s" s="0">
        <v>187</v>
      </c>
      <c r="BV141" t="s" s="0">
        <v>82</v>
      </c>
      <c r="BW141" t="s" s="0">
        <v>82</v>
      </c>
      <c r="BX141" t="s" s="0">
        <v>119</v>
      </c>
    </row>
    <row r="142">
      <c r="A142" t="s" s="0">
        <v>77</v>
      </c>
      <c r="B142" t="s" s="0">
        <v>77</v>
      </c>
      <c r="C142" t="s" s="0">
        <v>77</v>
      </c>
      <c r="D142" t="s" s="0">
        <v>77</v>
      </c>
      <c r="E142" t="s" s="0">
        <v>3484</v>
      </c>
      <c r="F142" t="s" s="0">
        <v>3485</v>
      </c>
      <c r="G142" t="s" s="0">
        <v>3486</v>
      </c>
      <c r="H142" t="s" s="0">
        <v>82</v>
      </c>
      <c r="I142" t="s" s="0">
        <v>595</v>
      </c>
      <c r="J142" t="s" s="0">
        <v>3487</v>
      </c>
      <c r="K142" t="s" s="0">
        <v>3488</v>
      </c>
      <c r="L142" t="s" s="0">
        <v>82</v>
      </c>
      <c r="M142" t="s" s="0">
        <v>82</v>
      </c>
      <c r="N142" t="s" s="0">
        <v>82</v>
      </c>
      <c r="O142" t="s" s="0">
        <v>3489</v>
      </c>
      <c r="P142" t="s" s="0">
        <v>3490</v>
      </c>
      <c r="Q142" t="s" s="0">
        <v>88</v>
      </c>
      <c r="R142" t="s" s="0">
        <v>82</v>
      </c>
      <c r="S142" t="s" s="0">
        <v>82</v>
      </c>
      <c r="T142" t="s" s="0">
        <v>82</v>
      </c>
      <c r="U142" t="s" s="0">
        <v>82</v>
      </c>
      <c r="V142" t="s" s="0">
        <v>3491</v>
      </c>
      <c r="W142" t="s" s="0">
        <v>3492</v>
      </c>
      <c r="X142" t="s" s="0">
        <v>82</v>
      </c>
      <c r="Y142" t="s" s="0">
        <v>82</v>
      </c>
      <c r="Z142" t="s" s="0">
        <v>91</v>
      </c>
      <c r="AA142" t="s" s="0">
        <v>92</v>
      </c>
      <c r="AB142" t="s" s="0">
        <v>82</v>
      </c>
      <c r="AC142" t="s" s="0">
        <v>82</v>
      </c>
      <c r="AD142" t="s" s="0">
        <v>82</v>
      </c>
      <c r="AE142" t="s" s="0">
        <v>82</v>
      </c>
      <c r="AF142" t="s" s="0">
        <v>82</v>
      </c>
      <c r="AG142" t="s" s="0">
        <v>3493</v>
      </c>
      <c r="AH142" t="s" s="0">
        <v>82</v>
      </c>
      <c r="AI142" t="s" s="0">
        <v>82</v>
      </c>
      <c r="AJ142" t="s" s="0">
        <v>3494</v>
      </c>
      <c r="AK142" t="s" s="0">
        <v>82</v>
      </c>
      <c r="AL142" t="s" s="0">
        <v>689</v>
      </c>
      <c r="AM142" t="s" s="0">
        <v>77</v>
      </c>
      <c r="AN142" t="s" s="0">
        <v>77</v>
      </c>
      <c r="AO142" t="s" s="0">
        <v>77</v>
      </c>
      <c r="AP142" t="s" s="0">
        <v>77</v>
      </c>
      <c r="AQ142" t="s" s="0">
        <v>2025</v>
      </c>
      <c r="AR142" t="s" s="0">
        <v>605</v>
      </c>
      <c r="AS142" t="s" s="0">
        <v>2105</v>
      </c>
      <c r="AT142" t="s" s="0">
        <v>3495</v>
      </c>
      <c r="AU142" t="s" s="0">
        <v>3496</v>
      </c>
      <c r="AV142" t="s" s="0">
        <v>82</v>
      </c>
      <c r="AW142" t="s" s="0">
        <v>3497</v>
      </c>
      <c r="AX142" t="s" s="0">
        <v>3498</v>
      </c>
      <c r="AY142" t="s" s="0">
        <v>3499</v>
      </c>
      <c r="AZ142" t="s" s="0">
        <v>141</v>
      </c>
      <c r="BA142" t="s" s="0">
        <v>746</v>
      </c>
      <c r="BB142" t="s" s="0">
        <v>229</v>
      </c>
      <c r="BC142" t="s" s="0">
        <v>82</v>
      </c>
      <c r="BD142" t="s" s="0">
        <v>82</v>
      </c>
      <c r="BE142" t="s" s="0">
        <v>82</v>
      </c>
      <c r="BF142" t="s" s="0">
        <v>82</v>
      </c>
      <c r="BG142" t="s" s="0">
        <v>82</v>
      </c>
      <c r="BH142" t="s" s="0">
        <v>82</v>
      </c>
      <c r="BI142" t="s" s="0">
        <v>3500</v>
      </c>
      <c r="BJ142" t="s" s="0">
        <v>3501</v>
      </c>
      <c r="BK142" t="s" s="281">
        <f>HYPERLINK("http://dx.doi.org/10.1007/s00590-026-04923-7","http://dx.doi.org/10.1007/s00590-026-04923-7")</f>
        <v>3502</v>
      </c>
      <c r="BL142" t="s" s="0">
        <v>82</v>
      </c>
      <c r="BM142" t="s" s="0">
        <v>82</v>
      </c>
      <c r="BN142" t="s" s="0">
        <v>342</v>
      </c>
      <c r="BO142" t="s" s="0">
        <v>3461</v>
      </c>
      <c r="BP142" t="s" s="0">
        <v>3461</v>
      </c>
      <c r="BQ142" t="s" s="0">
        <v>3503</v>
      </c>
      <c r="BR142" t="s" s="0">
        <v>3504</v>
      </c>
      <c r="BS142" t="s" s="0">
        <v>3505</v>
      </c>
      <c r="BT142" t="s" s="282">
        <f>HYPERLINK("https://www.webofscience.com/wos/woscc/full-record/WOS:001849144400001","View Record in Web of Science")</f>
        <v>118</v>
      </c>
      <c r="BU142" t="s" s="0">
        <v>82</v>
      </c>
      <c r="BV142" t="s" s="0">
        <v>82</v>
      </c>
      <c r="BW142" t="s" s="0">
        <v>82</v>
      </c>
      <c r="BX142" t="s" s="0">
        <v>119</v>
      </c>
    </row>
    <row r="143">
      <c r="A143" t="s" s="0">
        <v>77</v>
      </c>
      <c r="B143" t="s" s="0">
        <v>77</v>
      </c>
      <c r="C143" t="s" s="0">
        <v>77</v>
      </c>
      <c r="D143" t="s" s="0">
        <v>77</v>
      </c>
      <c r="E143" t="s" s="0">
        <v>3506</v>
      </c>
      <c r="F143" t="s" s="0">
        <v>3507</v>
      </c>
      <c r="G143" t="s" s="0">
        <v>3508</v>
      </c>
      <c r="H143" t="s" s="0">
        <v>82</v>
      </c>
      <c r="I143" t="s" s="0">
        <v>595</v>
      </c>
      <c r="J143" t="s" s="0">
        <v>3509</v>
      </c>
      <c r="K143" t="s" s="0">
        <v>3510</v>
      </c>
      <c r="L143" t="s" s="0">
        <v>3511</v>
      </c>
      <c r="M143" t="s" s="0">
        <v>3512</v>
      </c>
      <c r="N143" t="s" s="0">
        <v>3513</v>
      </c>
      <c r="O143" t="s" s="0">
        <v>3514</v>
      </c>
      <c r="P143" t="s" s="0">
        <v>3515</v>
      </c>
      <c r="Q143" t="s" s="0">
        <v>88</v>
      </c>
      <c r="R143" t="s" s="0">
        <v>82</v>
      </c>
      <c r="S143" t="s" s="0">
        <v>82</v>
      </c>
      <c r="T143" t="s" s="0">
        <v>82</v>
      </c>
      <c r="U143" t="s" s="0">
        <v>82</v>
      </c>
      <c r="V143" t="s" s="0">
        <v>3516</v>
      </c>
      <c r="W143" t="s" s="0">
        <v>1516</v>
      </c>
      <c r="X143" t="s" s="0">
        <v>82</v>
      </c>
      <c r="Y143" t="s" s="0">
        <v>82</v>
      </c>
      <c r="Z143" t="s" s="0">
        <v>91</v>
      </c>
      <c r="AA143" t="s" s="0">
        <v>92</v>
      </c>
      <c r="AB143" t="s" s="0">
        <v>82</v>
      </c>
      <c r="AC143" t="s" s="0">
        <v>82</v>
      </c>
      <c r="AD143" t="s" s="0">
        <v>82</v>
      </c>
      <c r="AE143" t="s" s="0">
        <v>82</v>
      </c>
      <c r="AF143" t="s" s="0">
        <v>82</v>
      </c>
      <c r="AG143" t="s" s="0">
        <v>3517</v>
      </c>
      <c r="AH143" t="s" s="0">
        <v>3518</v>
      </c>
      <c r="AI143" t="s" s="0">
        <v>3519</v>
      </c>
      <c r="AJ143" t="s" s="0">
        <v>3520</v>
      </c>
      <c r="AK143" t="s" s="0">
        <v>82</v>
      </c>
      <c r="AL143" t="s" s="0">
        <v>1256</v>
      </c>
      <c r="AM143" t="s" s="0">
        <v>78</v>
      </c>
      <c r="AN143" t="s" s="0">
        <v>78</v>
      </c>
      <c r="AO143" t="s" s="0">
        <v>169</v>
      </c>
      <c r="AP143" t="s" s="0">
        <v>169</v>
      </c>
      <c r="AQ143" t="s" s="0">
        <v>99</v>
      </c>
      <c r="AR143" t="s" s="0">
        <v>100</v>
      </c>
      <c r="AS143" t="s" s="0">
        <v>101</v>
      </c>
      <c r="AT143" t="s" s="0">
        <v>1519</v>
      </c>
      <c r="AU143" t="s" s="0">
        <v>82</v>
      </c>
      <c r="AV143" t="s" s="0">
        <v>82</v>
      </c>
      <c r="AW143" t="s" s="0">
        <v>1520</v>
      </c>
      <c r="AX143" t="s" s="0">
        <v>1521</v>
      </c>
      <c r="AY143" t="s" s="0">
        <v>562</v>
      </c>
      <c r="AZ143" t="s" s="0">
        <v>141</v>
      </c>
      <c r="BA143" t="s" s="0">
        <v>308</v>
      </c>
      <c r="BB143" t="s" s="0">
        <v>264</v>
      </c>
      <c r="BC143" t="s" s="0">
        <v>82</v>
      </c>
      <c r="BD143" t="s" s="0">
        <v>82</v>
      </c>
      <c r="BE143" t="s" s="0">
        <v>82</v>
      </c>
      <c r="BF143" t="s" s="0">
        <v>82</v>
      </c>
      <c r="BG143" t="s" s="0">
        <v>82</v>
      </c>
      <c r="BH143" t="s" s="0">
        <v>82</v>
      </c>
      <c r="BI143" t="s" s="0">
        <v>3521</v>
      </c>
      <c r="BJ143" t="s" s="0">
        <v>3522</v>
      </c>
      <c r="BK143" t="s" s="283">
        <f>HYPERLINK("http://dx.doi.org/10.1016/j.xops.2025.101050","http://dx.doi.org/10.1016/j.xops.2025.101050")</f>
        <v>3523</v>
      </c>
      <c r="BL143" t="s" s="0">
        <v>82</v>
      </c>
      <c r="BM143" t="s" s="0">
        <v>745</v>
      </c>
      <c r="BN143" t="s" s="0">
        <v>425</v>
      </c>
      <c r="BO143" t="s" s="0">
        <v>1525</v>
      </c>
      <c r="BP143" t="s" s="0">
        <v>1525</v>
      </c>
      <c r="BQ143" t="s" s="0">
        <v>3524</v>
      </c>
      <c r="BR143" t="s" s="0">
        <v>3525</v>
      </c>
      <c r="BS143" t="s" s="0">
        <v>3526</v>
      </c>
      <c r="BT143" t="s" s="284">
        <f>HYPERLINK("https://www.webofscience.com/wos/woscc/full-record/WOS:001687456100001","View Record in Web of Science")</f>
        <v>118</v>
      </c>
      <c r="BU143" t="s" s="0">
        <v>187</v>
      </c>
      <c r="BV143" t="s" s="0">
        <v>82</v>
      </c>
      <c r="BW143" t="s" s="0">
        <v>82</v>
      </c>
      <c r="BX143" t="s" s="0">
        <v>119</v>
      </c>
    </row>
    <row r="144">
      <c r="A144" t="s" s="0">
        <v>77</v>
      </c>
      <c r="B144" t="s" s="0">
        <v>77</v>
      </c>
      <c r="C144" t="s" s="0">
        <v>229</v>
      </c>
      <c r="D144" t="s" s="0">
        <v>77</v>
      </c>
      <c r="E144" t="s" s="0">
        <v>3527</v>
      </c>
      <c r="F144" t="s" s="0">
        <v>3528</v>
      </c>
      <c r="G144" t="s" s="0">
        <v>3529</v>
      </c>
      <c r="H144" t="s" s="0">
        <v>82</v>
      </c>
      <c r="I144" t="s" s="0">
        <v>595</v>
      </c>
      <c r="J144" t="s" s="0">
        <v>3530</v>
      </c>
      <c r="K144" t="s" s="0">
        <v>3531</v>
      </c>
      <c r="L144" t="s" s="0">
        <v>3532</v>
      </c>
      <c r="M144" t="s" s="0">
        <v>3533</v>
      </c>
      <c r="N144" t="s" s="0">
        <v>3534</v>
      </c>
      <c r="O144" t="s" s="0">
        <v>3535</v>
      </c>
      <c r="P144" t="s" s="0">
        <v>3536</v>
      </c>
      <c r="Q144" t="s" s="0">
        <v>88</v>
      </c>
      <c r="R144" t="s" s="0">
        <v>82</v>
      </c>
      <c r="S144" t="s" s="0">
        <v>82</v>
      </c>
      <c r="T144" t="s" s="0">
        <v>82</v>
      </c>
      <c r="U144" t="s" s="0">
        <v>82</v>
      </c>
      <c r="V144" t="s" s="0">
        <v>3537</v>
      </c>
      <c r="W144" t="s" s="0">
        <v>3538</v>
      </c>
      <c r="X144" t="s" s="0">
        <v>82</v>
      </c>
      <c r="Y144" t="s" s="0">
        <v>82</v>
      </c>
      <c r="Z144" t="s" s="0">
        <v>91</v>
      </c>
      <c r="AA144" t="s" s="0">
        <v>92</v>
      </c>
      <c r="AB144" t="s" s="0">
        <v>82</v>
      </c>
      <c r="AC144" t="s" s="0">
        <v>82</v>
      </c>
      <c r="AD144" t="s" s="0">
        <v>82</v>
      </c>
      <c r="AE144" t="s" s="0">
        <v>82</v>
      </c>
      <c r="AF144" t="s" s="0">
        <v>82</v>
      </c>
      <c r="AG144" t="s" s="0">
        <v>82</v>
      </c>
      <c r="AH144" t="s" s="0">
        <v>82</v>
      </c>
      <c r="AI144" t="s" s="0">
        <v>3539</v>
      </c>
      <c r="AJ144" t="s" s="0">
        <v>3540</v>
      </c>
      <c r="AK144" t="s" s="0">
        <v>82</v>
      </c>
      <c r="AL144" t="s" s="0">
        <v>168</v>
      </c>
      <c r="AM144" t="s" s="0">
        <v>169</v>
      </c>
      <c r="AN144" t="s" s="0">
        <v>98</v>
      </c>
      <c r="AO144" t="s" s="0">
        <v>229</v>
      </c>
      <c r="AP144" t="s" s="0">
        <v>308</v>
      </c>
      <c r="AQ144" t="s" s="0">
        <v>3541</v>
      </c>
      <c r="AR144" t="s" s="0">
        <v>3542</v>
      </c>
      <c r="AS144" t="s" s="0">
        <v>3543</v>
      </c>
      <c r="AT144" t="s" s="0">
        <v>82</v>
      </c>
      <c r="AU144" t="s" s="0">
        <v>3544</v>
      </c>
      <c r="AV144" t="s" s="0">
        <v>82</v>
      </c>
      <c r="AW144" t="s" s="0">
        <v>3545</v>
      </c>
      <c r="AX144" t="s" s="0">
        <v>3546</v>
      </c>
      <c r="AY144" t="s" s="0">
        <v>3547</v>
      </c>
      <c r="AZ144" t="s" s="0">
        <v>107</v>
      </c>
      <c r="BA144" t="s" s="0">
        <v>239</v>
      </c>
      <c r="BB144" t="s" s="0">
        <v>82</v>
      </c>
      <c r="BC144" t="s" s="0">
        <v>82</v>
      </c>
      <c r="BD144" t="s" s="0">
        <v>82</v>
      </c>
      <c r="BE144" t="s" s="0">
        <v>82</v>
      </c>
      <c r="BF144" t="s" s="0">
        <v>82</v>
      </c>
      <c r="BG144" t="s" s="0">
        <v>82</v>
      </c>
      <c r="BH144" t="s" s="0">
        <v>82</v>
      </c>
      <c r="BI144" t="s" s="0">
        <v>3548</v>
      </c>
      <c r="BJ144" t="s" s="0">
        <v>3549</v>
      </c>
      <c r="BK144" t="s" s="285">
        <f>HYPERLINK("http://dx.doi.org/10.34133/hds.0256","http://dx.doi.org/10.34133/hds.0256")</f>
        <v>3550</v>
      </c>
      <c r="BL144" t="s" s="0">
        <v>82</v>
      </c>
      <c r="BM144" t="s" s="0">
        <v>82</v>
      </c>
      <c r="BN144" t="s" s="0">
        <v>425</v>
      </c>
      <c r="BO144" t="s" s="0">
        <v>3551</v>
      </c>
      <c r="BP144" t="s" s="0">
        <v>3552</v>
      </c>
      <c r="BQ144" t="s" s="0">
        <v>3553</v>
      </c>
      <c r="BR144" t="s" s="0">
        <v>3554</v>
      </c>
      <c r="BS144" t="s" s="0">
        <v>3555</v>
      </c>
      <c r="BT144" t="s" s="286">
        <f>HYPERLINK("https://www.webofscience.com/wos/woscc/full-record/WOS:001547513100001","View Record in Web of Science")</f>
        <v>118</v>
      </c>
      <c r="BU144" t="s" s="0">
        <v>187</v>
      </c>
      <c r="BV144" t="s" s="0">
        <v>82</v>
      </c>
      <c r="BW144" t="s" s="0">
        <v>82</v>
      </c>
      <c r="BX144" t="s" s="0">
        <v>119</v>
      </c>
    </row>
    <row r="145">
      <c r="A145" t="s" s="0">
        <v>77</v>
      </c>
      <c r="B145" t="s" s="0">
        <v>77</v>
      </c>
      <c r="C145" t="s" s="0">
        <v>77</v>
      </c>
      <c r="D145" t="s" s="0">
        <v>77</v>
      </c>
      <c r="E145" t="s" s="0">
        <v>3556</v>
      </c>
      <c r="F145" t="s" s="0">
        <v>3557</v>
      </c>
      <c r="G145" t="s" s="0">
        <v>3558</v>
      </c>
      <c r="H145" t="s" s="0">
        <v>82</v>
      </c>
      <c r="I145" t="s" s="0">
        <v>83</v>
      </c>
      <c r="J145" t="s" s="0">
        <v>3559</v>
      </c>
      <c r="K145" t="s" s="0">
        <v>3560</v>
      </c>
      <c r="L145" t="s" s="0">
        <v>82</v>
      </c>
      <c r="M145" t="s" s="0">
        <v>82</v>
      </c>
      <c r="N145" t="s" s="0">
        <v>82</v>
      </c>
      <c r="O145" t="s" s="0">
        <v>3561</v>
      </c>
      <c r="P145" t="s" s="0">
        <v>3562</v>
      </c>
      <c r="Q145" t="s" s="0">
        <v>88</v>
      </c>
      <c r="R145" t="s" s="0">
        <v>82</v>
      </c>
      <c r="S145" t="s" s="0">
        <v>82</v>
      </c>
      <c r="T145" t="s" s="0">
        <v>82</v>
      </c>
      <c r="U145" t="s" s="0">
        <v>82</v>
      </c>
      <c r="V145" t="s" s="0">
        <v>3563</v>
      </c>
      <c r="W145" t="s" s="0">
        <v>3564</v>
      </c>
      <c r="X145" t="s" s="0">
        <v>82</v>
      </c>
      <c r="Y145" t="s" s="0">
        <v>82</v>
      </c>
      <c r="Z145" t="s" s="0">
        <v>91</v>
      </c>
      <c r="AA145" t="s" s="0">
        <v>92</v>
      </c>
      <c r="AB145" t="s" s="0">
        <v>82</v>
      </c>
      <c r="AC145" t="s" s="0">
        <v>82</v>
      </c>
      <c r="AD145" t="s" s="0">
        <v>82</v>
      </c>
      <c r="AE145" t="s" s="0">
        <v>82</v>
      </c>
      <c r="AF145" t="s" s="0">
        <v>82</v>
      </c>
      <c r="AG145" t="s" s="0">
        <v>3565</v>
      </c>
      <c r="AH145" t="s" s="0">
        <v>130</v>
      </c>
      <c r="AI145" t="s" s="0">
        <v>3566</v>
      </c>
      <c r="AJ145" t="s" s="0">
        <v>82</v>
      </c>
      <c r="AK145" t="s" s="0">
        <v>82</v>
      </c>
      <c r="AL145" t="s" s="0">
        <v>862</v>
      </c>
      <c r="AM145" t="s" s="0">
        <v>77</v>
      </c>
      <c r="AN145" t="s" s="0">
        <v>77</v>
      </c>
      <c r="AO145" t="s" s="0">
        <v>78</v>
      </c>
      <c r="AP145" t="s" s="0">
        <v>78</v>
      </c>
      <c r="AQ145" t="s" s="0">
        <v>133</v>
      </c>
      <c r="AR145" t="s" s="0">
        <v>134</v>
      </c>
      <c r="AS145" t="s" s="0">
        <v>135</v>
      </c>
      <c r="AT145" t="s" s="0">
        <v>3567</v>
      </c>
      <c r="AU145" t="s" s="0">
        <v>3568</v>
      </c>
      <c r="AV145" t="s" s="0">
        <v>82</v>
      </c>
      <c r="AW145" t="s" s="0">
        <v>3569</v>
      </c>
      <c r="AX145" t="s" s="0">
        <v>3570</v>
      </c>
      <c r="AY145" t="s" s="0">
        <v>3571</v>
      </c>
      <c r="AZ145" t="s" s="0">
        <v>141</v>
      </c>
      <c r="BA145" t="s" s="0">
        <v>689</v>
      </c>
      <c r="BB145" t="s" s="0">
        <v>239</v>
      </c>
      <c r="BC145" t="s" s="0">
        <v>82</v>
      </c>
      <c r="BD145" t="s" s="0">
        <v>82</v>
      </c>
      <c r="BE145" t="s" s="0">
        <v>82</v>
      </c>
      <c r="BF145" t="s" s="0">
        <v>82</v>
      </c>
      <c r="BG145" t="s" s="0">
        <v>82</v>
      </c>
      <c r="BH145" t="s" s="0">
        <v>82</v>
      </c>
      <c r="BI145" t="s" s="0">
        <v>3572</v>
      </c>
      <c r="BJ145" t="s" s="0">
        <v>3573</v>
      </c>
      <c r="BK145" t="s" s="287">
        <f>HYPERLINK("http://dx.doi.org/10.1111/1756-185x.70713","http://dx.doi.org/10.1111/1756-185x.70713")</f>
        <v>3574</v>
      </c>
      <c r="BL145" t="s" s="0">
        <v>82</v>
      </c>
      <c r="BM145" t="s" s="0">
        <v>82</v>
      </c>
      <c r="BN145" t="s" s="0">
        <v>98</v>
      </c>
      <c r="BO145" t="s" s="0">
        <v>3434</v>
      </c>
      <c r="BP145" t="s" s="0">
        <v>3434</v>
      </c>
      <c r="BQ145" t="s" s="0">
        <v>3575</v>
      </c>
      <c r="BR145" t="s" s="0">
        <v>3576</v>
      </c>
      <c r="BS145" t="s" s="0">
        <v>3577</v>
      </c>
      <c r="BT145" t="s" s="288">
        <f>HYPERLINK("https://www.webofscience.com/wos/woscc/full-record/WOS:001772999600001","View Record in Web of Science")</f>
        <v>118</v>
      </c>
      <c r="BU145" t="s" s="0">
        <v>82</v>
      </c>
      <c r="BV145" t="s" s="0">
        <v>82</v>
      </c>
      <c r="BW145" t="s" s="0">
        <v>82</v>
      </c>
      <c r="BX145" t="s" s="0">
        <v>119</v>
      </c>
    </row>
    <row r="146">
      <c r="A146" t="s" s="0">
        <v>77</v>
      </c>
      <c r="B146" t="s" s="0">
        <v>77</v>
      </c>
      <c r="C146" t="s" s="0">
        <v>264</v>
      </c>
      <c r="D146" t="s" s="0">
        <v>77</v>
      </c>
      <c r="E146" t="s" s="0">
        <v>3578</v>
      </c>
      <c r="F146" t="s" s="0">
        <v>3579</v>
      </c>
      <c r="G146" t="s" s="0">
        <v>3580</v>
      </c>
      <c r="H146" t="s" s="0">
        <v>82</v>
      </c>
      <c r="I146" t="s" s="0">
        <v>83</v>
      </c>
      <c r="J146" t="s" s="0">
        <v>3581</v>
      </c>
      <c r="K146" t="s" s="0">
        <v>3582</v>
      </c>
      <c r="L146" t="s" s="0">
        <v>82</v>
      </c>
      <c r="M146" t="s" s="0">
        <v>82</v>
      </c>
      <c r="N146" t="s" s="0">
        <v>82</v>
      </c>
      <c r="O146" t="s" s="0">
        <v>3583</v>
      </c>
      <c r="P146" t="s" s="0">
        <v>3584</v>
      </c>
      <c r="Q146" t="s" s="0">
        <v>88</v>
      </c>
      <c r="R146" t="s" s="0">
        <v>82</v>
      </c>
      <c r="S146" t="s" s="0">
        <v>82</v>
      </c>
      <c r="T146" t="s" s="0">
        <v>82</v>
      </c>
      <c r="U146" t="s" s="0">
        <v>82</v>
      </c>
      <c r="V146" t="s" s="0">
        <v>3585</v>
      </c>
      <c r="W146" t="s" s="0">
        <v>1862</v>
      </c>
      <c r="X146" t="s" s="0">
        <v>82</v>
      </c>
      <c r="Y146" t="s" s="0">
        <v>82</v>
      </c>
      <c r="Z146" t="s" s="0">
        <v>91</v>
      </c>
      <c r="AA146" t="s" s="0">
        <v>92</v>
      </c>
      <c r="AB146" t="s" s="0">
        <v>82</v>
      </c>
      <c r="AC146" t="s" s="0">
        <v>82</v>
      </c>
      <c r="AD146" t="s" s="0">
        <v>82</v>
      </c>
      <c r="AE146" t="s" s="0">
        <v>82</v>
      </c>
      <c r="AF146" t="s" s="0">
        <v>82</v>
      </c>
      <c r="AG146" t="s" s="0">
        <v>82</v>
      </c>
      <c r="AH146" t="s" s="0">
        <v>82</v>
      </c>
      <c r="AI146" t="s" s="0">
        <v>82</v>
      </c>
      <c r="AJ146" t="s" s="0">
        <v>3586</v>
      </c>
      <c r="AK146" t="s" s="0">
        <v>82</v>
      </c>
      <c r="AL146" t="s" s="0">
        <v>208</v>
      </c>
      <c r="AM146" t="s" s="0">
        <v>244</v>
      </c>
      <c r="AN146" t="s" s="0">
        <v>272</v>
      </c>
      <c r="AO146" t="s" s="0">
        <v>77</v>
      </c>
      <c r="AP146" t="s" s="0">
        <v>78</v>
      </c>
      <c r="AQ146" t="s" s="0">
        <v>1865</v>
      </c>
      <c r="AR146" t="s" s="0">
        <v>1866</v>
      </c>
      <c r="AS146" t="s" s="0">
        <v>1867</v>
      </c>
      <c r="AT146" t="s" s="0">
        <v>82</v>
      </c>
      <c r="AU146" t="s" s="0">
        <v>1868</v>
      </c>
      <c r="AV146" t="s" s="0">
        <v>82</v>
      </c>
      <c r="AW146" t="s" s="0">
        <v>1862</v>
      </c>
      <c r="AX146" t="s" s="0">
        <v>1869</v>
      </c>
      <c r="AY146" t="s" s="0">
        <v>3587</v>
      </c>
      <c r="AZ146" t="s" s="0">
        <v>107</v>
      </c>
      <c r="BA146" t="s" s="0">
        <v>212</v>
      </c>
      <c r="BB146" t="s" s="0">
        <v>244</v>
      </c>
      <c r="BC146" t="s" s="0">
        <v>82</v>
      </c>
      <c r="BD146" t="s" s="0">
        <v>82</v>
      </c>
      <c r="BE146" t="s" s="0">
        <v>82</v>
      </c>
      <c r="BF146" t="s" s="0">
        <v>82</v>
      </c>
      <c r="BG146" t="s" s="0">
        <v>82</v>
      </c>
      <c r="BH146" t="s" s="0">
        <v>82</v>
      </c>
      <c r="BI146" t="s" s="0">
        <v>3588</v>
      </c>
      <c r="BJ146" t="s" s="0">
        <v>3589</v>
      </c>
      <c r="BK146" t="s" s="289">
        <f>HYPERLINK("http://dx.doi.org/10.1371/journal.pone.0325803","http://dx.doi.org/10.1371/journal.pone.0325803")</f>
        <v>3590</v>
      </c>
      <c r="BL146" t="s" s="0">
        <v>82</v>
      </c>
      <c r="BM146" t="s" s="0">
        <v>82</v>
      </c>
      <c r="BN146" t="s" s="0">
        <v>272</v>
      </c>
      <c r="BO146" t="s" s="0">
        <v>380</v>
      </c>
      <c r="BP146" t="s" s="0">
        <v>381</v>
      </c>
      <c r="BQ146" t="s" s="0">
        <v>3591</v>
      </c>
      <c r="BR146" t="s" s="0">
        <v>3592</v>
      </c>
      <c r="BS146" t="s" s="0">
        <v>3593</v>
      </c>
      <c r="BT146" t="s" s="290">
        <f>HYPERLINK("https://www.webofscience.com/wos/woscc/full-record/WOS:001542584800004","View Record in Web of Science")</f>
        <v>118</v>
      </c>
      <c r="BU146" t="s" s="0">
        <v>2064</v>
      </c>
      <c r="BV146" t="s" s="0">
        <v>82</v>
      </c>
      <c r="BW146" t="s" s="0">
        <v>82</v>
      </c>
      <c r="BX146" t="s" s="0">
        <v>119</v>
      </c>
    </row>
    <row r="147">
      <c r="A147" t="s" s="0">
        <v>77</v>
      </c>
      <c r="B147" t="s" s="0">
        <v>77</v>
      </c>
      <c r="C147" t="s" s="0">
        <v>77</v>
      </c>
      <c r="D147" t="s" s="0">
        <v>77</v>
      </c>
      <c r="E147" t="s" s="0">
        <v>3594</v>
      </c>
      <c r="F147" t="s" s="0">
        <v>3595</v>
      </c>
      <c r="G147" t="s" s="0">
        <v>3596</v>
      </c>
      <c r="H147" t="s" s="0">
        <v>82</v>
      </c>
      <c r="I147" t="s" s="0">
        <v>83</v>
      </c>
      <c r="J147" t="s" s="0">
        <v>3597</v>
      </c>
      <c r="K147" t="s" s="0">
        <v>3598</v>
      </c>
      <c r="L147" t="s" s="0">
        <v>82</v>
      </c>
      <c r="M147" t="s" s="0">
        <v>82</v>
      </c>
      <c r="N147" t="s" s="0">
        <v>3599</v>
      </c>
      <c r="O147" t="s" s="0">
        <v>3600</v>
      </c>
      <c r="P147" t="s" s="0">
        <v>3601</v>
      </c>
      <c r="Q147" t="s" s="0">
        <v>88</v>
      </c>
      <c r="R147" t="s" s="0">
        <v>82</v>
      </c>
      <c r="S147" t="s" s="0">
        <v>82</v>
      </c>
      <c r="T147" t="s" s="0">
        <v>82</v>
      </c>
      <c r="U147" t="s" s="0">
        <v>82</v>
      </c>
      <c r="V147" t="s" s="0">
        <v>3602</v>
      </c>
      <c r="W147" t="s" s="0">
        <v>3603</v>
      </c>
      <c r="X147" t="s" s="0">
        <v>82</v>
      </c>
      <c r="Y147" t="s" s="0">
        <v>82</v>
      </c>
      <c r="Z147" t="s" s="0">
        <v>91</v>
      </c>
      <c r="AA147" t="s" s="0">
        <v>92</v>
      </c>
      <c r="AB147" t="s" s="0">
        <v>82</v>
      </c>
      <c r="AC147" t="s" s="0">
        <v>82</v>
      </c>
      <c r="AD147" t="s" s="0">
        <v>82</v>
      </c>
      <c r="AE147" t="s" s="0">
        <v>82</v>
      </c>
      <c r="AF147" t="s" s="0">
        <v>82</v>
      </c>
      <c r="AG147" t="s" s="0">
        <v>3604</v>
      </c>
      <c r="AH147" t="s" s="0">
        <v>82</v>
      </c>
      <c r="AI147" t="s" s="0">
        <v>82</v>
      </c>
      <c r="AJ147" t="s" s="0">
        <v>82</v>
      </c>
      <c r="AK147" t="s" s="0">
        <v>82</v>
      </c>
      <c r="AL147" t="s" s="0">
        <v>97</v>
      </c>
      <c r="AM147" t="s" s="0">
        <v>77</v>
      </c>
      <c r="AN147" t="s" s="0">
        <v>77</v>
      </c>
      <c r="AO147" t="s" s="0">
        <v>169</v>
      </c>
      <c r="AP147" t="s" s="0">
        <v>169</v>
      </c>
      <c r="AQ147" t="s" s="0">
        <v>1818</v>
      </c>
      <c r="AR147" t="s" s="0">
        <v>739</v>
      </c>
      <c r="AS147" t="s" s="0">
        <v>1819</v>
      </c>
      <c r="AT147" t="s" s="0">
        <v>3605</v>
      </c>
      <c r="AU147" t="s" s="0">
        <v>3606</v>
      </c>
      <c r="AV147" t="s" s="0">
        <v>82</v>
      </c>
      <c r="AW147" t="s" s="0">
        <v>3607</v>
      </c>
      <c r="AX147" t="s" s="0">
        <v>3608</v>
      </c>
      <c r="AY147" t="s" s="0">
        <v>276</v>
      </c>
      <c r="AZ147" t="s" s="0">
        <v>141</v>
      </c>
      <c r="BA147" t="s" s="0">
        <v>2289</v>
      </c>
      <c r="BB147" t="s" s="0">
        <v>169</v>
      </c>
      <c r="BC147" t="s" s="0">
        <v>82</v>
      </c>
      <c r="BD147" t="s" s="0">
        <v>82</v>
      </c>
      <c r="BE147" t="s" s="0">
        <v>82</v>
      </c>
      <c r="BF147" t="s" s="0">
        <v>82</v>
      </c>
      <c r="BG147" t="s" s="0">
        <v>3609</v>
      </c>
      <c r="BH147" t="s" s="0">
        <v>3610</v>
      </c>
      <c r="BI147" t="s" s="0">
        <v>82</v>
      </c>
      <c r="BJ147" t="s" s="0">
        <v>3611</v>
      </c>
      <c r="BK147" t="s" s="291">
        <f>HYPERLINK("http://dx.doi.org/10.1016/j.acra.2025.12.020","http://dx.doi.org/10.1016/j.acra.2025.12.020")</f>
        <v>3612</v>
      </c>
      <c r="BL147" t="s" s="0">
        <v>82</v>
      </c>
      <c r="BM147" t="s" s="0">
        <v>276</v>
      </c>
      <c r="BN147" t="s" s="0">
        <v>346</v>
      </c>
      <c r="BO147" t="s" s="0">
        <v>752</v>
      </c>
      <c r="BP147" t="s" s="0">
        <v>752</v>
      </c>
      <c r="BQ147" t="s" s="0">
        <v>3613</v>
      </c>
      <c r="BR147" t="s" s="0">
        <v>3614</v>
      </c>
      <c r="BS147" t="s" s="0">
        <v>3615</v>
      </c>
      <c r="BT147" t="s" s="292">
        <f>HYPERLINK("https://www.webofscience.com/wos/woscc/full-record/WOS:001745611900001","View Record in Web of Science")</f>
        <v>118</v>
      </c>
      <c r="BU147" t="s" s="0">
        <v>82</v>
      </c>
      <c r="BV147" t="s" s="0">
        <v>82</v>
      </c>
      <c r="BW147" t="s" s="0">
        <v>82</v>
      </c>
      <c r="BX147" t="s" s="0">
        <v>119</v>
      </c>
    </row>
    <row r="148">
      <c r="A148" t="s" s="0">
        <v>77</v>
      </c>
      <c r="B148" t="s" s="0">
        <v>77</v>
      </c>
      <c r="C148" t="s" s="0">
        <v>77</v>
      </c>
      <c r="D148" t="s" s="0">
        <v>77</v>
      </c>
      <c r="E148" t="s" s="0">
        <v>3616</v>
      </c>
      <c r="F148" t="s" s="0">
        <v>3617</v>
      </c>
      <c r="G148" t="s" s="0">
        <v>3618</v>
      </c>
      <c r="H148" t="s" s="0">
        <v>82</v>
      </c>
      <c r="I148" t="s" s="0">
        <v>595</v>
      </c>
      <c r="J148" t="s" s="0">
        <v>3619</v>
      </c>
      <c r="K148" t="s" s="0">
        <v>3620</v>
      </c>
      <c r="L148" t="s" s="0">
        <v>82</v>
      </c>
      <c r="M148" t="s" s="0">
        <v>82</v>
      </c>
      <c r="N148" t="s" s="0">
        <v>3621</v>
      </c>
      <c r="O148" t="s" s="0">
        <v>3622</v>
      </c>
      <c r="P148" t="s" s="0">
        <v>3623</v>
      </c>
      <c r="Q148" t="s" s="0">
        <v>88</v>
      </c>
      <c r="R148" t="s" s="0">
        <v>82</v>
      </c>
      <c r="S148" t="s" s="0">
        <v>82</v>
      </c>
      <c r="T148" t="s" s="0">
        <v>82</v>
      </c>
      <c r="U148" t="s" s="0">
        <v>82</v>
      </c>
      <c r="V148" t="s" s="0">
        <v>3624</v>
      </c>
      <c r="W148" t="s" s="0">
        <v>707</v>
      </c>
      <c r="X148" t="s" s="0">
        <v>82</v>
      </c>
      <c r="Y148" t="s" s="0">
        <v>82</v>
      </c>
      <c r="Z148" t="s" s="0">
        <v>91</v>
      </c>
      <c r="AA148" t="s" s="0">
        <v>92</v>
      </c>
      <c r="AB148" t="s" s="0">
        <v>82</v>
      </c>
      <c r="AC148" t="s" s="0">
        <v>82</v>
      </c>
      <c r="AD148" t="s" s="0">
        <v>82</v>
      </c>
      <c r="AE148" t="s" s="0">
        <v>82</v>
      </c>
      <c r="AF148" t="s" s="0">
        <v>82</v>
      </c>
      <c r="AG148" t="s" s="0">
        <v>3625</v>
      </c>
      <c r="AH148" t="s" s="0">
        <v>3626</v>
      </c>
      <c r="AI148" t="s" s="0">
        <v>3627</v>
      </c>
      <c r="AJ148" t="s" s="0">
        <v>3628</v>
      </c>
      <c r="AK148" t="s" s="0">
        <v>82</v>
      </c>
      <c r="AL148" t="s" s="0">
        <v>949</v>
      </c>
      <c r="AM148" t="s" s="0">
        <v>277</v>
      </c>
      <c r="AN148" t="s" s="0">
        <v>277</v>
      </c>
      <c r="AO148" t="s" s="0">
        <v>77</v>
      </c>
      <c r="AP148" t="s" s="0">
        <v>77</v>
      </c>
      <c r="AQ148" t="s" s="0">
        <v>711</v>
      </c>
      <c r="AR148" t="s" s="0">
        <v>712</v>
      </c>
      <c r="AS148" t="s" s="0">
        <v>713</v>
      </c>
      <c r="AT148" t="s" s="0">
        <v>82</v>
      </c>
      <c r="AU148" t="s" s="0">
        <v>714</v>
      </c>
      <c r="AV148" t="s" s="0">
        <v>82</v>
      </c>
      <c r="AW148" t="s" s="0">
        <v>715</v>
      </c>
      <c r="AX148" t="s" s="0">
        <v>716</v>
      </c>
      <c r="AY148" t="s" s="0">
        <v>3629</v>
      </c>
      <c r="AZ148" t="s" s="0">
        <v>107</v>
      </c>
      <c r="BA148" t="s" s="0">
        <v>98</v>
      </c>
      <c r="BB148" t="s" s="0">
        <v>82</v>
      </c>
      <c r="BC148" t="s" s="0">
        <v>82</v>
      </c>
      <c r="BD148" t="s" s="0">
        <v>82</v>
      </c>
      <c r="BE148" t="s" s="0">
        <v>82</v>
      </c>
      <c r="BF148" t="s" s="0">
        <v>82</v>
      </c>
      <c r="BG148" t="s" s="0">
        <v>82</v>
      </c>
      <c r="BH148" t="s" s="0">
        <v>82</v>
      </c>
      <c r="BI148" t="s" s="0">
        <v>3630</v>
      </c>
      <c r="BJ148" t="s" s="0">
        <v>3631</v>
      </c>
      <c r="BK148" t="s" s="293">
        <f>HYPERLINK("http://dx.doi.org/10.3389/fdgth.2025.1552746","http://dx.doi.org/10.3389/fdgth.2025.1552746")</f>
        <v>3632</v>
      </c>
      <c r="BL148" t="s" s="0">
        <v>82</v>
      </c>
      <c r="BM148" t="s" s="0">
        <v>82</v>
      </c>
      <c r="BN148" t="s" s="0">
        <v>244</v>
      </c>
      <c r="BO148" t="s" s="0">
        <v>213</v>
      </c>
      <c r="BP148" t="s" s="0">
        <v>213</v>
      </c>
      <c r="BQ148" t="s" s="0">
        <v>3633</v>
      </c>
      <c r="BR148" t="s" s="0">
        <v>3634</v>
      </c>
      <c r="BS148" t="s" s="0">
        <v>3635</v>
      </c>
      <c r="BT148" t="s" s="294">
        <f>HYPERLINK("https://www.webofscience.com/wos/woscc/full-record/WOS:001463366000001","View Record in Web of Science")</f>
        <v>118</v>
      </c>
      <c r="BU148" t="s" s="0">
        <v>187</v>
      </c>
      <c r="BV148" t="s" s="0">
        <v>82</v>
      </c>
      <c r="BW148" t="s" s="0">
        <v>82</v>
      </c>
      <c r="BX148" t="s" s="0">
        <v>119</v>
      </c>
    </row>
    <row r="149">
      <c r="A149" t="s" s="0">
        <v>229</v>
      </c>
      <c r="B149" t="s" s="0">
        <v>77</v>
      </c>
      <c r="C149" t="s" s="0">
        <v>239</v>
      </c>
      <c r="D149" t="s" s="0">
        <v>77</v>
      </c>
      <c r="E149" t="s" s="0">
        <v>3636</v>
      </c>
      <c r="F149" t="s" s="0">
        <v>3637</v>
      </c>
      <c r="G149" t="s" s="0">
        <v>3638</v>
      </c>
      <c r="H149" t="s" s="0">
        <v>82</v>
      </c>
      <c r="I149" t="s" s="0">
        <v>83</v>
      </c>
      <c r="J149" t="s" s="0">
        <v>3639</v>
      </c>
      <c r="K149" t="s" s="0">
        <v>3640</v>
      </c>
      <c r="L149" t="s" s="0">
        <v>3641</v>
      </c>
      <c r="M149" t="s" s="0">
        <v>3641</v>
      </c>
      <c r="N149" t="s" s="0">
        <v>3642</v>
      </c>
      <c r="O149" t="s" s="0">
        <v>3643</v>
      </c>
      <c r="P149" t="s" s="0">
        <v>3644</v>
      </c>
      <c r="Q149" t="s" s="0">
        <v>88</v>
      </c>
      <c r="R149" t="s" s="0">
        <v>82</v>
      </c>
      <c r="S149" t="s" s="0">
        <v>82</v>
      </c>
      <c r="T149" t="s" s="0">
        <v>82</v>
      </c>
      <c r="U149" t="s" s="0">
        <v>82</v>
      </c>
      <c r="V149" t="s" s="0">
        <v>3645</v>
      </c>
      <c r="W149" t="s" s="0">
        <v>1672</v>
      </c>
      <c r="X149" t="s" s="0">
        <v>82</v>
      </c>
      <c r="Y149" t="s" s="0">
        <v>82</v>
      </c>
      <c r="Z149" t="s" s="0">
        <v>91</v>
      </c>
      <c r="AA149" t="s" s="0">
        <v>92</v>
      </c>
      <c r="AB149" t="s" s="0">
        <v>82</v>
      </c>
      <c r="AC149" t="s" s="0">
        <v>82</v>
      </c>
      <c r="AD149" t="s" s="0">
        <v>82</v>
      </c>
      <c r="AE149" t="s" s="0">
        <v>82</v>
      </c>
      <c r="AF149" t="s" s="0">
        <v>82</v>
      </c>
      <c r="AG149" t="s" s="0">
        <v>3646</v>
      </c>
      <c r="AH149" t="s" s="0">
        <v>3647</v>
      </c>
      <c r="AI149" t="s" s="0">
        <v>82</v>
      </c>
      <c r="AJ149" t="s" s="0">
        <v>82</v>
      </c>
      <c r="AK149" t="s" s="0">
        <v>82</v>
      </c>
      <c r="AL149" t="s" s="0">
        <v>1068</v>
      </c>
      <c r="AM149" t="s" s="0">
        <v>1068</v>
      </c>
      <c r="AN149" t="s" s="0">
        <v>811</v>
      </c>
      <c r="AO149" t="s" s="0">
        <v>169</v>
      </c>
      <c r="AP149" t="s" s="0">
        <v>452</v>
      </c>
      <c r="AQ149" t="s" s="0">
        <v>604</v>
      </c>
      <c r="AR149" t="s" s="0">
        <v>605</v>
      </c>
      <c r="AS149" t="s" s="0">
        <v>606</v>
      </c>
      <c r="AT149" t="s" s="0">
        <v>82</v>
      </c>
      <c r="AU149" t="s" s="0">
        <v>1675</v>
      </c>
      <c r="AV149" t="s" s="0">
        <v>82</v>
      </c>
      <c r="AW149" t="s" s="0">
        <v>1676</v>
      </c>
      <c r="AX149" t="s" s="0">
        <v>1677</v>
      </c>
      <c r="AY149" t="s" s="0">
        <v>3648</v>
      </c>
      <c r="AZ149" t="s" s="0">
        <v>107</v>
      </c>
      <c r="BA149" t="s" s="0">
        <v>1068</v>
      </c>
      <c r="BB149" t="s" s="0">
        <v>229</v>
      </c>
      <c r="BC149" t="s" s="0">
        <v>82</v>
      </c>
      <c r="BD149" t="s" s="0">
        <v>82</v>
      </c>
      <c r="BE149" t="s" s="0">
        <v>82</v>
      </c>
      <c r="BF149" t="s" s="0">
        <v>82</v>
      </c>
      <c r="BG149" t="s" s="0">
        <v>82</v>
      </c>
      <c r="BH149" t="s" s="0">
        <v>82</v>
      </c>
      <c r="BI149" t="s" s="0">
        <v>746</v>
      </c>
      <c r="BJ149" t="s" s="0">
        <v>3649</v>
      </c>
      <c r="BK149" t="s" s="295">
        <f>HYPERLINK("http://dx.doi.org/10.1186/s12911-024-02838-z","http://dx.doi.org/10.1186/s12911-024-02838-z")</f>
        <v>3650</v>
      </c>
      <c r="BL149" t="s" s="0">
        <v>82</v>
      </c>
      <c r="BM149" t="s" s="0">
        <v>82</v>
      </c>
      <c r="BN149" t="s" s="0">
        <v>181</v>
      </c>
      <c r="BO149" t="s" s="0">
        <v>1069</v>
      </c>
      <c r="BP149" t="s" s="0">
        <v>1069</v>
      </c>
      <c r="BQ149" t="s" s="0">
        <v>3651</v>
      </c>
      <c r="BR149" t="s" s="0">
        <v>3652</v>
      </c>
      <c r="BS149" t="s" s="0">
        <v>3653</v>
      </c>
      <c r="BT149" t="s" s="296">
        <f>HYPERLINK("https://www.webofscience.com/wos/woscc/full-record/WOS:001405089400003","View Record in Web of Science")</f>
        <v>118</v>
      </c>
      <c r="BU149" t="s" s="0">
        <v>187</v>
      </c>
      <c r="BV149" t="s" s="0">
        <v>82</v>
      </c>
      <c r="BW149" t="s" s="0">
        <v>82</v>
      </c>
      <c r="BX149" t="s" s="0">
        <v>119</v>
      </c>
    </row>
    <row r="150">
      <c r="A150" t="s" s="0">
        <v>77</v>
      </c>
      <c r="B150" t="s" s="0">
        <v>77</v>
      </c>
      <c r="C150" t="s" s="0">
        <v>77</v>
      </c>
      <c r="D150" t="s" s="0">
        <v>77</v>
      </c>
      <c r="E150" t="s" s="0">
        <v>3654</v>
      </c>
      <c r="F150" t="s" s="0">
        <v>3655</v>
      </c>
      <c r="G150" t="s" s="0">
        <v>3656</v>
      </c>
      <c r="H150" t="s" s="0">
        <v>82</v>
      </c>
      <c r="I150" t="s" s="0">
        <v>83</v>
      </c>
      <c r="J150" t="s" s="0">
        <v>3657</v>
      </c>
      <c r="K150" t="s" s="0">
        <v>3658</v>
      </c>
      <c r="L150" t="s" s="0">
        <v>3659</v>
      </c>
      <c r="M150" t="s" s="0">
        <v>3659</v>
      </c>
      <c r="N150" t="s" s="0">
        <v>3660</v>
      </c>
      <c r="O150" t="s" s="0">
        <v>3661</v>
      </c>
      <c r="P150" t="s" s="0">
        <v>82</v>
      </c>
      <c r="Q150" t="s" s="0">
        <v>88</v>
      </c>
      <c r="R150" t="s" s="0">
        <v>82</v>
      </c>
      <c r="S150" t="s" s="0">
        <v>82</v>
      </c>
      <c r="T150" t="s" s="0">
        <v>82</v>
      </c>
      <c r="U150" t="s" s="0">
        <v>82</v>
      </c>
      <c r="V150" t="s" s="0">
        <v>3662</v>
      </c>
      <c r="W150" t="s" s="0">
        <v>857</v>
      </c>
      <c r="X150" t="s" s="0">
        <v>82</v>
      </c>
      <c r="Y150" t="s" s="0">
        <v>82</v>
      </c>
      <c r="Z150" t="s" s="0">
        <v>91</v>
      </c>
      <c r="AA150" t="s" s="0">
        <v>92</v>
      </c>
      <c r="AB150" t="s" s="0">
        <v>82</v>
      </c>
      <c r="AC150" t="s" s="0">
        <v>82</v>
      </c>
      <c r="AD150" t="s" s="0">
        <v>82</v>
      </c>
      <c r="AE150" t="s" s="0">
        <v>82</v>
      </c>
      <c r="AF150" t="s" s="0">
        <v>82</v>
      </c>
      <c r="AG150" t="s" s="0">
        <v>3663</v>
      </c>
      <c r="AH150" t="s" s="0">
        <v>82</v>
      </c>
      <c r="AI150" t="s" s="0">
        <v>82</v>
      </c>
      <c r="AJ150" t="s" s="0">
        <v>82</v>
      </c>
      <c r="AK150" t="s" s="0">
        <v>82</v>
      </c>
      <c r="AL150" t="s" s="0">
        <v>208</v>
      </c>
      <c r="AM150" t="s" s="0">
        <v>77</v>
      </c>
      <c r="AN150" t="s" s="0">
        <v>77</v>
      </c>
      <c r="AO150" t="s" s="0">
        <v>77</v>
      </c>
      <c r="AP150" t="s" s="0">
        <v>77</v>
      </c>
      <c r="AQ150" t="s" s="0">
        <v>265</v>
      </c>
      <c r="AR150" t="s" s="0">
        <v>266</v>
      </c>
      <c r="AS150" t="s" s="0">
        <v>267</v>
      </c>
      <c r="AT150" t="s" s="0">
        <v>863</v>
      </c>
      <c r="AU150" t="s" s="0">
        <v>82</v>
      </c>
      <c r="AV150" t="s" s="0">
        <v>82</v>
      </c>
      <c r="AW150" t="s" s="0">
        <v>864</v>
      </c>
      <c r="AX150" t="s" s="0">
        <v>865</v>
      </c>
      <c r="AY150" t="s" s="0">
        <v>3499</v>
      </c>
      <c r="AZ150" t="s" s="0">
        <v>141</v>
      </c>
      <c r="BA150" t="s" s="0">
        <v>181</v>
      </c>
      <c r="BB150" t="s" s="0">
        <v>229</v>
      </c>
      <c r="BC150" t="s" s="0">
        <v>82</v>
      </c>
      <c r="BD150" t="s" s="0">
        <v>82</v>
      </c>
      <c r="BE150" t="s" s="0">
        <v>82</v>
      </c>
      <c r="BF150" t="s" s="0">
        <v>82</v>
      </c>
      <c r="BG150" t="s" s="0">
        <v>82</v>
      </c>
      <c r="BH150" t="s" s="0">
        <v>82</v>
      </c>
      <c r="BI150" t="s" s="0">
        <v>3664</v>
      </c>
      <c r="BJ150" t="s" s="0">
        <v>3665</v>
      </c>
      <c r="BK150" t="s" s="297">
        <f>HYPERLINK("http://dx.doi.org/10.1038/s41598-026-65667-2","http://dx.doi.org/10.1038/s41598-026-65667-2")</f>
        <v>3666</v>
      </c>
      <c r="BL150" t="s" s="0">
        <v>82</v>
      </c>
      <c r="BM150" t="s" s="0">
        <v>82</v>
      </c>
      <c r="BN150" t="s" s="0">
        <v>425</v>
      </c>
      <c r="BO150" t="s" s="0">
        <v>380</v>
      </c>
      <c r="BP150" t="s" s="0">
        <v>381</v>
      </c>
      <c r="BQ150" t="s" s="0">
        <v>3667</v>
      </c>
      <c r="BR150" t="s" s="0">
        <v>3668</v>
      </c>
      <c r="BS150" t="s" s="0">
        <v>3669</v>
      </c>
      <c r="BT150" t="s" s="298">
        <f>HYPERLINK("https://www.webofscience.com/wos/woscc/full-record/WOS:001850002300009","View Record in Web of Science")</f>
        <v>118</v>
      </c>
      <c r="BU150" t="s" s="0">
        <v>187</v>
      </c>
      <c r="BV150" t="s" s="0">
        <v>82</v>
      </c>
      <c r="BW150" t="s" s="0">
        <v>82</v>
      </c>
      <c r="BX150" t="s" s="0">
        <v>119</v>
      </c>
    </row>
    <row r="151">
      <c r="A151" t="s" s="0">
        <v>77</v>
      </c>
      <c r="B151" t="s" s="0">
        <v>77</v>
      </c>
      <c r="C151" t="s" s="0">
        <v>77</v>
      </c>
      <c r="D151" t="s" s="0">
        <v>77</v>
      </c>
      <c r="E151" t="s" s="0">
        <v>3670</v>
      </c>
      <c r="F151" t="s" s="0">
        <v>3671</v>
      </c>
      <c r="G151" t="s" s="0">
        <v>3672</v>
      </c>
      <c r="H151" t="s" s="0">
        <v>82</v>
      </c>
      <c r="I151" t="s" s="0">
        <v>83</v>
      </c>
      <c r="J151" t="s" s="0">
        <v>3673</v>
      </c>
      <c r="K151" t="s" s="0">
        <v>3674</v>
      </c>
      <c r="L151" t="s" s="0">
        <v>3675</v>
      </c>
      <c r="M151" t="s" s="0">
        <v>3676</v>
      </c>
      <c r="N151" t="s" s="0">
        <v>3677</v>
      </c>
      <c r="O151" t="s" s="0">
        <v>3678</v>
      </c>
      <c r="P151" t="s" s="0">
        <v>3679</v>
      </c>
      <c r="Q151" t="s" s="0">
        <v>88</v>
      </c>
      <c r="R151" t="s" s="0">
        <v>82</v>
      </c>
      <c r="S151" t="s" s="0">
        <v>82</v>
      </c>
      <c r="T151" t="s" s="0">
        <v>82</v>
      </c>
      <c r="U151" t="s" s="0">
        <v>82</v>
      </c>
      <c r="V151" t="s" s="0">
        <v>3680</v>
      </c>
      <c r="W151" t="s" s="0">
        <v>3681</v>
      </c>
      <c r="X151" t="s" s="0">
        <v>82</v>
      </c>
      <c r="Y151" t="s" s="0">
        <v>82</v>
      </c>
      <c r="Z151" t="s" s="0">
        <v>91</v>
      </c>
      <c r="AA151" t="s" s="0">
        <v>92</v>
      </c>
      <c r="AB151" t="s" s="0">
        <v>82</v>
      </c>
      <c r="AC151" t="s" s="0">
        <v>82</v>
      </c>
      <c r="AD151" t="s" s="0">
        <v>82</v>
      </c>
      <c r="AE151" t="s" s="0">
        <v>82</v>
      </c>
      <c r="AF151" t="s" s="0">
        <v>82</v>
      </c>
      <c r="AG151" t="s" s="0">
        <v>3682</v>
      </c>
      <c r="AH151" t="s" s="0">
        <v>3683</v>
      </c>
      <c r="AI151" t="s" s="0">
        <v>3684</v>
      </c>
      <c r="AJ151" t="s" s="0">
        <v>3685</v>
      </c>
      <c r="AK151" t="s" s="0">
        <v>82</v>
      </c>
      <c r="AL151" t="s" s="0">
        <v>476</v>
      </c>
      <c r="AM151" t="s" s="0">
        <v>181</v>
      </c>
      <c r="AN151" t="s" s="0">
        <v>368</v>
      </c>
      <c r="AO151" t="s" s="0">
        <v>78</v>
      </c>
      <c r="AP151" t="s" s="0">
        <v>132</v>
      </c>
      <c r="AQ151" t="s" s="0">
        <v>550</v>
      </c>
      <c r="AR151" t="s" s="0">
        <v>739</v>
      </c>
      <c r="AS151" t="s" s="0">
        <v>740</v>
      </c>
      <c r="AT151" t="s" s="0">
        <v>3686</v>
      </c>
      <c r="AU151" t="s" s="0">
        <v>3687</v>
      </c>
      <c r="AV151" t="s" s="0">
        <v>82</v>
      </c>
      <c r="AW151" t="s" s="0">
        <v>3688</v>
      </c>
      <c r="AX151" t="s" s="0">
        <v>3689</v>
      </c>
      <c r="AY151" t="s" s="0">
        <v>3690</v>
      </c>
      <c r="AZ151" t="s" s="0">
        <v>107</v>
      </c>
      <c r="BA151" t="s" s="0">
        <v>2267</v>
      </c>
      <c r="BB151" t="s" s="0">
        <v>229</v>
      </c>
      <c r="BC151" t="s" s="0">
        <v>82</v>
      </c>
      <c r="BD151" t="s" s="0">
        <v>82</v>
      </c>
      <c r="BE151" t="s" s="0">
        <v>82</v>
      </c>
      <c r="BF151" t="s" s="0">
        <v>82</v>
      </c>
      <c r="BG151" t="s" s="0">
        <v>82</v>
      </c>
      <c r="BH151" t="s" s="0">
        <v>82</v>
      </c>
      <c r="BI151" t="s" s="0">
        <v>3691</v>
      </c>
      <c r="BJ151" t="s" s="0">
        <v>3692</v>
      </c>
      <c r="BK151" t="s" s="299">
        <f>HYPERLINK("http://dx.doi.org/10.1007/s10916-025-02207-x","http://dx.doi.org/10.1007/s10916-025-02207-x")</f>
        <v>3693</v>
      </c>
      <c r="BL151" t="s" s="0">
        <v>82</v>
      </c>
      <c r="BM151" t="s" s="0">
        <v>82</v>
      </c>
      <c r="BN151" t="s" s="0">
        <v>342</v>
      </c>
      <c r="BO151" t="s" s="0">
        <v>213</v>
      </c>
      <c r="BP151" t="s" s="0">
        <v>213</v>
      </c>
      <c r="BQ151" t="s" s="0">
        <v>3694</v>
      </c>
      <c r="BR151" t="s" s="0">
        <v>3695</v>
      </c>
      <c r="BS151" t="s" s="0">
        <v>3696</v>
      </c>
      <c r="BT151" t="s" s="300">
        <f>HYPERLINK("https://www.webofscience.com/wos/woscc/full-record/WOS:001501706500001","View Record in Web of Science")</f>
        <v>118</v>
      </c>
      <c r="BU151" t="s" s="0">
        <v>152</v>
      </c>
      <c r="BV151" t="s" s="0">
        <v>82</v>
      </c>
      <c r="BW151" t="s" s="0">
        <v>82</v>
      </c>
      <c r="BX151" t="s" s="0">
        <v>119</v>
      </c>
    </row>
    <row r="152">
      <c r="A152" t="s" s="0">
        <v>77</v>
      </c>
      <c r="B152" t="s" s="0">
        <v>77</v>
      </c>
      <c r="C152" t="s" s="0">
        <v>77</v>
      </c>
      <c r="D152" t="s" s="0">
        <v>77</v>
      </c>
      <c r="E152" t="s" s="0">
        <v>3697</v>
      </c>
      <c r="F152" t="s" s="0">
        <v>3698</v>
      </c>
      <c r="G152" t="s" s="0">
        <v>3699</v>
      </c>
      <c r="H152" t="s" s="0">
        <v>82</v>
      </c>
      <c r="I152" t="s" s="0">
        <v>83</v>
      </c>
      <c r="J152" t="s" s="0">
        <v>3700</v>
      </c>
      <c r="K152" t="s" s="0">
        <v>3701</v>
      </c>
      <c r="L152" t="s" s="0">
        <v>3702</v>
      </c>
      <c r="M152" t="s" s="0">
        <v>3703</v>
      </c>
      <c r="N152" t="s" s="0">
        <v>3704</v>
      </c>
      <c r="O152" t="s" s="0">
        <v>3705</v>
      </c>
      <c r="P152" t="s" s="0">
        <v>3706</v>
      </c>
      <c r="Q152" t="s" s="0">
        <v>88</v>
      </c>
      <c r="R152" t="s" s="0">
        <v>82</v>
      </c>
      <c r="S152" t="s" s="0">
        <v>82</v>
      </c>
      <c r="T152" t="s" s="0">
        <v>82</v>
      </c>
      <c r="U152" t="s" s="0">
        <v>82</v>
      </c>
      <c r="V152" t="s" s="0">
        <v>3707</v>
      </c>
      <c r="W152" t="s" s="0">
        <v>1490</v>
      </c>
      <c r="X152" t="s" s="0">
        <v>82</v>
      </c>
      <c r="Y152" t="s" s="0">
        <v>82</v>
      </c>
      <c r="Z152" t="s" s="0">
        <v>91</v>
      </c>
      <c r="AA152" t="s" s="0">
        <v>92</v>
      </c>
      <c r="AB152" t="s" s="0">
        <v>82</v>
      </c>
      <c r="AC152" t="s" s="0">
        <v>82</v>
      </c>
      <c r="AD152" t="s" s="0">
        <v>82</v>
      </c>
      <c r="AE152" t="s" s="0">
        <v>82</v>
      </c>
      <c r="AF152" t="s" s="0">
        <v>82</v>
      </c>
      <c r="AG152" t="s" s="0">
        <v>3708</v>
      </c>
      <c r="AH152" t="s" s="0">
        <v>82</v>
      </c>
      <c r="AI152" t="s" s="0">
        <v>3709</v>
      </c>
      <c r="AJ152" t="s" s="0">
        <v>3710</v>
      </c>
      <c r="AK152" t="s" s="0">
        <v>82</v>
      </c>
      <c r="AL152" t="s" s="0">
        <v>2267</v>
      </c>
      <c r="AM152" t="s" s="0">
        <v>78</v>
      </c>
      <c r="AN152" t="s" s="0">
        <v>78</v>
      </c>
      <c r="AO152" t="s" s="0">
        <v>78</v>
      </c>
      <c r="AP152" t="s" s="0">
        <v>132</v>
      </c>
      <c r="AQ152" t="s" s="0">
        <v>170</v>
      </c>
      <c r="AR152" t="s" s="0">
        <v>171</v>
      </c>
      <c r="AS152" t="s" s="0">
        <v>172</v>
      </c>
      <c r="AT152" t="s" s="0">
        <v>82</v>
      </c>
      <c r="AU152" t="s" s="0">
        <v>1494</v>
      </c>
      <c r="AV152" t="s" s="0">
        <v>82</v>
      </c>
      <c r="AW152" t="s" s="0">
        <v>1495</v>
      </c>
      <c r="AX152" t="s" s="0">
        <v>1496</v>
      </c>
      <c r="AY152" t="s" s="0">
        <v>3711</v>
      </c>
      <c r="AZ152" t="s" s="0">
        <v>107</v>
      </c>
      <c r="BA152" t="s" s="0">
        <v>176</v>
      </c>
      <c r="BB152" t="s" s="0">
        <v>425</v>
      </c>
      <c r="BC152" t="s" s="0">
        <v>82</v>
      </c>
      <c r="BD152" t="s" s="0">
        <v>82</v>
      </c>
      <c r="BE152" t="s" s="0">
        <v>82</v>
      </c>
      <c r="BF152" t="s" s="0">
        <v>82</v>
      </c>
      <c r="BG152" t="s" s="0">
        <v>82</v>
      </c>
      <c r="BH152" t="s" s="0">
        <v>82</v>
      </c>
      <c r="BI152" t="s" s="0">
        <v>3712</v>
      </c>
      <c r="BJ152" t="s" s="0">
        <v>3713</v>
      </c>
      <c r="BK152" t="s" s="301">
        <f>HYPERLINK("http://dx.doi.org/10.3390/app15137134","http://dx.doi.org/10.3390/app15137134")</f>
        <v>3714</v>
      </c>
      <c r="BL152" t="s" s="0">
        <v>82</v>
      </c>
      <c r="BM152" t="s" s="0">
        <v>82</v>
      </c>
      <c r="BN152" t="s" s="0">
        <v>212</v>
      </c>
      <c r="BO152" t="s" s="0">
        <v>1501</v>
      </c>
      <c r="BP152" t="s" s="0">
        <v>1502</v>
      </c>
      <c r="BQ152" t="s" s="0">
        <v>3715</v>
      </c>
      <c r="BR152" t="s" s="0">
        <v>82</v>
      </c>
      <c r="BS152" t="s" s="0">
        <v>3716</v>
      </c>
      <c r="BT152" t="s" s="302">
        <f>HYPERLINK("https://www.webofscience.com/wos/woscc/full-record/WOS:001526204800001","View Record in Web of Science")</f>
        <v>118</v>
      </c>
      <c r="BU152" t="s" s="0">
        <v>187</v>
      </c>
      <c r="BV152" t="s" s="0">
        <v>82</v>
      </c>
      <c r="BW152" t="s" s="0">
        <v>82</v>
      </c>
      <c r="BX152" t="s" s="0">
        <v>119</v>
      </c>
    </row>
    <row r="153">
      <c r="A153" t="s" s="0">
        <v>229</v>
      </c>
      <c r="B153" t="s" s="0">
        <v>77</v>
      </c>
      <c r="C153" t="s" s="0">
        <v>264</v>
      </c>
      <c r="D153" t="s" s="0">
        <v>77</v>
      </c>
      <c r="E153" t="s" s="0">
        <v>3717</v>
      </c>
      <c r="F153" t="s" s="0">
        <v>3718</v>
      </c>
      <c r="G153" t="s" s="0">
        <v>3719</v>
      </c>
      <c r="H153" t="s" s="0">
        <v>82</v>
      </c>
      <c r="I153" t="s" s="0">
        <v>595</v>
      </c>
      <c r="J153" t="s" s="0">
        <v>3720</v>
      </c>
      <c r="K153" t="s" s="0">
        <v>3721</v>
      </c>
      <c r="L153" t="s" s="0">
        <v>3722</v>
      </c>
      <c r="M153" t="s" s="0">
        <v>3722</v>
      </c>
      <c r="N153" t="s" s="0">
        <v>3723</v>
      </c>
      <c r="O153" t="s" s="0">
        <v>3724</v>
      </c>
      <c r="P153" t="s" s="0">
        <v>3725</v>
      </c>
      <c r="Q153" t="s" s="0">
        <v>88</v>
      </c>
      <c r="R153" t="s" s="0">
        <v>82</v>
      </c>
      <c r="S153" t="s" s="0">
        <v>82</v>
      </c>
      <c r="T153" t="s" s="0">
        <v>82</v>
      </c>
      <c r="U153" t="s" s="0">
        <v>82</v>
      </c>
      <c r="V153" t="s" s="0">
        <v>3726</v>
      </c>
      <c r="W153" t="s" s="0">
        <v>3727</v>
      </c>
      <c r="X153" t="s" s="0">
        <v>82</v>
      </c>
      <c r="Y153" t="s" s="0">
        <v>82</v>
      </c>
      <c r="Z153" t="s" s="0">
        <v>91</v>
      </c>
      <c r="AA153" t="s" s="0">
        <v>92</v>
      </c>
      <c r="AB153" t="s" s="0">
        <v>82</v>
      </c>
      <c r="AC153" t="s" s="0">
        <v>82</v>
      </c>
      <c r="AD153" t="s" s="0">
        <v>82</v>
      </c>
      <c r="AE153" t="s" s="0">
        <v>82</v>
      </c>
      <c r="AF153" t="s" s="0">
        <v>82</v>
      </c>
      <c r="AG153" t="s" s="0">
        <v>3728</v>
      </c>
      <c r="AH153" t="s" s="0">
        <v>3729</v>
      </c>
      <c r="AI153" t="s" s="0">
        <v>82</v>
      </c>
      <c r="AJ153" t="s" s="0">
        <v>3730</v>
      </c>
      <c r="AK153" t="s" s="0">
        <v>82</v>
      </c>
      <c r="AL153" t="s" s="0">
        <v>1257</v>
      </c>
      <c r="AM153" t="s" s="0">
        <v>1369</v>
      </c>
      <c r="AN153" t="s" s="0">
        <v>887</v>
      </c>
      <c r="AO153" t="s" s="0">
        <v>78</v>
      </c>
      <c r="AP153" t="s" s="0">
        <v>181</v>
      </c>
      <c r="AQ153" t="s" s="0">
        <v>3731</v>
      </c>
      <c r="AR153" t="s" s="0">
        <v>739</v>
      </c>
      <c r="AS153" t="s" s="0">
        <v>3732</v>
      </c>
      <c r="AT153" t="s" s="0">
        <v>82</v>
      </c>
      <c r="AU153" t="s" s="0">
        <v>3733</v>
      </c>
      <c r="AV153" t="s" s="0">
        <v>82</v>
      </c>
      <c r="AW153" t="s" s="0">
        <v>3734</v>
      </c>
      <c r="AX153" t="s" s="0">
        <v>3735</v>
      </c>
      <c r="AY153" t="s" s="0">
        <v>1921</v>
      </c>
      <c r="AZ153" t="s" s="0">
        <v>341</v>
      </c>
      <c r="BA153" t="s" s="0">
        <v>244</v>
      </c>
      <c r="BB153" t="s" s="0">
        <v>78</v>
      </c>
      <c r="BC153" t="s" s="0">
        <v>82</v>
      </c>
      <c r="BD153" t="s" s="0">
        <v>82</v>
      </c>
      <c r="BE153" t="s" s="0">
        <v>82</v>
      </c>
      <c r="BF153" t="s" s="0">
        <v>82</v>
      </c>
      <c r="BG153" t="s" s="0">
        <v>82</v>
      </c>
      <c r="BH153" t="s" s="0">
        <v>82</v>
      </c>
      <c r="BI153" t="s" s="0">
        <v>659</v>
      </c>
      <c r="BJ153" t="s" s="0">
        <v>3736</v>
      </c>
      <c r="BK153" t="s" s="303">
        <f>HYPERLINK("http://dx.doi.org/10.1145/3659604","http://dx.doi.org/10.1145/3659604")</f>
        <v>3737</v>
      </c>
      <c r="BL153" t="s" s="0">
        <v>82</v>
      </c>
      <c r="BM153" t="s" s="0">
        <v>82</v>
      </c>
      <c r="BN153" t="s" s="0">
        <v>1068</v>
      </c>
      <c r="BO153" t="s" s="0">
        <v>3738</v>
      </c>
      <c r="BP153" t="s" s="0">
        <v>3739</v>
      </c>
      <c r="BQ153" t="s" s="0">
        <v>3740</v>
      </c>
      <c r="BR153" t="s" s="0">
        <v>82</v>
      </c>
      <c r="BS153" t="s" s="0">
        <v>3741</v>
      </c>
      <c r="BT153" t="s" s="304">
        <f>HYPERLINK("https://www.webofscience.com/wos/woscc/full-record/WOS:001229316000015","View Record in Web of Science")</f>
        <v>118</v>
      </c>
      <c r="BU153" t="s" s="0">
        <v>538</v>
      </c>
      <c r="BV153" t="s" s="0">
        <v>82</v>
      </c>
      <c r="BW153" t="s" s="0">
        <v>82</v>
      </c>
      <c r="BX153" t="s" s="0">
        <v>119</v>
      </c>
    </row>
    <row r="154">
      <c r="A154" t="s" s="0">
        <v>77</v>
      </c>
      <c r="B154" t="s" s="0">
        <v>77</v>
      </c>
      <c r="C154" t="s" s="0">
        <v>77</v>
      </c>
      <c r="D154" t="s" s="0">
        <v>77</v>
      </c>
      <c r="E154" t="s" s="0">
        <v>3742</v>
      </c>
      <c r="F154" t="s" s="0">
        <v>3743</v>
      </c>
      <c r="G154" t="s" s="0">
        <v>3744</v>
      </c>
      <c r="H154" t="s" s="0">
        <v>82</v>
      </c>
      <c r="I154" t="s" s="0">
        <v>83</v>
      </c>
      <c r="J154" t="s" s="0">
        <v>3745</v>
      </c>
      <c r="K154" t="s" s="0">
        <v>3746</v>
      </c>
      <c r="L154" t="s" s="0">
        <v>82</v>
      </c>
      <c r="M154" t="s" s="0">
        <v>82</v>
      </c>
      <c r="N154" t="s" s="0">
        <v>82</v>
      </c>
      <c r="O154" t="s" s="0">
        <v>3747</v>
      </c>
      <c r="P154" t="s" s="0">
        <v>82</v>
      </c>
      <c r="Q154" t="s" s="0">
        <v>88</v>
      </c>
      <c r="R154" t="s" s="0">
        <v>82</v>
      </c>
      <c r="S154" t="s" s="0">
        <v>82</v>
      </c>
      <c r="T154" t="s" s="0">
        <v>82</v>
      </c>
      <c r="U154" t="s" s="0">
        <v>82</v>
      </c>
      <c r="V154" t="s" s="0">
        <v>3748</v>
      </c>
      <c r="W154" t="s" s="0">
        <v>3749</v>
      </c>
      <c r="X154" t="s" s="0">
        <v>82</v>
      </c>
      <c r="Y154" t="s" s="0">
        <v>82</v>
      </c>
      <c r="Z154" t="s" s="0">
        <v>91</v>
      </c>
      <c r="AA154" t="s" s="0">
        <v>92</v>
      </c>
      <c r="AB154" t="s" s="0">
        <v>82</v>
      </c>
      <c r="AC154" t="s" s="0">
        <v>82</v>
      </c>
      <c r="AD154" t="s" s="0">
        <v>82</v>
      </c>
      <c r="AE154" t="s" s="0">
        <v>82</v>
      </c>
      <c r="AF154" t="s" s="0">
        <v>82</v>
      </c>
      <c r="AG154" t="s" s="0">
        <v>3750</v>
      </c>
      <c r="AH154" t="s" s="0">
        <v>3751</v>
      </c>
      <c r="AI154" t="s" s="0">
        <v>3752</v>
      </c>
      <c r="AJ154" t="s" s="0">
        <v>82</v>
      </c>
      <c r="AK154" t="s" s="0">
        <v>82</v>
      </c>
      <c r="AL154" t="s" s="0">
        <v>1068</v>
      </c>
      <c r="AM154" t="s" s="0">
        <v>78</v>
      </c>
      <c r="AN154" t="s" s="0">
        <v>78</v>
      </c>
      <c r="AO154" t="s" s="0">
        <v>229</v>
      </c>
      <c r="AP154" t="s" s="0">
        <v>229</v>
      </c>
      <c r="AQ154" t="s" s="0">
        <v>3117</v>
      </c>
      <c r="AR154" t="s" s="0">
        <v>3118</v>
      </c>
      <c r="AS154" t="s" s="0">
        <v>3119</v>
      </c>
      <c r="AT154" t="s" s="0">
        <v>3753</v>
      </c>
      <c r="AU154" t="s" s="0">
        <v>3754</v>
      </c>
      <c r="AV154" t="s" s="0">
        <v>82</v>
      </c>
      <c r="AW154" t="s" s="0">
        <v>3755</v>
      </c>
      <c r="AX154" t="s" s="0">
        <v>3756</v>
      </c>
      <c r="AY154" t="s" s="0">
        <v>3757</v>
      </c>
      <c r="AZ154" t="s" s="0">
        <v>141</v>
      </c>
      <c r="BA154" t="s" s="0">
        <v>949</v>
      </c>
      <c r="BB154" t="s" s="0">
        <v>169</v>
      </c>
      <c r="BC154" t="s" s="0">
        <v>82</v>
      </c>
      <c r="BD154" t="s" s="0">
        <v>82</v>
      </c>
      <c r="BE154" t="s" s="0">
        <v>82</v>
      </c>
      <c r="BF154" t="s" s="0">
        <v>82</v>
      </c>
      <c r="BG154" t="s" s="0">
        <v>82</v>
      </c>
      <c r="BH154" t="s" s="0">
        <v>82</v>
      </c>
      <c r="BI154" t="s" s="0">
        <v>3691</v>
      </c>
      <c r="BJ154" t="s" s="0">
        <v>3758</v>
      </c>
      <c r="BK154" t="s" s="305">
        <f>HYPERLINK("http://dx.doi.org/10.1007/s00296-026-06103-6","http://dx.doi.org/10.1007/s00296-026-06103-6")</f>
        <v>3759</v>
      </c>
      <c r="BL154" t="s" s="0">
        <v>82</v>
      </c>
      <c r="BM154" t="s" s="0">
        <v>82</v>
      </c>
      <c r="BN154" t="s" s="0">
        <v>239</v>
      </c>
      <c r="BO154" t="s" s="0">
        <v>3434</v>
      </c>
      <c r="BP154" t="s" s="0">
        <v>3434</v>
      </c>
      <c r="BQ154" t="s" s="0">
        <v>3760</v>
      </c>
      <c r="BR154" t="s" s="0">
        <v>3761</v>
      </c>
      <c r="BS154" t="s" s="0">
        <v>3762</v>
      </c>
      <c r="BT154" t="s" s="306">
        <f>HYPERLINK("https://www.webofscience.com/wos/woscc/full-record/WOS:001733081600004","View Record in Web of Science")</f>
        <v>118</v>
      </c>
      <c r="BU154" t="s" s="0">
        <v>82</v>
      </c>
      <c r="BV154" t="s" s="0">
        <v>82</v>
      </c>
      <c r="BW154" t="s" s="0">
        <v>82</v>
      </c>
      <c r="BX154" t="s" s="0">
        <v>119</v>
      </c>
    </row>
    <row r="155">
      <c r="A155" t="s" s="0">
        <v>77</v>
      </c>
      <c r="B155" t="s" s="0">
        <v>77</v>
      </c>
      <c r="C155" t="s" s="0">
        <v>77</v>
      </c>
      <c r="D155" t="s" s="0">
        <v>77</v>
      </c>
      <c r="E155" t="s" s="0">
        <v>3763</v>
      </c>
      <c r="F155" t="s" s="0">
        <v>3764</v>
      </c>
      <c r="G155" t="s" s="0">
        <v>3765</v>
      </c>
      <c r="H155" t="s" s="0">
        <v>82</v>
      </c>
      <c r="I155" t="s" s="0">
        <v>83</v>
      </c>
      <c r="J155" t="s" s="0">
        <v>3766</v>
      </c>
      <c r="K155" t="s" s="0">
        <v>3767</v>
      </c>
      <c r="L155" t="s" s="0">
        <v>3768</v>
      </c>
      <c r="M155" t="s" s="0">
        <v>3769</v>
      </c>
      <c r="N155" t="s" s="0">
        <v>3770</v>
      </c>
      <c r="O155" t="s" s="0">
        <v>3771</v>
      </c>
      <c r="P155" t="s" s="0">
        <v>3772</v>
      </c>
      <c r="Q155" t="s" s="0">
        <v>88</v>
      </c>
      <c r="R155" t="s" s="0">
        <v>82</v>
      </c>
      <c r="S155" t="s" s="0">
        <v>82</v>
      </c>
      <c r="T155" t="s" s="0">
        <v>82</v>
      </c>
      <c r="U155" t="s" s="0">
        <v>82</v>
      </c>
      <c r="V155" t="s" s="0">
        <v>3773</v>
      </c>
      <c r="W155" t="s" s="0">
        <v>3774</v>
      </c>
      <c r="X155" t="s" s="0">
        <v>82</v>
      </c>
      <c r="Y155" t="s" s="0">
        <v>82</v>
      </c>
      <c r="Z155" t="s" s="0">
        <v>91</v>
      </c>
      <c r="AA155" t="s" s="0">
        <v>92</v>
      </c>
      <c r="AB155" t="s" s="0">
        <v>82</v>
      </c>
      <c r="AC155" t="s" s="0">
        <v>82</v>
      </c>
      <c r="AD155" t="s" s="0">
        <v>82</v>
      </c>
      <c r="AE155" t="s" s="0">
        <v>82</v>
      </c>
      <c r="AF155" t="s" s="0">
        <v>82</v>
      </c>
      <c r="AG155" t="s" s="0">
        <v>3775</v>
      </c>
      <c r="AH155" t="s" s="0">
        <v>3776</v>
      </c>
      <c r="AI155" t="s" s="0">
        <v>3777</v>
      </c>
      <c r="AJ155" t="s" s="0">
        <v>82</v>
      </c>
      <c r="AK155" t="s" s="0">
        <v>82</v>
      </c>
      <c r="AL155" t="s" s="0">
        <v>2626</v>
      </c>
      <c r="AM155" t="s" s="0">
        <v>229</v>
      </c>
      <c r="AN155" t="s" s="0">
        <v>229</v>
      </c>
      <c r="AO155" t="s" s="0">
        <v>176</v>
      </c>
      <c r="AP155" t="s" s="0">
        <v>332</v>
      </c>
      <c r="AQ155" t="s" s="0">
        <v>1026</v>
      </c>
      <c r="AR155" t="s" s="0">
        <v>1027</v>
      </c>
      <c r="AS155" t="s" s="0">
        <v>1028</v>
      </c>
      <c r="AT155" t="s" s="0">
        <v>3778</v>
      </c>
      <c r="AU155" t="s" s="0">
        <v>3779</v>
      </c>
      <c r="AV155" t="s" s="0">
        <v>82</v>
      </c>
      <c r="AW155" t="s" s="0">
        <v>3780</v>
      </c>
      <c r="AX155" t="s" s="0">
        <v>3781</v>
      </c>
      <c r="AY155" t="s" s="0">
        <v>3782</v>
      </c>
      <c r="AZ155" t="s" s="0">
        <v>141</v>
      </c>
      <c r="BA155" t="s" s="0">
        <v>3783</v>
      </c>
      <c r="BB155" t="s" s="0">
        <v>82</v>
      </c>
      <c r="BC155" t="s" s="0">
        <v>82</v>
      </c>
      <c r="BD155" t="s" s="0">
        <v>82</v>
      </c>
      <c r="BE155" t="s" s="0">
        <v>82</v>
      </c>
      <c r="BF155" t="s" s="0">
        <v>82</v>
      </c>
      <c r="BG155" t="s" s="0">
        <v>82</v>
      </c>
      <c r="BH155" t="s" s="0">
        <v>82</v>
      </c>
      <c r="BI155" t="s" s="0">
        <v>3784</v>
      </c>
      <c r="BJ155" t="s" s="0">
        <v>3785</v>
      </c>
      <c r="BK155" t="s" s="307">
        <f>HYPERLINK("http://dx.doi.org/10.1016/j.buildenv.2025.114056","http://dx.doi.org/10.1016/j.buildenv.2025.114056")</f>
        <v>3786</v>
      </c>
      <c r="BL155" t="s" s="0">
        <v>82</v>
      </c>
      <c r="BM155" t="s" s="0">
        <v>302</v>
      </c>
      <c r="BN155" t="s" s="0">
        <v>132</v>
      </c>
      <c r="BO155" t="s" s="0">
        <v>3787</v>
      </c>
      <c r="BP155" t="s" s="0">
        <v>2587</v>
      </c>
      <c r="BQ155" t="s" s="0">
        <v>3788</v>
      </c>
      <c r="BR155" t="s" s="0">
        <v>82</v>
      </c>
      <c r="BS155" t="s" s="0">
        <v>3789</v>
      </c>
      <c r="BT155" t="s" s="308">
        <f>HYPERLINK("https://www.webofscience.com/wos/woscc/full-record/WOS:001635231800001","View Record in Web of Science")</f>
        <v>118</v>
      </c>
      <c r="BU155" t="s" s="0">
        <v>82</v>
      </c>
      <c r="BV155" t="s" s="0">
        <v>82</v>
      </c>
      <c r="BW155" t="s" s="0">
        <v>82</v>
      </c>
      <c r="BX155" t="s" s="0">
        <v>119</v>
      </c>
    </row>
    <row r="156">
      <c r="A156" t="s" s="0">
        <v>77</v>
      </c>
      <c r="B156" t="s" s="0">
        <v>77</v>
      </c>
      <c r="C156" t="s" s="0">
        <v>77</v>
      </c>
      <c r="D156" t="s" s="0">
        <v>77</v>
      </c>
      <c r="E156" t="s" s="0">
        <v>3790</v>
      </c>
      <c r="F156" t="s" s="0">
        <v>3791</v>
      </c>
      <c r="G156" t="s" s="0">
        <v>3792</v>
      </c>
      <c r="H156" t="s" s="0">
        <v>82</v>
      </c>
      <c r="I156" t="s" s="0">
        <v>83</v>
      </c>
      <c r="J156" t="s" s="0">
        <v>3793</v>
      </c>
      <c r="K156" t="s" s="0">
        <v>3794</v>
      </c>
      <c r="L156" t="s" s="0">
        <v>3795</v>
      </c>
      <c r="M156" t="s" s="0">
        <v>3796</v>
      </c>
      <c r="N156" t="s" s="0">
        <v>3797</v>
      </c>
      <c r="O156" t="s" s="0">
        <v>3798</v>
      </c>
      <c r="P156" t="s" s="0">
        <v>3799</v>
      </c>
      <c r="Q156" t="s" s="0">
        <v>88</v>
      </c>
      <c r="R156" t="s" s="0">
        <v>82</v>
      </c>
      <c r="S156" t="s" s="0">
        <v>82</v>
      </c>
      <c r="T156" t="s" s="0">
        <v>82</v>
      </c>
      <c r="U156" t="s" s="0">
        <v>82</v>
      </c>
      <c r="V156" t="s" s="0">
        <v>3800</v>
      </c>
      <c r="W156" t="s" s="0">
        <v>3801</v>
      </c>
      <c r="X156" t="s" s="0">
        <v>82</v>
      </c>
      <c r="Y156" t="s" s="0">
        <v>82</v>
      </c>
      <c r="Z156" t="s" s="0">
        <v>91</v>
      </c>
      <c r="AA156" t="s" s="0">
        <v>92</v>
      </c>
      <c r="AB156" t="s" s="0">
        <v>82</v>
      </c>
      <c r="AC156" t="s" s="0">
        <v>82</v>
      </c>
      <c r="AD156" t="s" s="0">
        <v>82</v>
      </c>
      <c r="AE156" t="s" s="0">
        <v>82</v>
      </c>
      <c r="AF156" t="s" s="0">
        <v>82</v>
      </c>
      <c r="AG156" t="s" s="0">
        <v>3802</v>
      </c>
      <c r="AH156" t="s" s="0">
        <v>82</v>
      </c>
      <c r="AI156" t="s" s="0">
        <v>3803</v>
      </c>
      <c r="AJ156" t="s" s="0">
        <v>3804</v>
      </c>
      <c r="AK156" t="s" s="0">
        <v>82</v>
      </c>
      <c r="AL156" t="s" s="0">
        <v>97</v>
      </c>
      <c r="AM156" t="s" s="0">
        <v>77</v>
      </c>
      <c r="AN156" t="s" s="0">
        <v>229</v>
      </c>
      <c r="AO156" t="s" s="0">
        <v>264</v>
      </c>
      <c r="AP156" t="s" s="0">
        <v>169</v>
      </c>
      <c r="AQ156" t="s" s="0">
        <v>1582</v>
      </c>
      <c r="AR156" t="s" s="0">
        <v>632</v>
      </c>
      <c r="AS156" t="s" s="0">
        <v>1583</v>
      </c>
      <c r="AT156" t="s" s="0">
        <v>3805</v>
      </c>
      <c r="AU156" t="s" s="0">
        <v>3806</v>
      </c>
      <c r="AV156" t="s" s="0">
        <v>82</v>
      </c>
      <c r="AW156" t="s" s="0">
        <v>3807</v>
      </c>
      <c r="AX156" t="s" s="0">
        <v>3808</v>
      </c>
      <c r="AY156" t="s" s="0">
        <v>745</v>
      </c>
      <c r="AZ156" t="s" s="0">
        <v>141</v>
      </c>
      <c r="BA156" t="s" s="0">
        <v>3809</v>
      </c>
      <c r="BB156" t="s" s="0">
        <v>78</v>
      </c>
      <c r="BC156" t="s" s="0">
        <v>82</v>
      </c>
      <c r="BD156" t="s" s="0">
        <v>82</v>
      </c>
      <c r="BE156" t="s" s="0">
        <v>82</v>
      </c>
      <c r="BF156" t="s" s="0">
        <v>82</v>
      </c>
      <c r="BG156" t="s" s="0">
        <v>3810</v>
      </c>
      <c r="BH156" t="s" s="0">
        <v>3811</v>
      </c>
      <c r="BI156" t="s" s="0">
        <v>82</v>
      </c>
      <c r="BJ156" t="s" s="0">
        <v>3812</v>
      </c>
      <c r="BK156" t="s" s="309">
        <f>HYPERLINK("http://dx.doi.org/10.1097/JS9.0000000000004022","http://dx.doi.org/10.1097/JS9.0000000000004022")</f>
        <v>3813</v>
      </c>
      <c r="BL156" t="s" s="0">
        <v>82</v>
      </c>
      <c r="BM156" t="s" s="0">
        <v>82</v>
      </c>
      <c r="BN156" t="s" s="0">
        <v>244</v>
      </c>
      <c r="BO156" t="s" s="0">
        <v>3814</v>
      </c>
      <c r="BP156" t="s" s="0">
        <v>3814</v>
      </c>
      <c r="BQ156" t="s" s="0">
        <v>3815</v>
      </c>
      <c r="BR156" t="s" s="0">
        <v>3816</v>
      </c>
      <c r="BS156" t="s" s="0">
        <v>3817</v>
      </c>
      <c r="BT156" t="s" s="310">
        <f>HYPERLINK("https://www.webofscience.com/wos/woscc/full-record/WOS:001711369700014","View Record in Web of Science")</f>
        <v>118</v>
      </c>
      <c r="BU156" t="s" s="0">
        <v>538</v>
      </c>
      <c r="BV156" t="s" s="0">
        <v>82</v>
      </c>
      <c r="BW156" t="s" s="0">
        <v>82</v>
      </c>
      <c r="BX156" t="s" s="0">
        <v>119</v>
      </c>
    </row>
    <row r="157">
      <c r="A157" t="s" s="0">
        <v>77</v>
      </c>
      <c r="B157" t="s" s="0">
        <v>77</v>
      </c>
      <c r="C157" t="s" s="0">
        <v>77</v>
      </c>
      <c r="D157" t="s" s="0">
        <v>77</v>
      </c>
      <c r="E157" t="s" s="0">
        <v>3818</v>
      </c>
      <c r="F157" t="s" s="0">
        <v>3819</v>
      </c>
      <c r="G157" t="s" s="0">
        <v>3820</v>
      </c>
      <c r="H157" t="s" s="0">
        <v>82</v>
      </c>
      <c r="I157" t="s" s="0">
        <v>83</v>
      </c>
      <c r="J157" t="s" s="0">
        <v>3821</v>
      </c>
      <c r="K157" t="s" s="0">
        <v>3822</v>
      </c>
      <c r="L157" t="s" s="0">
        <v>82</v>
      </c>
      <c r="M157" t="s" s="0">
        <v>82</v>
      </c>
      <c r="N157" t="s" s="0">
        <v>82</v>
      </c>
      <c r="O157" t="s" s="0">
        <v>3823</v>
      </c>
      <c r="P157" t="s" s="0">
        <v>3824</v>
      </c>
      <c r="Q157" t="s" s="0">
        <v>88</v>
      </c>
      <c r="R157" t="s" s="0">
        <v>82</v>
      </c>
      <c r="S157" t="s" s="0">
        <v>82</v>
      </c>
      <c r="T157" t="s" s="0">
        <v>82</v>
      </c>
      <c r="U157" t="s" s="0">
        <v>82</v>
      </c>
      <c r="V157" t="s" s="0">
        <v>3825</v>
      </c>
      <c r="W157" t="s" s="0">
        <v>2730</v>
      </c>
      <c r="X157" t="s" s="0">
        <v>82</v>
      </c>
      <c r="Y157" t="s" s="0">
        <v>82</v>
      </c>
      <c r="Z157" t="s" s="0">
        <v>91</v>
      </c>
      <c r="AA157" t="s" s="0">
        <v>92</v>
      </c>
      <c r="AB157" t="s" s="0">
        <v>82</v>
      </c>
      <c r="AC157" t="s" s="0">
        <v>82</v>
      </c>
      <c r="AD157" t="s" s="0">
        <v>82</v>
      </c>
      <c r="AE157" t="s" s="0">
        <v>82</v>
      </c>
      <c r="AF157" t="s" s="0">
        <v>82</v>
      </c>
      <c r="AG157" t="s" s="0">
        <v>3826</v>
      </c>
      <c r="AH157" t="s" s="0">
        <v>82</v>
      </c>
      <c r="AI157" t="s" s="0">
        <v>82</v>
      </c>
      <c r="AJ157" t="s" s="0">
        <v>82</v>
      </c>
      <c r="AK157" t="s" s="0">
        <v>82</v>
      </c>
      <c r="AL157" t="s" s="0">
        <v>583</v>
      </c>
      <c r="AM157" t="s" s="0">
        <v>77</v>
      </c>
      <c r="AN157" t="s" s="0">
        <v>77</v>
      </c>
      <c r="AO157" t="s" s="0">
        <v>77</v>
      </c>
      <c r="AP157" t="s" s="0">
        <v>77</v>
      </c>
      <c r="AQ157" t="s" s="0">
        <v>170</v>
      </c>
      <c r="AR157" t="s" s="0">
        <v>171</v>
      </c>
      <c r="AS157" t="s" s="0">
        <v>172</v>
      </c>
      <c r="AT157" t="s" s="0">
        <v>2732</v>
      </c>
      <c r="AU157" t="s" s="0">
        <v>82</v>
      </c>
      <c r="AV157" t="s" s="0">
        <v>82</v>
      </c>
      <c r="AW157" t="s" s="0">
        <v>2733</v>
      </c>
      <c r="AX157" t="s" s="0">
        <v>2734</v>
      </c>
      <c r="AY157" t="s" s="0">
        <v>3827</v>
      </c>
      <c r="AZ157" t="s" s="0">
        <v>141</v>
      </c>
      <c r="BA157" t="s" s="0">
        <v>176</v>
      </c>
      <c r="BB157" t="s" s="0">
        <v>277</v>
      </c>
      <c r="BC157" t="s" s="0">
        <v>82</v>
      </c>
      <c r="BD157" t="s" s="0">
        <v>82</v>
      </c>
      <c r="BE157" t="s" s="0">
        <v>82</v>
      </c>
      <c r="BF157" t="s" s="0">
        <v>82</v>
      </c>
      <c r="BG157" t="s" s="0">
        <v>82</v>
      </c>
      <c r="BH157" t="s" s="0">
        <v>82</v>
      </c>
      <c r="BI157" t="s" s="0">
        <v>3828</v>
      </c>
      <c r="BJ157" t="s" s="0">
        <v>3829</v>
      </c>
      <c r="BK157" t="s" s="311">
        <f>HYPERLINK("http://dx.doi.org/10.3390/electronics15112359","http://dx.doi.org/10.3390/electronics15112359")</f>
        <v>3830</v>
      </c>
      <c r="BL157" t="s" s="0">
        <v>82</v>
      </c>
      <c r="BM157" t="s" s="0">
        <v>237</v>
      </c>
      <c r="BN157" t="s" s="0">
        <v>208</v>
      </c>
      <c r="BO157" t="s" s="0">
        <v>2739</v>
      </c>
      <c r="BP157" t="s" s="0">
        <v>2740</v>
      </c>
      <c r="BQ157" t="s" s="0">
        <v>3831</v>
      </c>
      <c r="BR157" t="s" s="0">
        <v>82</v>
      </c>
      <c r="BS157" t="s" s="0">
        <v>3832</v>
      </c>
      <c r="BT157" t="s" s="312">
        <f>HYPERLINK("https://www.webofscience.com/wos/woscc/full-record/WOS:001789904500001","View Record in Web of Science")</f>
        <v>118</v>
      </c>
      <c r="BU157" t="s" s="0">
        <v>1634</v>
      </c>
      <c r="BV157" t="s" s="0">
        <v>82</v>
      </c>
      <c r="BW157" t="s" s="0">
        <v>82</v>
      </c>
      <c r="BX157" t="s" s="0">
        <v>119</v>
      </c>
    </row>
    <row r="158">
      <c r="A158" t="s" s="0">
        <v>77</v>
      </c>
      <c r="B158" t="s" s="0">
        <v>77</v>
      </c>
      <c r="C158" t="s" s="0">
        <v>77</v>
      </c>
      <c r="D158" t="s" s="0">
        <v>77</v>
      </c>
      <c r="E158" t="s" s="0">
        <v>3833</v>
      </c>
      <c r="F158" t="s" s="0">
        <v>3834</v>
      </c>
      <c r="G158" t="s" s="0">
        <v>3835</v>
      </c>
      <c r="H158" t="s" s="0">
        <v>82</v>
      </c>
      <c r="I158" t="s" s="0">
        <v>595</v>
      </c>
      <c r="J158" t="s" s="0">
        <v>3836</v>
      </c>
      <c r="K158" t="s" s="0">
        <v>3837</v>
      </c>
      <c r="L158" t="s" s="0">
        <v>3838</v>
      </c>
      <c r="M158" t="s" s="0">
        <v>3838</v>
      </c>
      <c r="N158" t="s" s="0">
        <v>3839</v>
      </c>
      <c r="O158" t="s" s="0">
        <v>3840</v>
      </c>
      <c r="P158" t="s" s="0">
        <v>3841</v>
      </c>
      <c r="Q158" t="s" s="0">
        <v>88</v>
      </c>
      <c r="R158" t="s" s="0">
        <v>82</v>
      </c>
      <c r="S158" t="s" s="0">
        <v>82</v>
      </c>
      <c r="T158" t="s" s="0">
        <v>82</v>
      </c>
      <c r="U158" t="s" s="0">
        <v>82</v>
      </c>
      <c r="V158" t="s" s="0">
        <v>3842</v>
      </c>
      <c r="W158" t="s" s="0">
        <v>3341</v>
      </c>
      <c r="X158" t="s" s="0">
        <v>82</v>
      </c>
      <c r="Y158" t="s" s="0">
        <v>82</v>
      </c>
      <c r="Z158" t="s" s="0">
        <v>91</v>
      </c>
      <c r="AA158" t="s" s="0">
        <v>92</v>
      </c>
      <c r="AB158" t="s" s="0">
        <v>82</v>
      </c>
      <c r="AC158" t="s" s="0">
        <v>82</v>
      </c>
      <c r="AD158" t="s" s="0">
        <v>82</v>
      </c>
      <c r="AE158" t="s" s="0">
        <v>82</v>
      </c>
      <c r="AF158" t="s" s="0">
        <v>82</v>
      </c>
      <c r="AG158" t="s" s="0">
        <v>3843</v>
      </c>
      <c r="AH158" t="s" s="0">
        <v>3844</v>
      </c>
      <c r="AI158" t="s" s="0">
        <v>3845</v>
      </c>
      <c r="AJ158" t="s" s="0">
        <v>3846</v>
      </c>
      <c r="AK158" t="s" s="0">
        <v>82</v>
      </c>
      <c r="AL158" t="s" s="0">
        <v>3847</v>
      </c>
      <c r="AM158" t="s" s="0">
        <v>229</v>
      </c>
      <c r="AN158" t="s" s="0">
        <v>229</v>
      </c>
      <c r="AO158" t="s" s="0">
        <v>78</v>
      </c>
      <c r="AP158" t="s" s="0">
        <v>264</v>
      </c>
      <c r="AQ158" t="s" s="0">
        <v>200</v>
      </c>
      <c r="AR158" t="s" s="0">
        <v>201</v>
      </c>
      <c r="AS158" t="s" s="0">
        <v>202</v>
      </c>
      <c r="AT158" t="s" s="0">
        <v>82</v>
      </c>
      <c r="AU158" t="s" s="0">
        <v>3344</v>
      </c>
      <c r="AV158" t="s" s="0">
        <v>82</v>
      </c>
      <c r="AW158" t="s" s="0">
        <v>3341</v>
      </c>
      <c r="AX158" t="s" s="0">
        <v>3341</v>
      </c>
      <c r="AY158" t="s" s="0">
        <v>107</v>
      </c>
      <c r="AZ158" t="s" s="0">
        <v>107</v>
      </c>
      <c r="BA158" t="s" s="0">
        <v>169</v>
      </c>
      <c r="BB158" t="s" s="0">
        <v>82</v>
      </c>
      <c r="BC158" t="s" s="0">
        <v>82</v>
      </c>
      <c r="BD158" t="s" s="0">
        <v>82</v>
      </c>
      <c r="BE158" t="s" s="0">
        <v>82</v>
      </c>
      <c r="BF158" t="s" s="0">
        <v>82</v>
      </c>
      <c r="BG158" t="s" s="0">
        <v>82</v>
      </c>
      <c r="BH158" t="s" s="0">
        <v>82</v>
      </c>
      <c r="BI158" t="s" s="0">
        <v>3848</v>
      </c>
      <c r="BJ158" t="s" s="0">
        <v>3849</v>
      </c>
      <c r="BK158" t="s" s="313">
        <f>HYPERLINK("http://dx.doi.org/10.2196/79868","http://dx.doi.org/10.2196/79868")</f>
        <v>3850</v>
      </c>
      <c r="BL158" t="s" s="0">
        <v>82</v>
      </c>
      <c r="BM158" t="s" s="0">
        <v>82</v>
      </c>
      <c r="BN158" t="s" s="0">
        <v>368</v>
      </c>
      <c r="BO158" t="s" s="0">
        <v>213</v>
      </c>
      <c r="BP158" t="s" s="0">
        <v>213</v>
      </c>
      <c r="BQ158" t="s" s="0">
        <v>3851</v>
      </c>
      <c r="BR158" t="s" s="0">
        <v>3852</v>
      </c>
      <c r="BS158" t="s" s="0">
        <v>3853</v>
      </c>
      <c r="BT158" t="s" s="314">
        <f>HYPERLINK("https://www.webofscience.com/wos/woscc/full-record/WOS:001643156800001","View Record in Web of Science")</f>
        <v>118</v>
      </c>
      <c r="BU158" t="s" s="0">
        <v>187</v>
      </c>
      <c r="BV158" t="s" s="0">
        <v>82</v>
      </c>
      <c r="BW158" t="s" s="0">
        <v>82</v>
      </c>
      <c r="BX158" t="s" s="0">
        <v>119</v>
      </c>
    </row>
    <row r="159">
      <c r="A159" t="s" s="0">
        <v>77</v>
      </c>
      <c r="B159" t="s" s="0">
        <v>77</v>
      </c>
      <c r="C159" t="s" s="0">
        <v>229</v>
      </c>
      <c r="D159" t="s" s="0">
        <v>77</v>
      </c>
      <c r="E159" t="s" s="0">
        <v>3854</v>
      </c>
      <c r="F159" t="s" s="0">
        <v>3855</v>
      </c>
      <c r="G159" t="s" s="0">
        <v>3856</v>
      </c>
      <c r="H159" t="s" s="0">
        <v>82</v>
      </c>
      <c r="I159" t="s" s="0">
        <v>83</v>
      </c>
      <c r="J159" t="s" s="0">
        <v>3857</v>
      </c>
      <c r="K159" t="s" s="0">
        <v>3858</v>
      </c>
      <c r="L159" t="s" s="0">
        <v>82</v>
      </c>
      <c r="M159" t="s" s="0">
        <v>82</v>
      </c>
      <c r="N159" t="s" s="0">
        <v>82</v>
      </c>
      <c r="O159" t="s" s="0">
        <v>3859</v>
      </c>
      <c r="P159" t="s" s="0">
        <v>3860</v>
      </c>
      <c r="Q159" t="s" s="0">
        <v>88</v>
      </c>
      <c r="R159" t="s" s="0">
        <v>82</v>
      </c>
      <c r="S159" t="s" s="0">
        <v>82</v>
      </c>
      <c r="T159" t="s" s="0">
        <v>82</v>
      </c>
      <c r="U159" t="s" s="0">
        <v>82</v>
      </c>
      <c r="V159" t="s" s="0">
        <v>3861</v>
      </c>
      <c r="W159" t="s" s="0">
        <v>3319</v>
      </c>
      <c r="X159" t="s" s="0">
        <v>82</v>
      </c>
      <c r="Y159" t="s" s="0">
        <v>82</v>
      </c>
      <c r="Z159" t="s" s="0">
        <v>91</v>
      </c>
      <c r="AA159" t="s" s="0">
        <v>92</v>
      </c>
      <c r="AB159" t="s" s="0">
        <v>82</v>
      </c>
      <c r="AC159" t="s" s="0">
        <v>82</v>
      </c>
      <c r="AD159" t="s" s="0">
        <v>82</v>
      </c>
      <c r="AE159" t="s" s="0">
        <v>82</v>
      </c>
      <c r="AF159" t="s" s="0">
        <v>82</v>
      </c>
      <c r="AG159" t="s" s="0">
        <v>3862</v>
      </c>
      <c r="AH159" t="s" s="0">
        <v>82</v>
      </c>
      <c r="AI159" t="s" s="0">
        <v>3863</v>
      </c>
      <c r="AJ159" t="s" s="0">
        <v>3864</v>
      </c>
      <c r="AK159" t="s" s="0">
        <v>82</v>
      </c>
      <c r="AL159" t="s" s="0">
        <v>949</v>
      </c>
      <c r="AM159" t="s" s="0">
        <v>272</v>
      </c>
      <c r="AN159" t="s" s="0">
        <v>342</v>
      </c>
      <c r="AO159" t="s" s="0">
        <v>277</v>
      </c>
      <c r="AP159" t="s" s="0">
        <v>368</v>
      </c>
      <c r="AQ159" t="s" s="0">
        <v>170</v>
      </c>
      <c r="AR159" t="s" s="0">
        <v>171</v>
      </c>
      <c r="AS159" t="s" s="0">
        <v>172</v>
      </c>
      <c r="AT159" t="s" s="0">
        <v>82</v>
      </c>
      <c r="AU159" t="s" s="0">
        <v>3322</v>
      </c>
      <c r="AV159" t="s" s="0">
        <v>82</v>
      </c>
      <c r="AW159" t="s" s="0">
        <v>3323</v>
      </c>
      <c r="AX159" t="s" s="0">
        <v>3324</v>
      </c>
      <c r="AY159" t="s" s="0">
        <v>3865</v>
      </c>
      <c r="AZ159" t="s" s="0">
        <v>107</v>
      </c>
      <c r="BA159" t="s" s="0">
        <v>132</v>
      </c>
      <c r="BB159" t="s" s="0">
        <v>177</v>
      </c>
      <c r="BC159" t="s" s="0">
        <v>82</v>
      </c>
      <c r="BD159" t="s" s="0">
        <v>82</v>
      </c>
      <c r="BE159" t="s" s="0">
        <v>82</v>
      </c>
      <c r="BF159" t="s" s="0">
        <v>82</v>
      </c>
      <c r="BG159" t="s" s="0">
        <v>82</v>
      </c>
      <c r="BH159" t="s" s="0">
        <v>82</v>
      </c>
      <c r="BI159" t="s" s="0">
        <v>3866</v>
      </c>
      <c r="BJ159" t="s" s="0">
        <v>3867</v>
      </c>
      <c r="BK159" t="s" s="315">
        <f>HYPERLINK("http://dx.doi.org/10.3390/jcm14217482","http://dx.doi.org/10.3390/jcm14217482")</f>
        <v>3868</v>
      </c>
      <c r="BL159" t="s" s="0">
        <v>82</v>
      </c>
      <c r="BM159" t="s" s="0">
        <v>82</v>
      </c>
      <c r="BN159" t="s" s="0">
        <v>368</v>
      </c>
      <c r="BO159" t="s" s="0">
        <v>182</v>
      </c>
      <c r="BP159" t="s" s="0">
        <v>183</v>
      </c>
      <c r="BQ159" t="s" s="0">
        <v>3869</v>
      </c>
      <c r="BR159" t="s" s="0">
        <v>3870</v>
      </c>
      <c r="BS159" t="s" s="0">
        <v>3871</v>
      </c>
      <c r="BT159" t="s" s="316">
        <f>HYPERLINK("https://www.webofscience.com/wos/woscc/full-record/WOS:001615174400001","View Record in Web of Science")</f>
        <v>118</v>
      </c>
      <c r="BU159" t="s" s="0">
        <v>187</v>
      </c>
      <c r="BV159" t="s" s="0">
        <v>82</v>
      </c>
      <c r="BW159" t="s" s="0">
        <v>82</v>
      </c>
      <c r="BX159" t="s" s="0">
        <v>119</v>
      </c>
    </row>
    <row r="160">
      <c r="A160" t="s" s="0">
        <v>77</v>
      </c>
      <c r="B160" t="s" s="0">
        <v>77</v>
      </c>
      <c r="C160" t="s" s="0">
        <v>77</v>
      </c>
      <c r="D160" t="s" s="0">
        <v>77</v>
      </c>
      <c r="E160" t="s" s="0">
        <v>3872</v>
      </c>
      <c r="F160" t="s" s="0">
        <v>3873</v>
      </c>
      <c r="G160" t="s" s="0">
        <v>3874</v>
      </c>
      <c r="H160" t="s" s="0">
        <v>82</v>
      </c>
      <c r="I160" t="s" s="0">
        <v>595</v>
      </c>
      <c r="J160" t="s" s="0">
        <v>3875</v>
      </c>
      <c r="K160" t="s" s="0">
        <v>3876</v>
      </c>
      <c r="L160" t="s" s="0">
        <v>3877</v>
      </c>
      <c r="M160" t="s" s="0">
        <v>3878</v>
      </c>
      <c r="N160" t="s" s="0">
        <v>3879</v>
      </c>
      <c r="O160" t="s" s="0">
        <v>3880</v>
      </c>
      <c r="P160" t="s" s="0">
        <v>3881</v>
      </c>
      <c r="Q160" t="s" s="0">
        <v>88</v>
      </c>
      <c r="R160" t="s" s="0">
        <v>82</v>
      </c>
      <c r="S160" t="s" s="0">
        <v>82</v>
      </c>
      <c r="T160" t="s" s="0">
        <v>82</v>
      </c>
      <c r="U160" t="s" s="0">
        <v>82</v>
      </c>
      <c r="V160" t="s" s="0">
        <v>3882</v>
      </c>
      <c r="W160" t="s" s="0">
        <v>2516</v>
      </c>
      <c r="X160" t="s" s="0">
        <v>82</v>
      </c>
      <c r="Y160" t="s" s="0">
        <v>82</v>
      </c>
      <c r="Z160" t="s" s="0">
        <v>91</v>
      </c>
      <c r="AA160" t="s" s="0">
        <v>92</v>
      </c>
      <c r="AB160" t="s" s="0">
        <v>82</v>
      </c>
      <c r="AC160" t="s" s="0">
        <v>82</v>
      </c>
      <c r="AD160" t="s" s="0">
        <v>82</v>
      </c>
      <c r="AE160" t="s" s="0">
        <v>82</v>
      </c>
      <c r="AF160" t="s" s="0">
        <v>82</v>
      </c>
      <c r="AG160" t="s" s="0">
        <v>82</v>
      </c>
      <c r="AH160" t="s" s="0">
        <v>3883</v>
      </c>
      <c r="AI160" t="s" s="0">
        <v>82</v>
      </c>
      <c r="AJ160" t="s" s="0">
        <v>82</v>
      </c>
      <c r="AK160" t="s" s="0">
        <v>82</v>
      </c>
      <c r="AL160" t="s" s="0">
        <v>2267</v>
      </c>
      <c r="AM160" t="s" s="0">
        <v>229</v>
      </c>
      <c r="AN160" t="s" s="0">
        <v>229</v>
      </c>
      <c r="AO160" t="s" s="0">
        <v>77</v>
      </c>
      <c r="AP160" t="s" s="0">
        <v>77</v>
      </c>
      <c r="AQ160" t="s" s="0">
        <v>2025</v>
      </c>
      <c r="AR160" t="s" s="0">
        <v>605</v>
      </c>
      <c r="AS160" t="s" s="0">
        <v>2105</v>
      </c>
      <c r="AT160" t="s" s="0">
        <v>2518</v>
      </c>
      <c r="AU160" t="s" s="0">
        <v>82</v>
      </c>
      <c r="AV160" t="s" s="0">
        <v>82</v>
      </c>
      <c r="AW160" t="s" s="0">
        <v>2519</v>
      </c>
      <c r="AX160" t="s" s="0">
        <v>3884</v>
      </c>
      <c r="AY160" t="s" s="0">
        <v>3885</v>
      </c>
      <c r="AZ160" t="s" s="0">
        <v>141</v>
      </c>
      <c r="BA160" t="s" s="0">
        <v>308</v>
      </c>
      <c r="BB160" t="s" s="0">
        <v>229</v>
      </c>
      <c r="BC160" t="s" s="0">
        <v>82</v>
      </c>
      <c r="BD160" t="s" s="0">
        <v>82</v>
      </c>
      <c r="BE160" t="s" s="0">
        <v>82</v>
      </c>
      <c r="BF160" t="s" s="0">
        <v>82</v>
      </c>
      <c r="BG160" t="s" s="0">
        <v>82</v>
      </c>
      <c r="BH160" t="s" s="0">
        <v>82</v>
      </c>
      <c r="BI160" t="s" s="0">
        <v>3886</v>
      </c>
      <c r="BJ160" t="s" s="0">
        <v>3887</v>
      </c>
      <c r="BK160" t="s" s="317">
        <f>HYPERLINK("http://dx.doi.org/10.1038/s43856-026-01631-5","http://dx.doi.org/10.1038/s43856-026-01631-5")</f>
        <v>3888</v>
      </c>
      <c r="BL160" t="s" s="0">
        <v>82</v>
      </c>
      <c r="BM160" t="s" s="0">
        <v>82</v>
      </c>
      <c r="BN160" t="s" s="0">
        <v>342</v>
      </c>
      <c r="BO160" t="s" s="0">
        <v>2524</v>
      </c>
      <c r="BP160" t="s" s="0">
        <v>2525</v>
      </c>
      <c r="BQ160" t="s" s="0">
        <v>3889</v>
      </c>
      <c r="BR160" t="s" s="0">
        <v>3890</v>
      </c>
      <c r="BS160" t="s" s="0">
        <v>3891</v>
      </c>
      <c r="BT160" t="s" s="318">
        <f>HYPERLINK("https://www.webofscience.com/wos/woscc/full-record/WOS:001828683600001","View Record in Web of Science")</f>
        <v>118</v>
      </c>
      <c r="BU160" t="s" s="0">
        <v>187</v>
      </c>
      <c r="BV160" t="s" s="0">
        <v>82</v>
      </c>
      <c r="BW160" t="s" s="0">
        <v>82</v>
      </c>
      <c r="BX160" t="s" s="0">
        <v>119</v>
      </c>
    </row>
    <row r="161">
      <c r="A161" t="s" s="0">
        <v>77</v>
      </c>
      <c r="B161" t="s" s="0">
        <v>77</v>
      </c>
      <c r="C161" t="s" s="0">
        <v>77</v>
      </c>
      <c r="D161" t="s" s="0">
        <v>77</v>
      </c>
      <c r="E161" t="s" s="0">
        <v>3892</v>
      </c>
      <c r="F161" t="s" s="0">
        <v>3893</v>
      </c>
      <c r="G161" t="s" s="0">
        <v>3894</v>
      </c>
      <c r="H161" t="s" s="0">
        <v>82</v>
      </c>
      <c r="I161" t="s" s="0">
        <v>1573</v>
      </c>
      <c r="J161" t="s" s="0">
        <v>3895</v>
      </c>
      <c r="K161" t="s" s="0">
        <v>3896</v>
      </c>
      <c r="L161" t="s" s="0">
        <v>82</v>
      </c>
      <c r="M161" t="s" s="0">
        <v>82</v>
      </c>
      <c r="N161" t="s" s="0">
        <v>82</v>
      </c>
      <c r="O161" t="s" s="0">
        <v>3897</v>
      </c>
      <c r="P161" t="s" s="0">
        <v>3898</v>
      </c>
      <c r="Q161" t="s" s="0">
        <v>88</v>
      </c>
      <c r="R161" t="s" s="0">
        <v>82</v>
      </c>
      <c r="S161" t="s" s="0">
        <v>82</v>
      </c>
      <c r="T161" t="s" s="0">
        <v>82</v>
      </c>
      <c r="U161" t="s" s="0">
        <v>82</v>
      </c>
      <c r="V161" t="s" s="0">
        <v>3899</v>
      </c>
      <c r="W161" t="s" s="0">
        <v>3900</v>
      </c>
      <c r="X161" t="s" s="0">
        <v>82</v>
      </c>
      <c r="Y161" t="s" s="0">
        <v>82</v>
      </c>
      <c r="Z161" t="s" s="0">
        <v>91</v>
      </c>
      <c r="AA161" t="s" s="0">
        <v>92</v>
      </c>
      <c r="AB161" t="s" s="0">
        <v>82</v>
      </c>
      <c r="AC161" t="s" s="0">
        <v>82</v>
      </c>
      <c r="AD161" t="s" s="0">
        <v>82</v>
      </c>
      <c r="AE161" t="s" s="0">
        <v>82</v>
      </c>
      <c r="AF161" t="s" s="0">
        <v>82</v>
      </c>
      <c r="AG161" t="s" s="0">
        <v>3901</v>
      </c>
      <c r="AH161" t="s" s="0">
        <v>94</v>
      </c>
      <c r="AI161" t="s" s="0">
        <v>82</v>
      </c>
      <c r="AJ161" t="s" s="0">
        <v>3902</v>
      </c>
      <c r="AK161" t="s" s="0">
        <v>82</v>
      </c>
      <c r="AL161" t="s" s="0">
        <v>97</v>
      </c>
      <c r="AM161" t="s" s="0">
        <v>229</v>
      </c>
      <c r="AN161" t="s" s="0">
        <v>229</v>
      </c>
      <c r="AO161" t="s" s="0">
        <v>264</v>
      </c>
      <c r="AP161" t="s" s="0">
        <v>264</v>
      </c>
      <c r="AQ161" t="s" s="0">
        <v>3903</v>
      </c>
      <c r="AR161" t="s" s="0">
        <v>605</v>
      </c>
      <c r="AS161" t="s" s="0">
        <v>3904</v>
      </c>
      <c r="AT161" t="s" s="0">
        <v>3905</v>
      </c>
      <c r="AU161" t="s" s="0">
        <v>82</v>
      </c>
      <c r="AV161" t="s" s="0">
        <v>82</v>
      </c>
      <c r="AW161" t="s" s="0">
        <v>3906</v>
      </c>
      <c r="AX161" t="s" s="0">
        <v>3907</v>
      </c>
      <c r="AY161" t="s" s="0">
        <v>141</v>
      </c>
      <c r="AZ161" t="s" s="0">
        <v>141</v>
      </c>
      <c r="BA161" t="s" s="0">
        <v>346</v>
      </c>
      <c r="BB161" t="s" s="0">
        <v>82</v>
      </c>
      <c r="BC161" t="s" s="0">
        <v>82</v>
      </c>
      <c r="BD161" t="s" s="0">
        <v>82</v>
      </c>
      <c r="BE161" t="s" s="0">
        <v>82</v>
      </c>
      <c r="BF161" t="s" s="0">
        <v>82</v>
      </c>
      <c r="BG161" t="s" s="0">
        <v>82</v>
      </c>
      <c r="BH161" t="s" s="0">
        <v>82</v>
      </c>
      <c r="BI161" t="s" s="0">
        <v>3908</v>
      </c>
      <c r="BJ161" t="s" s="0">
        <v>3909</v>
      </c>
      <c r="BK161" t="s" s="319">
        <f>HYPERLINK("http://dx.doi.org/10.1177/20552076261433073","http://dx.doi.org/10.1177/20552076261433073")</f>
        <v>3910</v>
      </c>
      <c r="BL161" t="s" s="0">
        <v>82</v>
      </c>
      <c r="BM161" t="s" s="0">
        <v>82</v>
      </c>
      <c r="BN161" t="s" s="0">
        <v>212</v>
      </c>
      <c r="BO161" t="s" s="0">
        <v>3911</v>
      </c>
      <c r="BP161" t="s" s="0">
        <v>3912</v>
      </c>
      <c r="BQ161" t="s" s="0">
        <v>3913</v>
      </c>
      <c r="BR161" t="s" s="0">
        <v>3914</v>
      </c>
      <c r="BS161" t="s" s="0">
        <v>3915</v>
      </c>
      <c r="BT161" t="s" s="320">
        <f>HYPERLINK("https://www.webofscience.com/wos/woscc/full-record/WOS:001723291700001","View Record in Web of Science")</f>
        <v>118</v>
      </c>
      <c r="BU161" t="s" s="0">
        <v>187</v>
      </c>
      <c r="BV161" t="s" s="0">
        <v>82</v>
      </c>
      <c r="BW161" t="s" s="0">
        <v>82</v>
      </c>
      <c r="BX161" t="s" s="0">
        <v>119</v>
      </c>
    </row>
    <row r="162">
      <c r="A162" t="s" s="0">
        <v>77</v>
      </c>
      <c r="B162" t="s" s="0">
        <v>77</v>
      </c>
      <c r="C162" t="s" s="0">
        <v>77</v>
      </c>
      <c r="D162" t="s" s="0">
        <v>77</v>
      </c>
      <c r="E162" t="s" s="0">
        <v>3916</v>
      </c>
      <c r="F162" t="s" s="0">
        <v>3917</v>
      </c>
      <c r="G162" t="s" s="0">
        <v>3918</v>
      </c>
      <c r="H162" t="s" s="0">
        <v>82</v>
      </c>
      <c r="I162" t="s" s="0">
        <v>83</v>
      </c>
      <c r="J162" t="s" s="0">
        <v>3919</v>
      </c>
      <c r="K162" t="s" s="0">
        <v>3920</v>
      </c>
      <c r="L162" t="s" s="0">
        <v>3921</v>
      </c>
      <c r="M162" t="s" s="0">
        <v>3922</v>
      </c>
      <c r="N162" t="s" s="0">
        <v>3923</v>
      </c>
      <c r="O162" t="s" s="0">
        <v>3924</v>
      </c>
      <c r="P162" t="s" s="0">
        <v>3925</v>
      </c>
      <c r="Q162" t="s" s="0">
        <v>88</v>
      </c>
      <c r="R162" t="s" s="0">
        <v>82</v>
      </c>
      <c r="S162" t="s" s="0">
        <v>82</v>
      </c>
      <c r="T162" t="s" s="0">
        <v>82</v>
      </c>
      <c r="U162" t="s" s="0">
        <v>82</v>
      </c>
      <c r="V162" t="s" s="0">
        <v>3926</v>
      </c>
      <c r="W162" t="s" s="0">
        <v>3927</v>
      </c>
      <c r="X162" t="s" s="0">
        <v>82</v>
      </c>
      <c r="Y162" t="s" s="0">
        <v>82</v>
      </c>
      <c r="Z162" t="s" s="0">
        <v>91</v>
      </c>
      <c r="AA162" t="s" s="0">
        <v>526</v>
      </c>
      <c r="AB162" t="s" s="0">
        <v>82</v>
      </c>
      <c r="AC162" t="s" s="0">
        <v>82</v>
      </c>
      <c r="AD162" t="s" s="0">
        <v>82</v>
      </c>
      <c r="AE162" t="s" s="0">
        <v>82</v>
      </c>
      <c r="AF162" t="s" s="0">
        <v>82</v>
      </c>
      <c r="AG162" t="s" s="0">
        <v>3928</v>
      </c>
      <c r="AH162" t="s" s="0">
        <v>3929</v>
      </c>
      <c r="AI162" t="s" s="0">
        <v>3930</v>
      </c>
      <c r="AJ162" t="s" s="0">
        <v>3931</v>
      </c>
      <c r="AK162" t="s" s="0">
        <v>82</v>
      </c>
      <c r="AL162" t="s" s="0">
        <v>452</v>
      </c>
      <c r="AM162" t="s" s="0">
        <v>264</v>
      </c>
      <c r="AN162" t="s" s="0">
        <v>264</v>
      </c>
      <c r="AO162" t="s" s="0">
        <v>229</v>
      </c>
      <c r="AP162" t="s" s="0">
        <v>229</v>
      </c>
      <c r="AQ162" t="s" s="0">
        <v>3932</v>
      </c>
      <c r="AR162" t="s" s="0">
        <v>3933</v>
      </c>
      <c r="AS162" t="s" s="0">
        <v>3934</v>
      </c>
      <c r="AT162" t="s" s="0">
        <v>3935</v>
      </c>
      <c r="AU162" t="s" s="0">
        <v>3936</v>
      </c>
      <c r="AV162" t="s" s="0">
        <v>82</v>
      </c>
      <c r="AW162" t="s" s="0">
        <v>3937</v>
      </c>
      <c r="AX162" t="s" s="0">
        <v>3938</v>
      </c>
      <c r="AY162" t="s" s="0">
        <v>82</v>
      </c>
      <c r="AZ162" t="s" s="0">
        <v>141</v>
      </c>
      <c r="BA162" t="s" s="0">
        <v>82</v>
      </c>
      <c r="BB162" t="s" s="0">
        <v>82</v>
      </c>
      <c r="BC162" t="s" s="0">
        <v>82</v>
      </c>
      <c r="BD162" t="s" s="0">
        <v>82</v>
      </c>
      <c r="BE162" t="s" s="0">
        <v>82</v>
      </c>
      <c r="BF162" t="s" s="0">
        <v>82</v>
      </c>
      <c r="BG162" t="s" s="0">
        <v>82</v>
      </c>
      <c r="BH162" t="s" s="0">
        <v>82</v>
      </c>
      <c r="BI162" t="s" s="0">
        <v>82</v>
      </c>
      <c r="BJ162" t="s" s="0">
        <v>3939</v>
      </c>
      <c r="BK162" t="s" s="321">
        <f>HYPERLINK("http://dx.doi.org/10.1093/infdis/jiag258","http://dx.doi.org/10.1093/infdis/jiag258")</f>
        <v>3940</v>
      </c>
      <c r="BL162" t="s" s="0">
        <v>82</v>
      </c>
      <c r="BM162" t="s" s="0">
        <v>237</v>
      </c>
      <c r="BN162" t="s" s="0">
        <v>244</v>
      </c>
      <c r="BO162" t="s" s="0">
        <v>3941</v>
      </c>
      <c r="BP162" t="s" s="0">
        <v>3941</v>
      </c>
      <c r="BQ162" t="s" s="0">
        <v>3942</v>
      </c>
      <c r="BR162" t="s" s="0">
        <v>3943</v>
      </c>
      <c r="BS162" t="s" s="0">
        <v>3944</v>
      </c>
      <c r="BT162" t="s" s="322">
        <f>HYPERLINK("https://www.webofscience.com/wos/woscc/full-record/WOS:001769776800001","View Record in Web of Science")</f>
        <v>118</v>
      </c>
      <c r="BU162" t="s" s="0">
        <v>538</v>
      </c>
      <c r="BV162" t="s" s="0">
        <v>82</v>
      </c>
      <c r="BW162" t="s" s="0">
        <v>82</v>
      </c>
      <c r="BX162" t="s" s="0">
        <v>119</v>
      </c>
    </row>
    <row r="163">
      <c r="A163" t="s" s="0">
        <v>77</v>
      </c>
      <c r="B163" t="s" s="0">
        <v>77</v>
      </c>
      <c r="C163" t="s" s="0">
        <v>77</v>
      </c>
      <c r="D163" t="s" s="0">
        <v>77</v>
      </c>
      <c r="E163" t="s" s="0">
        <v>3945</v>
      </c>
      <c r="F163" t="s" s="0">
        <v>3946</v>
      </c>
      <c r="G163" t="s" s="0">
        <v>3947</v>
      </c>
      <c r="H163" t="s" s="0">
        <v>82</v>
      </c>
      <c r="I163" t="s" s="0">
        <v>83</v>
      </c>
      <c r="J163" t="s" s="0">
        <v>3948</v>
      </c>
      <c r="K163" t="s" s="0">
        <v>3949</v>
      </c>
      <c r="L163" t="s" s="0">
        <v>3950</v>
      </c>
      <c r="M163" t="s" s="0">
        <v>3950</v>
      </c>
      <c r="N163" t="s" s="0">
        <v>414</v>
      </c>
      <c r="O163" t="s" s="0">
        <v>3951</v>
      </c>
      <c r="P163" t="s" s="0">
        <v>3952</v>
      </c>
      <c r="Q163" t="s" s="0">
        <v>88</v>
      </c>
      <c r="R163" t="s" s="0">
        <v>82</v>
      </c>
      <c r="S163" t="s" s="0">
        <v>82</v>
      </c>
      <c r="T163" t="s" s="0">
        <v>82</v>
      </c>
      <c r="U163" t="s" s="0">
        <v>82</v>
      </c>
      <c r="V163" t="s" s="0">
        <v>3953</v>
      </c>
      <c r="W163" t="s" s="0">
        <v>3954</v>
      </c>
      <c r="X163" t="s" s="0">
        <v>82</v>
      </c>
      <c r="Y163" t="s" s="0">
        <v>82</v>
      </c>
      <c r="Z163" t="s" s="0">
        <v>91</v>
      </c>
      <c r="AA163" t="s" s="0">
        <v>92</v>
      </c>
      <c r="AB163" t="s" s="0">
        <v>82</v>
      </c>
      <c r="AC163" t="s" s="0">
        <v>82</v>
      </c>
      <c r="AD163" t="s" s="0">
        <v>82</v>
      </c>
      <c r="AE163" t="s" s="0">
        <v>82</v>
      </c>
      <c r="AF163" t="s" s="0">
        <v>82</v>
      </c>
      <c r="AG163" t="s" s="0">
        <v>3955</v>
      </c>
      <c r="AH163" t="s" s="0">
        <v>82</v>
      </c>
      <c r="AI163" t="s" s="0">
        <v>3956</v>
      </c>
      <c r="AJ163" t="s" s="0">
        <v>82</v>
      </c>
      <c r="AK163" t="s" s="0">
        <v>82</v>
      </c>
      <c r="AL163" t="s" s="0">
        <v>746</v>
      </c>
      <c r="AM163" t="s" s="0">
        <v>77</v>
      </c>
      <c r="AN163" t="s" s="0">
        <v>229</v>
      </c>
      <c r="AO163" t="s" s="0">
        <v>272</v>
      </c>
      <c r="AP163" t="s" s="0">
        <v>176</v>
      </c>
      <c r="AQ163" t="s" s="0">
        <v>3117</v>
      </c>
      <c r="AR163" t="s" s="0">
        <v>3118</v>
      </c>
      <c r="AS163" t="s" s="0">
        <v>3957</v>
      </c>
      <c r="AT163" t="s" s="0">
        <v>3958</v>
      </c>
      <c r="AU163" t="s" s="0">
        <v>3959</v>
      </c>
      <c r="AV163" t="s" s="0">
        <v>82</v>
      </c>
      <c r="AW163" t="s" s="0">
        <v>3960</v>
      </c>
      <c r="AX163" t="s" s="0">
        <v>3961</v>
      </c>
      <c r="AY163" t="s" s="0">
        <v>745</v>
      </c>
      <c r="AZ163" t="s" s="0">
        <v>141</v>
      </c>
      <c r="BA163" t="s" s="0">
        <v>177</v>
      </c>
      <c r="BB163" t="s" s="0">
        <v>78</v>
      </c>
      <c r="BC163" t="s" s="0">
        <v>82</v>
      </c>
      <c r="BD163" t="s" s="0">
        <v>82</v>
      </c>
      <c r="BE163" t="s" s="0">
        <v>82</v>
      </c>
      <c r="BF163" t="s" s="0">
        <v>82</v>
      </c>
      <c r="BG163" t="s" s="0">
        <v>3962</v>
      </c>
      <c r="BH163" t="s" s="0">
        <v>3963</v>
      </c>
      <c r="BI163" t="s" s="0">
        <v>82</v>
      </c>
      <c r="BJ163" t="s" s="0">
        <v>3964</v>
      </c>
      <c r="BK163" t="s" s="323">
        <f>HYPERLINK("http://dx.doi.org/10.1007/s11548-025-03524-9","http://dx.doi.org/10.1007/s11548-025-03524-9")</f>
        <v>3965</v>
      </c>
      <c r="BL163" t="s" s="0">
        <v>82</v>
      </c>
      <c r="BM163" t="s" s="0">
        <v>307</v>
      </c>
      <c r="BN163" t="s" s="0">
        <v>346</v>
      </c>
      <c r="BO163" t="s" s="0">
        <v>3966</v>
      </c>
      <c r="BP163" t="s" s="0">
        <v>3967</v>
      </c>
      <c r="BQ163" t="s" s="0">
        <v>3968</v>
      </c>
      <c r="BR163" t="s" s="0">
        <v>3969</v>
      </c>
      <c r="BS163" t="s" s="0">
        <v>3970</v>
      </c>
      <c r="BT163" t="s" s="324">
        <f>HYPERLINK("https://www.webofscience.com/wos/woscc/full-record/WOS:001606171400001","View Record in Web of Science")</f>
        <v>118</v>
      </c>
      <c r="BU163" t="s" s="0">
        <v>152</v>
      </c>
      <c r="BV163" t="s" s="0">
        <v>82</v>
      </c>
      <c r="BW163" t="s" s="0">
        <v>82</v>
      </c>
      <c r="BX163" t="s" s="0">
        <v>119</v>
      </c>
    </row>
    <row r="164">
      <c r="A164" t="s" s="0">
        <v>77</v>
      </c>
      <c r="B164" t="s" s="0">
        <v>77</v>
      </c>
      <c r="C164" t="s" s="0">
        <v>239</v>
      </c>
      <c r="D164" t="s" s="0">
        <v>77</v>
      </c>
      <c r="E164" t="s" s="0">
        <v>3971</v>
      </c>
      <c r="F164" t="s" s="0">
        <v>3972</v>
      </c>
      <c r="G164" t="s" s="0">
        <v>3973</v>
      </c>
      <c r="H164" t="s" s="0">
        <v>82</v>
      </c>
      <c r="I164" t="s" s="0">
        <v>83</v>
      </c>
      <c r="J164" t="s" s="0">
        <v>3974</v>
      </c>
      <c r="K164" t="s" s="0">
        <v>3975</v>
      </c>
      <c r="L164" t="s" s="0">
        <v>3976</v>
      </c>
      <c r="M164" t="s" s="0">
        <v>3977</v>
      </c>
      <c r="N164" t="s" s="0">
        <v>3978</v>
      </c>
      <c r="O164" t="s" s="0">
        <v>3979</v>
      </c>
      <c r="P164" t="s" s="0">
        <v>3980</v>
      </c>
      <c r="Q164" t="s" s="0">
        <v>88</v>
      </c>
      <c r="R164" t="s" s="0">
        <v>82</v>
      </c>
      <c r="S164" t="s" s="0">
        <v>82</v>
      </c>
      <c r="T164" t="s" s="0">
        <v>82</v>
      </c>
      <c r="U164" t="s" s="0">
        <v>82</v>
      </c>
      <c r="V164" t="s" s="0">
        <v>3981</v>
      </c>
      <c r="W164" t="s" s="0">
        <v>3982</v>
      </c>
      <c r="X164" t="s" s="0">
        <v>82</v>
      </c>
      <c r="Y164" t="s" s="0">
        <v>82</v>
      </c>
      <c r="Z164" t="s" s="0">
        <v>91</v>
      </c>
      <c r="AA164" t="s" s="0">
        <v>92</v>
      </c>
      <c r="AB164" t="s" s="0">
        <v>82</v>
      </c>
      <c r="AC164" t="s" s="0">
        <v>82</v>
      </c>
      <c r="AD164" t="s" s="0">
        <v>82</v>
      </c>
      <c r="AE164" t="s" s="0">
        <v>82</v>
      </c>
      <c r="AF164" t="s" s="0">
        <v>82</v>
      </c>
      <c r="AG164" t="s" s="0">
        <v>3983</v>
      </c>
      <c r="AH164" t="s" s="0">
        <v>82</v>
      </c>
      <c r="AI164" t="s" s="0">
        <v>82</v>
      </c>
      <c r="AJ164" t="s" s="0">
        <v>3984</v>
      </c>
      <c r="AK164" t="s" s="0">
        <v>82</v>
      </c>
      <c r="AL164" t="s" s="0">
        <v>770</v>
      </c>
      <c r="AM164" t="s" s="0">
        <v>790</v>
      </c>
      <c r="AN164" t="s" s="0">
        <v>177</v>
      </c>
      <c r="AO164" t="s" s="0">
        <v>229</v>
      </c>
      <c r="AP164" t="s" s="0">
        <v>98</v>
      </c>
      <c r="AQ164" t="s" s="0">
        <v>3985</v>
      </c>
      <c r="AR164" t="s" s="0">
        <v>739</v>
      </c>
      <c r="AS164" t="s" s="0">
        <v>3986</v>
      </c>
      <c r="AT164" t="s" s="0">
        <v>3987</v>
      </c>
      <c r="AU164" t="s" s="0">
        <v>3988</v>
      </c>
      <c r="AV164" t="s" s="0">
        <v>82</v>
      </c>
      <c r="AW164" t="s" s="0">
        <v>3989</v>
      </c>
      <c r="AX164" t="s" s="0">
        <v>3990</v>
      </c>
      <c r="AY164" t="s" s="0">
        <v>112</v>
      </c>
      <c r="AZ164" t="s" s="0">
        <v>107</v>
      </c>
      <c r="BA164" t="s" s="0">
        <v>3991</v>
      </c>
      <c r="BB164" t="s" s="0">
        <v>229</v>
      </c>
      <c r="BC164" t="s" s="0">
        <v>82</v>
      </c>
      <c r="BD164" t="s" s="0">
        <v>82</v>
      </c>
      <c r="BE164" t="s" s="0">
        <v>82</v>
      </c>
      <c r="BF164" t="s" s="0">
        <v>82</v>
      </c>
      <c r="BG164" t="s" s="0">
        <v>928</v>
      </c>
      <c r="BH164" t="s" s="0">
        <v>2976</v>
      </c>
      <c r="BI164" t="s" s="0">
        <v>82</v>
      </c>
      <c r="BJ164" t="s" s="0">
        <v>3992</v>
      </c>
      <c r="BK164" t="s" s="325">
        <f>HYPERLINK("http://dx.doi.org/10.1016/j.jaci.2025.02.004","http://dx.doi.org/10.1016/j.jaci.2025.02.004")</f>
        <v>3993</v>
      </c>
      <c r="BL164" t="s" s="0">
        <v>82</v>
      </c>
      <c r="BM164" t="s" s="0">
        <v>112</v>
      </c>
      <c r="BN164" t="s" s="0">
        <v>98</v>
      </c>
      <c r="BO164" t="s" s="0">
        <v>3994</v>
      </c>
      <c r="BP164" t="s" s="0">
        <v>3994</v>
      </c>
      <c r="BQ164" t="s" s="0">
        <v>3995</v>
      </c>
      <c r="BR164" t="s" s="0">
        <v>3996</v>
      </c>
      <c r="BS164" t="s" s="0">
        <v>3997</v>
      </c>
      <c r="BT164" t="s" s="326">
        <f>HYPERLINK("https://www.webofscience.com/wos/woscc/full-record/WOS:001533794300007","View Record in Web of Science")</f>
        <v>118</v>
      </c>
      <c r="BU164" t="s" s="0">
        <v>82</v>
      </c>
      <c r="BV164" t="s" s="0">
        <v>82</v>
      </c>
      <c r="BW164" t="s" s="0">
        <v>82</v>
      </c>
      <c r="BX164" t="s" s="0">
        <v>119</v>
      </c>
    </row>
    <row r="165">
      <c r="A165" t="s" s="0">
        <v>77</v>
      </c>
      <c r="B165" t="s" s="0">
        <v>77</v>
      </c>
      <c r="C165" t="s" s="0">
        <v>77</v>
      </c>
      <c r="D165" t="s" s="0">
        <v>77</v>
      </c>
      <c r="E165" t="s" s="0">
        <v>3998</v>
      </c>
      <c r="F165" t="s" s="0">
        <v>3999</v>
      </c>
      <c r="G165" t="s" s="0">
        <v>4000</v>
      </c>
      <c r="H165" t="s" s="0">
        <v>82</v>
      </c>
      <c r="I165" t="s" s="0">
        <v>83</v>
      </c>
      <c r="J165" t="s" s="0">
        <v>4001</v>
      </c>
      <c r="K165" t="s" s="0">
        <v>4002</v>
      </c>
      <c r="L165" t="s" s="0">
        <v>4003</v>
      </c>
      <c r="M165" t="s" s="0">
        <v>4004</v>
      </c>
      <c r="N165" t="s" s="0">
        <v>4005</v>
      </c>
      <c r="O165" t="s" s="0">
        <v>4006</v>
      </c>
      <c r="P165" t="s" s="0">
        <v>4007</v>
      </c>
      <c r="Q165" t="s" s="0">
        <v>88</v>
      </c>
      <c r="R165" t="s" s="0">
        <v>82</v>
      </c>
      <c r="S165" t="s" s="0">
        <v>82</v>
      </c>
      <c r="T165" t="s" s="0">
        <v>82</v>
      </c>
      <c r="U165" t="s" s="0">
        <v>82</v>
      </c>
      <c r="V165" t="s" s="0">
        <v>4008</v>
      </c>
      <c r="W165" t="s" s="0">
        <v>1056</v>
      </c>
      <c r="X165" t="s" s="0">
        <v>82</v>
      </c>
      <c r="Y165" t="s" s="0">
        <v>82</v>
      </c>
      <c r="Z165" t="s" s="0">
        <v>91</v>
      </c>
      <c r="AA165" t="s" s="0">
        <v>92</v>
      </c>
      <c r="AB165" t="s" s="0">
        <v>82</v>
      </c>
      <c r="AC165" t="s" s="0">
        <v>82</v>
      </c>
      <c r="AD165" t="s" s="0">
        <v>82</v>
      </c>
      <c r="AE165" t="s" s="0">
        <v>82</v>
      </c>
      <c r="AF165" t="s" s="0">
        <v>82</v>
      </c>
      <c r="AG165" t="s" s="0">
        <v>4009</v>
      </c>
      <c r="AH165" t="s" s="0">
        <v>82</v>
      </c>
      <c r="AI165" t="s" s="0">
        <v>4010</v>
      </c>
      <c r="AJ165" t="s" s="0">
        <v>4011</v>
      </c>
      <c r="AK165" t="s" s="0">
        <v>82</v>
      </c>
      <c r="AL165" t="s" s="0">
        <v>97</v>
      </c>
      <c r="AM165" t="s" s="0">
        <v>78</v>
      </c>
      <c r="AN165" t="s" s="0">
        <v>78</v>
      </c>
      <c r="AO165" t="s" s="0">
        <v>264</v>
      </c>
      <c r="AP165" t="s" s="0">
        <v>264</v>
      </c>
      <c r="AQ165" t="s" s="0">
        <v>200</v>
      </c>
      <c r="AR165" t="s" s="0">
        <v>201</v>
      </c>
      <c r="AS165" t="s" s="0">
        <v>202</v>
      </c>
      <c r="AT165" t="s" s="0">
        <v>82</v>
      </c>
      <c r="AU165" t="s" s="0">
        <v>1062</v>
      </c>
      <c r="AV165" t="s" s="0">
        <v>82</v>
      </c>
      <c r="AW165" t="s" s="0">
        <v>1063</v>
      </c>
      <c r="AX165" t="s" s="0">
        <v>1064</v>
      </c>
      <c r="AY165" t="s" s="0">
        <v>141</v>
      </c>
      <c r="AZ165" t="s" s="0">
        <v>141</v>
      </c>
      <c r="BA165" t="s" s="0">
        <v>132</v>
      </c>
      <c r="BB165" t="s" s="0">
        <v>82</v>
      </c>
      <c r="BC165" t="s" s="0">
        <v>82</v>
      </c>
      <c r="BD165" t="s" s="0">
        <v>82</v>
      </c>
      <c r="BE165" t="s" s="0">
        <v>82</v>
      </c>
      <c r="BF165" t="s" s="0">
        <v>82</v>
      </c>
      <c r="BG165" t="s" s="0">
        <v>82</v>
      </c>
      <c r="BH165" t="s" s="0">
        <v>82</v>
      </c>
      <c r="BI165" t="s" s="0">
        <v>4012</v>
      </c>
      <c r="BJ165" t="s" s="0">
        <v>4013</v>
      </c>
      <c r="BK165" t="s" s="327">
        <f>HYPERLINK("http://dx.doi.org/10.2196/68182","http://dx.doi.org/10.2196/68182")</f>
        <v>4014</v>
      </c>
      <c r="BL165" t="s" s="0">
        <v>82</v>
      </c>
      <c r="BM165" t="s" s="0">
        <v>82</v>
      </c>
      <c r="BN165" t="s" s="0">
        <v>181</v>
      </c>
      <c r="BO165" t="s" s="0">
        <v>1069</v>
      </c>
      <c r="BP165" t="s" s="0">
        <v>1069</v>
      </c>
      <c r="BQ165" t="s" s="0">
        <v>4015</v>
      </c>
      <c r="BR165" t="s" s="0">
        <v>4016</v>
      </c>
      <c r="BS165" t="s" s="0">
        <v>4017</v>
      </c>
      <c r="BT165" t="s" s="328">
        <f>HYPERLINK("https://www.webofscience.com/wos/woscc/full-record/WOS:001687102700001","View Record in Web of Science")</f>
        <v>118</v>
      </c>
      <c r="BU165" t="s" s="0">
        <v>187</v>
      </c>
      <c r="BV165" t="s" s="0">
        <v>82</v>
      </c>
      <c r="BW165" t="s" s="0">
        <v>82</v>
      </c>
      <c r="BX165" t="s" s="0">
        <v>119</v>
      </c>
    </row>
    <row r="166">
      <c r="A166" t="s" s="0">
        <v>77</v>
      </c>
      <c r="B166" t="s" s="0">
        <v>77</v>
      </c>
      <c r="C166" t="s" s="0">
        <v>77</v>
      </c>
      <c r="D166" t="s" s="0">
        <v>77</v>
      </c>
      <c r="E166" t="s" s="0">
        <v>4018</v>
      </c>
      <c r="F166" t="s" s="0">
        <v>4019</v>
      </c>
      <c r="G166" t="s" s="0">
        <v>4020</v>
      </c>
      <c r="H166" t="s" s="0">
        <v>82</v>
      </c>
      <c r="I166" t="s" s="0">
        <v>1573</v>
      </c>
      <c r="J166" t="s" s="0">
        <v>4021</v>
      </c>
      <c r="K166" t="s" s="0">
        <v>4022</v>
      </c>
      <c r="L166" t="s" s="0">
        <v>82</v>
      </c>
      <c r="M166" t="s" s="0">
        <v>82</v>
      </c>
      <c r="N166" t="s" s="0">
        <v>82</v>
      </c>
      <c r="O166" t="s" s="0">
        <v>4023</v>
      </c>
      <c r="P166" t="s" s="0">
        <v>4024</v>
      </c>
      <c r="Q166" t="s" s="0">
        <v>88</v>
      </c>
      <c r="R166" t="s" s="0">
        <v>82</v>
      </c>
      <c r="S166" t="s" s="0">
        <v>82</v>
      </c>
      <c r="T166" t="s" s="0">
        <v>82</v>
      </c>
      <c r="U166" t="s" s="0">
        <v>82</v>
      </c>
      <c r="V166" t="s" s="0">
        <v>4025</v>
      </c>
      <c r="W166" t="s" s="0">
        <v>3249</v>
      </c>
      <c r="X166" t="s" s="0">
        <v>82</v>
      </c>
      <c r="Y166" t="s" s="0">
        <v>82</v>
      </c>
      <c r="Z166" t="s" s="0">
        <v>91</v>
      </c>
      <c r="AA166" t="s" s="0">
        <v>92</v>
      </c>
      <c r="AB166" t="s" s="0">
        <v>82</v>
      </c>
      <c r="AC166" t="s" s="0">
        <v>82</v>
      </c>
      <c r="AD166" t="s" s="0">
        <v>82</v>
      </c>
      <c r="AE166" t="s" s="0">
        <v>82</v>
      </c>
      <c r="AF166" t="s" s="0">
        <v>82</v>
      </c>
      <c r="AG166" t="s" s="0">
        <v>4026</v>
      </c>
      <c r="AH166" t="s" s="0">
        <v>82</v>
      </c>
      <c r="AI166" t="s" s="0">
        <v>4027</v>
      </c>
      <c r="AJ166" t="s" s="0">
        <v>4028</v>
      </c>
      <c r="AK166" t="s" s="0">
        <v>82</v>
      </c>
      <c r="AL166" t="s" s="0">
        <v>1369</v>
      </c>
      <c r="AM166" t="s" s="0">
        <v>264</v>
      </c>
      <c r="AN166" t="s" s="0">
        <v>169</v>
      </c>
      <c r="AO166" t="s" s="0">
        <v>264</v>
      </c>
      <c r="AP166" t="s" s="0">
        <v>264</v>
      </c>
      <c r="AQ166" t="s" s="0">
        <v>604</v>
      </c>
      <c r="AR166" t="s" s="0">
        <v>605</v>
      </c>
      <c r="AS166" t="s" s="0">
        <v>606</v>
      </c>
      <c r="AT166" t="s" s="0">
        <v>82</v>
      </c>
      <c r="AU166" t="s" s="0">
        <v>3254</v>
      </c>
      <c r="AV166" t="s" s="0">
        <v>82</v>
      </c>
      <c r="AW166" t="s" s="0">
        <v>3255</v>
      </c>
      <c r="AX166" t="s" s="0">
        <v>3256</v>
      </c>
      <c r="AY166" t="s" s="0">
        <v>302</v>
      </c>
      <c r="AZ166" t="s" s="0">
        <v>107</v>
      </c>
      <c r="BA166" t="s" s="0">
        <v>1068</v>
      </c>
      <c r="BB166" t="s" s="0">
        <v>229</v>
      </c>
      <c r="BC166" t="s" s="0">
        <v>82</v>
      </c>
      <c r="BD166" t="s" s="0">
        <v>82</v>
      </c>
      <c r="BE166" t="s" s="0">
        <v>82</v>
      </c>
      <c r="BF166" t="s" s="0">
        <v>82</v>
      </c>
      <c r="BG166" t="s" s="0">
        <v>82</v>
      </c>
      <c r="BH166" t="s" s="0">
        <v>82</v>
      </c>
      <c r="BI166" t="s" s="0">
        <v>4029</v>
      </c>
      <c r="BJ166" t="s" s="0">
        <v>4030</v>
      </c>
      <c r="BK166" t="s" s="329">
        <f>HYPERLINK("http://dx.doi.org/10.1186/s12909-025-08315-z","http://dx.doi.org/10.1186/s12909-025-08315-z")</f>
        <v>4031</v>
      </c>
      <c r="BL166" t="s" s="0">
        <v>82</v>
      </c>
      <c r="BM166" t="s" s="0">
        <v>82</v>
      </c>
      <c r="BN166" t="s" s="0">
        <v>342</v>
      </c>
      <c r="BO166" t="s" s="0">
        <v>3261</v>
      </c>
      <c r="BP166" t="s" s="0">
        <v>1898</v>
      </c>
      <c r="BQ166" t="s" s="0">
        <v>4032</v>
      </c>
      <c r="BR166" t="s" s="0">
        <v>4033</v>
      </c>
      <c r="BS166" t="s" s="0">
        <v>4034</v>
      </c>
      <c r="BT166" t="s" s="330">
        <f>HYPERLINK("https://www.webofscience.com/wos/woscc/full-record/WOS:001651129200012","View Record in Web of Science")</f>
        <v>118</v>
      </c>
      <c r="BU166" t="s" s="0">
        <v>187</v>
      </c>
      <c r="BV166" t="s" s="0">
        <v>82</v>
      </c>
      <c r="BW166" t="s" s="0">
        <v>82</v>
      </c>
      <c r="BX166" t="s" s="0">
        <v>119</v>
      </c>
    </row>
    <row r="167">
      <c r="A167" t="s" s="0">
        <v>229</v>
      </c>
      <c r="B167" t="s" s="0">
        <v>77</v>
      </c>
      <c r="C167" t="s" s="0">
        <v>229</v>
      </c>
      <c r="D167" t="s" s="0">
        <v>77</v>
      </c>
      <c r="E167" t="s" s="0">
        <v>4035</v>
      </c>
      <c r="F167" t="s" s="0">
        <v>4036</v>
      </c>
      <c r="G167" t="s" s="0">
        <v>4037</v>
      </c>
      <c r="H167" t="s" s="0">
        <v>82</v>
      </c>
      <c r="I167" t="s" s="0">
        <v>595</v>
      </c>
      <c r="J167" t="s" s="0">
        <v>4038</v>
      </c>
      <c r="K167" t="s" s="0">
        <v>4039</v>
      </c>
      <c r="L167" t="s" s="0">
        <v>4040</v>
      </c>
      <c r="M167" t="s" s="0">
        <v>4041</v>
      </c>
      <c r="N167" t="s" s="0">
        <v>4042</v>
      </c>
      <c r="O167" t="s" s="0">
        <v>4043</v>
      </c>
      <c r="P167" t="s" s="0">
        <v>4044</v>
      </c>
      <c r="Q167" t="s" s="0">
        <v>88</v>
      </c>
      <c r="R167" t="s" s="0">
        <v>82</v>
      </c>
      <c r="S167" t="s" s="0">
        <v>82</v>
      </c>
      <c r="T167" t="s" s="0">
        <v>82</v>
      </c>
      <c r="U167" t="s" s="0">
        <v>82</v>
      </c>
      <c r="V167" t="s" s="0">
        <v>4045</v>
      </c>
      <c r="W167" t="s" s="0">
        <v>4046</v>
      </c>
      <c r="X167" t="s" s="0">
        <v>82</v>
      </c>
      <c r="Y167" t="s" s="0">
        <v>82</v>
      </c>
      <c r="Z167" t="s" s="0">
        <v>91</v>
      </c>
      <c r="AA167" t="s" s="0">
        <v>92</v>
      </c>
      <c r="AB167" t="s" s="0">
        <v>82</v>
      </c>
      <c r="AC167" t="s" s="0">
        <v>82</v>
      </c>
      <c r="AD167" t="s" s="0">
        <v>82</v>
      </c>
      <c r="AE167" t="s" s="0">
        <v>82</v>
      </c>
      <c r="AF167" t="s" s="0">
        <v>82</v>
      </c>
      <c r="AG167" t="s" s="0">
        <v>4047</v>
      </c>
      <c r="AH167" t="s" s="0">
        <v>82</v>
      </c>
      <c r="AI167" t="s" s="0">
        <v>4048</v>
      </c>
      <c r="AJ167" t="s" s="0">
        <v>4049</v>
      </c>
      <c r="AK167" t="s" s="0">
        <v>82</v>
      </c>
      <c r="AL167" t="s" s="0">
        <v>208</v>
      </c>
      <c r="AM167" t="s" s="0">
        <v>308</v>
      </c>
      <c r="AN167" t="s" s="0">
        <v>308</v>
      </c>
      <c r="AO167" t="s" s="0">
        <v>229</v>
      </c>
      <c r="AP167" t="s" s="0">
        <v>181</v>
      </c>
      <c r="AQ167" t="s" s="0">
        <v>200</v>
      </c>
      <c r="AR167" t="s" s="0">
        <v>201</v>
      </c>
      <c r="AS167" t="s" s="0">
        <v>202</v>
      </c>
      <c r="AT167" t="s" s="0">
        <v>4050</v>
      </c>
      <c r="AU167" t="s" s="0">
        <v>82</v>
      </c>
      <c r="AV167" t="s" s="0">
        <v>82</v>
      </c>
      <c r="AW167" t="s" s="0">
        <v>4051</v>
      </c>
      <c r="AX167" t="s" s="0">
        <v>4052</v>
      </c>
      <c r="AY167" t="s" s="0">
        <v>341</v>
      </c>
      <c r="AZ167" t="s" s="0">
        <v>341</v>
      </c>
      <c r="BA167" t="s" s="0">
        <v>425</v>
      </c>
      <c r="BB167" t="s" s="0">
        <v>82</v>
      </c>
      <c r="BC167" t="s" s="0">
        <v>82</v>
      </c>
      <c r="BD167" t="s" s="0">
        <v>82</v>
      </c>
      <c r="BE167" t="s" s="0">
        <v>82</v>
      </c>
      <c r="BF167" t="s" s="0">
        <v>82</v>
      </c>
      <c r="BG167" t="s" s="0">
        <v>82</v>
      </c>
      <c r="BH167" t="s" s="0">
        <v>82</v>
      </c>
      <c r="BI167" t="s" s="0">
        <v>4053</v>
      </c>
      <c r="BJ167" t="s" s="0">
        <v>4054</v>
      </c>
      <c r="BK167" t="s" s="331">
        <f>HYPERLINK("http://dx.doi.org/10.2196/57001","http://dx.doi.org/10.2196/57001")</f>
        <v>4055</v>
      </c>
      <c r="BL167" t="s" s="0">
        <v>82</v>
      </c>
      <c r="BM167" t="s" s="0">
        <v>82</v>
      </c>
      <c r="BN167" t="s" s="0">
        <v>425</v>
      </c>
      <c r="BO167" t="s" s="0">
        <v>4056</v>
      </c>
      <c r="BP167" t="s" s="0">
        <v>4056</v>
      </c>
      <c r="BQ167" t="s" s="0">
        <v>4057</v>
      </c>
      <c r="BR167" t="s" s="0">
        <v>4058</v>
      </c>
      <c r="BS167" t="s" s="0">
        <v>4059</v>
      </c>
      <c r="BT167" t="s" s="332">
        <f>HYPERLINK("https://www.webofscience.com/wos/woscc/full-record/WOS:001239443600003","View Record in Web of Science")</f>
        <v>118</v>
      </c>
      <c r="BU167" t="s" s="0">
        <v>187</v>
      </c>
      <c r="BV167" t="s" s="0">
        <v>82</v>
      </c>
      <c r="BW167" t="s" s="0">
        <v>82</v>
      </c>
      <c r="BX167" t="s" s="0">
        <v>119</v>
      </c>
    </row>
    <row r="168">
      <c r="A168" t="s" s="0">
        <v>77</v>
      </c>
      <c r="B168" t="s" s="0">
        <v>77</v>
      </c>
      <c r="C168" t="s" s="0">
        <v>77</v>
      </c>
      <c r="D168" t="s" s="0">
        <v>77</v>
      </c>
      <c r="E168" t="s" s="0">
        <v>4060</v>
      </c>
      <c r="F168" t="s" s="0">
        <v>4061</v>
      </c>
      <c r="G168" t="s" s="0">
        <v>4062</v>
      </c>
      <c r="H168" t="s" s="0">
        <v>82</v>
      </c>
      <c r="I168" t="s" s="0">
        <v>83</v>
      </c>
      <c r="J168" t="s" s="0">
        <v>4063</v>
      </c>
      <c r="K168" t="s" s="0">
        <v>4064</v>
      </c>
      <c r="L168" t="s" s="0">
        <v>82</v>
      </c>
      <c r="M168" t="s" s="0">
        <v>82</v>
      </c>
      <c r="N168" t="s" s="0">
        <v>4065</v>
      </c>
      <c r="O168" t="s" s="0">
        <v>4066</v>
      </c>
      <c r="P168" t="s" s="0">
        <v>4067</v>
      </c>
      <c r="Q168" t="s" s="0">
        <v>88</v>
      </c>
      <c r="R168" t="s" s="0">
        <v>82</v>
      </c>
      <c r="S168" t="s" s="0">
        <v>82</v>
      </c>
      <c r="T168" t="s" s="0">
        <v>82</v>
      </c>
      <c r="U168" t="s" s="0">
        <v>82</v>
      </c>
      <c r="V168" t="s" s="0">
        <v>4068</v>
      </c>
      <c r="W168" t="s" s="0">
        <v>3319</v>
      </c>
      <c r="X168" t="s" s="0">
        <v>82</v>
      </c>
      <c r="Y168" t="s" s="0">
        <v>82</v>
      </c>
      <c r="Z168" t="s" s="0">
        <v>91</v>
      </c>
      <c r="AA168" t="s" s="0">
        <v>92</v>
      </c>
      <c r="AB168" t="s" s="0">
        <v>82</v>
      </c>
      <c r="AC168" t="s" s="0">
        <v>82</v>
      </c>
      <c r="AD168" t="s" s="0">
        <v>82</v>
      </c>
      <c r="AE168" t="s" s="0">
        <v>82</v>
      </c>
      <c r="AF168" t="s" s="0">
        <v>82</v>
      </c>
      <c r="AG168" t="s" s="0">
        <v>4069</v>
      </c>
      <c r="AH168" t="s" s="0">
        <v>4070</v>
      </c>
      <c r="AI168" t="s" s="0">
        <v>4071</v>
      </c>
      <c r="AJ168" t="s" s="0">
        <v>82</v>
      </c>
      <c r="AK168" t="s" s="0">
        <v>82</v>
      </c>
      <c r="AL168" t="s" s="0">
        <v>168</v>
      </c>
      <c r="AM168" t="s" s="0">
        <v>77</v>
      </c>
      <c r="AN168" t="s" s="0">
        <v>77</v>
      </c>
      <c r="AO168" t="s" s="0">
        <v>264</v>
      </c>
      <c r="AP168" t="s" s="0">
        <v>264</v>
      </c>
      <c r="AQ168" t="s" s="0">
        <v>170</v>
      </c>
      <c r="AR168" t="s" s="0">
        <v>171</v>
      </c>
      <c r="AS168" t="s" s="0">
        <v>172</v>
      </c>
      <c r="AT168" t="s" s="0">
        <v>82</v>
      </c>
      <c r="AU168" t="s" s="0">
        <v>3322</v>
      </c>
      <c r="AV168" t="s" s="0">
        <v>82</v>
      </c>
      <c r="AW168" t="s" s="0">
        <v>3323</v>
      </c>
      <c r="AX168" t="s" s="0">
        <v>3324</v>
      </c>
      <c r="AY168" t="s" s="0">
        <v>4072</v>
      </c>
      <c r="AZ168" t="s" s="0">
        <v>141</v>
      </c>
      <c r="BA168" t="s" s="0">
        <v>176</v>
      </c>
      <c r="BB168" t="s" s="0">
        <v>346</v>
      </c>
      <c r="BC168" t="s" s="0">
        <v>82</v>
      </c>
      <c r="BD168" t="s" s="0">
        <v>82</v>
      </c>
      <c r="BE168" t="s" s="0">
        <v>82</v>
      </c>
      <c r="BF168" t="s" s="0">
        <v>82</v>
      </c>
      <c r="BG168" t="s" s="0">
        <v>82</v>
      </c>
      <c r="BH168" t="s" s="0">
        <v>82</v>
      </c>
      <c r="BI168" t="s" s="0">
        <v>4073</v>
      </c>
      <c r="BJ168" t="s" s="0">
        <v>4074</v>
      </c>
      <c r="BK168" t="s" s="333">
        <f>HYPERLINK("http://dx.doi.org/10.3390/jcm15124837","http://dx.doi.org/10.3390/jcm15124837")</f>
        <v>4075</v>
      </c>
      <c r="BL168" t="s" s="0">
        <v>82</v>
      </c>
      <c r="BM168" t="s" s="0">
        <v>147</v>
      </c>
      <c r="BN168" t="s" s="0">
        <v>379</v>
      </c>
      <c r="BO168" t="s" s="0">
        <v>182</v>
      </c>
      <c r="BP168" t="s" s="0">
        <v>183</v>
      </c>
      <c r="BQ168" t="s" s="0">
        <v>4076</v>
      </c>
      <c r="BR168" t="s" s="0">
        <v>4077</v>
      </c>
      <c r="BS168" t="s" s="0">
        <v>4078</v>
      </c>
      <c r="BT168" t="s" s="334">
        <f>HYPERLINK("https://www.webofscience.com/wos/woscc/full-record/WOS:001804060700001","View Record in Web of Science")</f>
        <v>118</v>
      </c>
      <c r="BU168" t="s" s="0">
        <v>187</v>
      </c>
      <c r="BV168" t="s" s="0">
        <v>82</v>
      </c>
      <c r="BW168" t="s" s="0">
        <v>82</v>
      </c>
      <c r="BX168" t="s" s="0">
        <v>119</v>
      </c>
    </row>
    <row r="169">
      <c r="A169" t="s" s="0">
        <v>77</v>
      </c>
      <c r="B169" t="s" s="0">
        <v>77</v>
      </c>
      <c r="C169" t="s" s="0">
        <v>264</v>
      </c>
      <c r="D169" t="s" s="0">
        <v>77</v>
      </c>
      <c r="E169" t="s" s="0">
        <v>4079</v>
      </c>
      <c r="F169" t="s" s="0">
        <v>4080</v>
      </c>
      <c r="G169" t="s" s="0">
        <v>4081</v>
      </c>
      <c r="H169" t="s" s="0">
        <v>82</v>
      </c>
      <c r="I169" t="s" s="0">
        <v>83</v>
      </c>
      <c r="J169" t="s" s="0">
        <v>4082</v>
      </c>
      <c r="K169" t="s" s="0">
        <v>4083</v>
      </c>
      <c r="L169" t="s" s="0">
        <v>82</v>
      </c>
      <c r="M169" t="s" s="0">
        <v>82</v>
      </c>
      <c r="N169" t="s" s="0">
        <v>82</v>
      </c>
      <c r="O169" t="s" s="0">
        <v>4084</v>
      </c>
      <c r="P169" t="s" s="0">
        <v>4085</v>
      </c>
      <c r="Q169" t="s" s="0">
        <v>88</v>
      </c>
      <c r="R169" t="s" s="0">
        <v>82</v>
      </c>
      <c r="S169" t="s" s="0">
        <v>82</v>
      </c>
      <c r="T169" t="s" s="0">
        <v>82</v>
      </c>
      <c r="U169" t="s" s="0">
        <v>82</v>
      </c>
      <c r="V169" t="s" s="0">
        <v>4086</v>
      </c>
      <c r="W169" t="s" s="0">
        <v>2076</v>
      </c>
      <c r="X169" t="s" s="0">
        <v>82</v>
      </c>
      <c r="Y169" t="s" s="0">
        <v>82</v>
      </c>
      <c r="Z169" t="s" s="0">
        <v>91</v>
      </c>
      <c r="AA169" t="s" s="0">
        <v>92</v>
      </c>
      <c r="AB169" t="s" s="0">
        <v>82</v>
      </c>
      <c r="AC169" t="s" s="0">
        <v>82</v>
      </c>
      <c r="AD169" t="s" s="0">
        <v>82</v>
      </c>
      <c r="AE169" t="s" s="0">
        <v>82</v>
      </c>
      <c r="AF169" t="s" s="0">
        <v>82</v>
      </c>
      <c r="AG169" t="s" s="0">
        <v>4087</v>
      </c>
      <c r="AH169" t="s" s="0">
        <v>4088</v>
      </c>
      <c r="AI169" t="s" s="0">
        <v>4089</v>
      </c>
      <c r="AJ169" t="s" s="0">
        <v>4090</v>
      </c>
      <c r="AK169" t="s" s="0">
        <v>82</v>
      </c>
      <c r="AL169" t="s" s="0">
        <v>952</v>
      </c>
      <c r="AM169" t="s" s="0">
        <v>342</v>
      </c>
      <c r="AN169" t="s" s="0">
        <v>342</v>
      </c>
      <c r="AO169" t="s" s="0">
        <v>308</v>
      </c>
      <c r="AP169" t="s" s="0">
        <v>342</v>
      </c>
      <c r="AQ169" t="s" s="0">
        <v>99</v>
      </c>
      <c r="AR169" t="s" s="0">
        <v>100</v>
      </c>
      <c r="AS169" t="s" s="0">
        <v>101</v>
      </c>
      <c r="AT169" t="s" s="0">
        <v>2080</v>
      </c>
      <c r="AU169" t="s" s="0">
        <v>2081</v>
      </c>
      <c r="AV169" t="s" s="0">
        <v>82</v>
      </c>
      <c r="AW169" t="s" s="0">
        <v>2082</v>
      </c>
      <c r="AX169" t="s" s="0">
        <v>2083</v>
      </c>
      <c r="AY169" t="s" s="0">
        <v>745</v>
      </c>
      <c r="AZ169" t="s" s="0">
        <v>141</v>
      </c>
      <c r="BA169" t="s" s="0">
        <v>4091</v>
      </c>
      <c r="BB169" t="s" s="0">
        <v>229</v>
      </c>
      <c r="BC169" t="s" s="0">
        <v>82</v>
      </c>
      <c r="BD169" t="s" s="0">
        <v>82</v>
      </c>
      <c r="BE169" t="s" s="0">
        <v>82</v>
      </c>
      <c r="BF169" t="s" s="0">
        <v>82</v>
      </c>
      <c r="BG169" t="s" s="0">
        <v>82</v>
      </c>
      <c r="BH169" t="s" s="0">
        <v>82</v>
      </c>
      <c r="BI169" t="s" s="0">
        <v>4092</v>
      </c>
      <c r="BJ169" t="s" s="0">
        <v>4093</v>
      </c>
      <c r="BK169" t="s" s="335">
        <f>HYPERLINK("http://dx.doi.org/10.1016/j.identj.2025.109357","http://dx.doi.org/10.1016/j.identj.2025.109357")</f>
        <v>4094</v>
      </c>
      <c r="BL169" t="s" s="0">
        <v>82</v>
      </c>
      <c r="BM169" t="s" s="0">
        <v>302</v>
      </c>
      <c r="BN169" t="s" s="0">
        <v>342</v>
      </c>
      <c r="BO169" t="s" s="0">
        <v>588</v>
      </c>
      <c r="BP169" t="s" s="0">
        <v>588</v>
      </c>
      <c r="BQ169" t="s" s="0">
        <v>4095</v>
      </c>
      <c r="BR169" t="s" s="0">
        <v>4096</v>
      </c>
      <c r="BS169" t="s" s="0">
        <v>4097</v>
      </c>
      <c r="BT169" t="s" s="336">
        <f>HYPERLINK("https://www.webofscience.com/wos/woscc/full-record/WOS:001658687900001","View Record in Web of Science")</f>
        <v>118</v>
      </c>
      <c r="BU169" t="s" s="0">
        <v>187</v>
      </c>
      <c r="BV169" t="s" s="0">
        <v>82</v>
      </c>
      <c r="BW169" t="s" s="0">
        <v>82</v>
      </c>
      <c r="BX169" t="s" s="0">
        <v>119</v>
      </c>
    </row>
    <row r="170">
      <c r="A170" t="s" s="0">
        <v>77</v>
      </c>
      <c r="B170" t="s" s="0">
        <v>77</v>
      </c>
      <c r="C170" t="s" s="0">
        <v>77</v>
      </c>
      <c r="D170" t="s" s="0">
        <v>77</v>
      </c>
      <c r="E170" t="s" s="0">
        <v>4098</v>
      </c>
      <c r="F170" t="s" s="0">
        <v>4099</v>
      </c>
      <c r="G170" t="s" s="0">
        <v>4100</v>
      </c>
      <c r="H170" t="s" s="0">
        <v>82</v>
      </c>
      <c r="I170" t="s" s="0">
        <v>83</v>
      </c>
      <c r="J170" t="s" s="0">
        <v>4101</v>
      </c>
      <c r="K170" t="s" s="0">
        <v>4102</v>
      </c>
      <c r="L170" t="s" s="0">
        <v>82</v>
      </c>
      <c r="M170" t="s" s="0">
        <v>82</v>
      </c>
      <c r="N170" t="s" s="0">
        <v>82</v>
      </c>
      <c r="O170" t="s" s="0">
        <v>4103</v>
      </c>
      <c r="P170" t="s" s="0">
        <v>4104</v>
      </c>
      <c r="Q170" t="s" s="0">
        <v>88</v>
      </c>
      <c r="R170" t="s" s="0">
        <v>82</v>
      </c>
      <c r="S170" t="s" s="0">
        <v>82</v>
      </c>
      <c r="T170" t="s" s="0">
        <v>82</v>
      </c>
      <c r="U170" t="s" s="0">
        <v>82</v>
      </c>
      <c r="V170" t="s" s="0">
        <v>4105</v>
      </c>
      <c r="W170" t="s" s="0">
        <v>4106</v>
      </c>
      <c r="X170" t="s" s="0">
        <v>82</v>
      </c>
      <c r="Y170" t="s" s="0">
        <v>82</v>
      </c>
      <c r="Z170" t="s" s="0">
        <v>91</v>
      </c>
      <c r="AA170" t="s" s="0">
        <v>92</v>
      </c>
      <c r="AB170" t="s" s="0">
        <v>82</v>
      </c>
      <c r="AC170" t="s" s="0">
        <v>82</v>
      </c>
      <c r="AD170" t="s" s="0">
        <v>82</v>
      </c>
      <c r="AE170" t="s" s="0">
        <v>82</v>
      </c>
      <c r="AF170" t="s" s="0">
        <v>82</v>
      </c>
      <c r="AG170" t="s" s="0">
        <v>4107</v>
      </c>
      <c r="AH170" t="s" s="0">
        <v>4108</v>
      </c>
      <c r="AI170" t="s" s="0">
        <v>4109</v>
      </c>
      <c r="AJ170" t="s" s="0">
        <v>4110</v>
      </c>
      <c r="AK170" t="s" s="0">
        <v>82</v>
      </c>
      <c r="AL170" t="s" s="0">
        <v>208</v>
      </c>
      <c r="AM170" t="s" s="0">
        <v>229</v>
      </c>
      <c r="AN170" t="s" s="0">
        <v>229</v>
      </c>
      <c r="AO170" t="s" s="0">
        <v>77</v>
      </c>
      <c r="AP170" t="s" s="0">
        <v>264</v>
      </c>
      <c r="AQ170" t="s" s="0">
        <v>295</v>
      </c>
      <c r="AR170" t="s" s="0">
        <v>296</v>
      </c>
      <c r="AS170" t="s" s="0">
        <v>297</v>
      </c>
      <c r="AT170" t="s" s="0">
        <v>4111</v>
      </c>
      <c r="AU170" t="s" s="0">
        <v>4112</v>
      </c>
      <c r="AV170" t="s" s="0">
        <v>82</v>
      </c>
      <c r="AW170" t="s" s="0">
        <v>4113</v>
      </c>
      <c r="AX170" t="s" s="0">
        <v>4114</v>
      </c>
      <c r="AY170" t="s" s="0">
        <v>688</v>
      </c>
      <c r="AZ170" t="s" s="0">
        <v>107</v>
      </c>
      <c r="BA170" t="s" s="0">
        <v>4115</v>
      </c>
      <c r="BB170" t="s" s="0">
        <v>82</v>
      </c>
      <c r="BC170" t="s" s="0">
        <v>82</v>
      </c>
      <c r="BD170" t="s" s="0">
        <v>82</v>
      </c>
      <c r="BE170" t="s" s="0">
        <v>82</v>
      </c>
      <c r="BF170" t="s" s="0">
        <v>82</v>
      </c>
      <c r="BG170" t="s" s="0">
        <v>82</v>
      </c>
      <c r="BH170" t="s" s="0">
        <v>82</v>
      </c>
      <c r="BI170" t="s" s="0">
        <v>4116</v>
      </c>
      <c r="BJ170" t="s" s="0">
        <v>4117</v>
      </c>
      <c r="BK170" t="s" s="337">
        <f>HYPERLINK("http://dx.doi.org/10.1016/j.jocn.2025.111477","http://dx.doi.org/10.1016/j.jocn.2025.111477")</f>
        <v>4118</v>
      </c>
      <c r="BL170" t="s" s="0">
        <v>82</v>
      </c>
      <c r="BM170" t="s" s="0">
        <v>112</v>
      </c>
      <c r="BN170" t="s" s="0">
        <v>244</v>
      </c>
      <c r="BO170" t="s" s="0">
        <v>148</v>
      </c>
      <c r="BP170" t="s" s="0">
        <v>114</v>
      </c>
      <c r="BQ170" t="s" s="0">
        <v>4119</v>
      </c>
      <c r="BR170" t="s" s="0">
        <v>4120</v>
      </c>
      <c r="BS170" t="s" s="0">
        <v>4121</v>
      </c>
      <c r="BT170" t="s" s="338">
        <f>HYPERLINK("https://www.webofscience.com/wos/woscc/full-record/WOS:001536863300001","View Record in Web of Science")</f>
        <v>118</v>
      </c>
      <c r="BU170" t="s" s="0">
        <v>82</v>
      </c>
      <c r="BV170" t="s" s="0">
        <v>82</v>
      </c>
      <c r="BW170" t="s" s="0">
        <v>82</v>
      </c>
      <c r="BX170" t="s" s="0">
        <v>119</v>
      </c>
    </row>
    <row r="171">
      <c r="A171" t="s" s="0">
        <v>77</v>
      </c>
      <c r="B171" t="s" s="0">
        <v>77</v>
      </c>
      <c r="C171" t="s" s="0">
        <v>77</v>
      </c>
      <c r="D171" t="s" s="0">
        <v>77</v>
      </c>
      <c r="E171" t="s" s="0">
        <v>4122</v>
      </c>
      <c r="F171" t="s" s="0">
        <v>4123</v>
      </c>
      <c r="G171" t="s" s="0">
        <v>4124</v>
      </c>
      <c r="H171" t="s" s="0">
        <v>82</v>
      </c>
      <c r="I171" t="s" s="0">
        <v>1573</v>
      </c>
      <c r="J171" t="s" s="0">
        <v>4125</v>
      </c>
      <c r="K171" t="s" s="0">
        <v>4126</v>
      </c>
      <c r="L171" t="s" s="0">
        <v>4127</v>
      </c>
      <c r="M171" t="s" s="0">
        <v>4128</v>
      </c>
      <c r="N171" t="s" s="0">
        <v>4129</v>
      </c>
      <c r="O171" t="s" s="0">
        <v>4130</v>
      </c>
      <c r="P171" t="s" s="0">
        <v>4131</v>
      </c>
      <c r="Q171" t="s" s="0">
        <v>88</v>
      </c>
      <c r="R171" t="s" s="0">
        <v>82</v>
      </c>
      <c r="S171" t="s" s="0">
        <v>82</v>
      </c>
      <c r="T171" t="s" s="0">
        <v>82</v>
      </c>
      <c r="U171" t="s" s="0">
        <v>82</v>
      </c>
      <c r="V171" t="s" s="0">
        <v>4132</v>
      </c>
      <c r="W171" t="s" s="0">
        <v>3900</v>
      </c>
      <c r="X171" t="s" s="0">
        <v>82</v>
      </c>
      <c r="Y171" t="s" s="0">
        <v>82</v>
      </c>
      <c r="Z171" t="s" s="0">
        <v>91</v>
      </c>
      <c r="AA171" t="s" s="0">
        <v>92</v>
      </c>
      <c r="AB171" t="s" s="0">
        <v>82</v>
      </c>
      <c r="AC171" t="s" s="0">
        <v>82</v>
      </c>
      <c r="AD171" t="s" s="0">
        <v>82</v>
      </c>
      <c r="AE171" t="s" s="0">
        <v>82</v>
      </c>
      <c r="AF171" t="s" s="0">
        <v>82</v>
      </c>
      <c r="AG171" t="s" s="0">
        <v>4133</v>
      </c>
      <c r="AH171" t="s" s="0">
        <v>82</v>
      </c>
      <c r="AI171" t="s" s="0">
        <v>4134</v>
      </c>
      <c r="AJ171" t="s" s="0">
        <v>4135</v>
      </c>
      <c r="AK171" t="s" s="0">
        <v>82</v>
      </c>
      <c r="AL171" t="s" s="0">
        <v>689</v>
      </c>
      <c r="AM171" t="s" s="0">
        <v>77</v>
      </c>
      <c r="AN171" t="s" s="0">
        <v>77</v>
      </c>
      <c r="AO171" t="s" s="0">
        <v>169</v>
      </c>
      <c r="AP171" t="s" s="0">
        <v>239</v>
      </c>
      <c r="AQ171" t="s" s="0">
        <v>3903</v>
      </c>
      <c r="AR171" t="s" s="0">
        <v>605</v>
      </c>
      <c r="AS171" t="s" s="0">
        <v>3904</v>
      </c>
      <c r="AT171" t="s" s="0">
        <v>3905</v>
      </c>
      <c r="AU171" t="s" s="0">
        <v>82</v>
      </c>
      <c r="AV171" t="s" s="0">
        <v>82</v>
      </c>
      <c r="AW171" t="s" s="0">
        <v>3906</v>
      </c>
      <c r="AX171" t="s" s="0">
        <v>3907</v>
      </c>
      <c r="AY171" t="s" s="0">
        <v>107</v>
      </c>
      <c r="AZ171" t="s" s="0">
        <v>107</v>
      </c>
      <c r="BA171" t="s" s="0">
        <v>277</v>
      </c>
      <c r="BB171" t="s" s="0">
        <v>82</v>
      </c>
      <c r="BC171" t="s" s="0">
        <v>82</v>
      </c>
      <c r="BD171" t="s" s="0">
        <v>82</v>
      </c>
      <c r="BE171" t="s" s="0">
        <v>82</v>
      </c>
      <c r="BF171" t="s" s="0">
        <v>82</v>
      </c>
      <c r="BG171" t="s" s="0">
        <v>82</v>
      </c>
      <c r="BH171" t="s" s="0">
        <v>82</v>
      </c>
      <c r="BI171" t="s" s="0">
        <v>4136</v>
      </c>
      <c r="BJ171" t="s" s="0">
        <v>4137</v>
      </c>
      <c r="BK171" t="s" s="339">
        <f>HYPERLINK("http://dx.doi.org/10.1177/20552076251395449","http://dx.doi.org/10.1177/20552076251395449")</f>
        <v>4138</v>
      </c>
      <c r="BL171" t="s" s="0">
        <v>82</v>
      </c>
      <c r="BM171" t="s" s="0">
        <v>82</v>
      </c>
      <c r="BN171" t="s" s="0">
        <v>272</v>
      </c>
      <c r="BO171" t="s" s="0">
        <v>3911</v>
      </c>
      <c r="BP171" t="s" s="0">
        <v>3912</v>
      </c>
      <c r="BQ171" t="s" s="0">
        <v>4139</v>
      </c>
      <c r="BR171" t="s" s="0">
        <v>4140</v>
      </c>
      <c r="BS171" t="s" s="0">
        <v>4141</v>
      </c>
      <c r="BT171" t="s" s="340">
        <f>HYPERLINK("https://www.webofscience.com/wos/woscc/full-record/WOS:001619215800001","View Record in Web of Science")</f>
        <v>118</v>
      </c>
      <c r="BU171" t="s" s="0">
        <v>187</v>
      </c>
      <c r="BV171" t="s" s="0">
        <v>82</v>
      </c>
      <c r="BW171" t="s" s="0">
        <v>82</v>
      </c>
      <c r="BX171" t="s" s="0">
        <v>119</v>
      </c>
    </row>
    <row r="172">
      <c r="A172" t="s" s="0">
        <v>77</v>
      </c>
      <c r="B172" t="s" s="0">
        <v>77</v>
      </c>
      <c r="C172" t="s" s="0">
        <v>77</v>
      </c>
      <c r="D172" t="s" s="0">
        <v>77</v>
      </c>
      <c r="E172" t="s" s="0">
        <v>4142</v>
      </c>
      <c r="F172" t="s" s="0">
        <v>4143</v>
      </c>
      <c r="G172" t="s" s="0">
        <v>4144</v>
      </c>
      <c r="H172" t="s" s="0">
        <v>82</v>
      </c>
      <c r="I172" t="s" s="0">
        <v>83</v>
      </c>
      <c r="J172" t="s" s="0">
        <v>4145</v>
      </c>
      <c r="K172" t="s" s="0">
        <v>4146</v>
      </c>
      <c r="L172" t="s" s="0">
        <v>82</v>
      </c>
      <c r="M172" t="s" s="0">
        <v>82</v>
      </c>
      <c r="N172" t="s" s="0">
        <v>82</v>
      </c>
      <c r="O172" t="s" s="0">
        <v>4147</v>
      </c>
      <c r="P172" t="s" s="0">
        <v>4148</v>
      </c>
      <c r="Q172" t="s" s="0">
        <v>88</v>
      </c>
      <c r="R172" t="s" s="0">
        <v>82</v>
      </c>
      <c r="S172" t="s" s="0">
        <v>82</v>
      </c>
      <c r="T172" t="s" s="0">
        <v>82</v>
      </c>
      <c r="U172" t="s" s="0">
        <v>82</v>
      </c>
      <c r="V172" t="s" s="0">
        <v>4149</v>
      </c>
      <c r="W172" t="s" s="0">
        <v>4150</v>
      </c>
      <c r="X172" t="s" s="0">
        <v>82</v>
      </c>
      <c r="Y172" t="s" s="0">
        <v>82</v>
      </c>
      <c r="Z172" t="s" s="0">
        <v>91</v>
      </c>
      <c r="AA172" t="s" s="0">
        <v>92</v>
      </c>
      <c r="AB172" t="s" s="0">
        <v>82</v>
      </c>
      <c r="AC172" t="s" s="0">
        <v>82</v>
      </c>
      <c r="AD172" t="s" s="0">
        <v>82</v>
      </c>
      <c r="AE172" t="s" s="0">
        <v>82</v>
      </c>
      <c r="AF172" t="s" s="0">
        <v>82</v>
      </c>
      <c r="AG172" t="s" s="0">
        <v>4151</v>
      </c>
      <c r="AH172" t="s" s="0">
        <v>4152</v>
      </c>
      <c r="AI172" t="s" s="0">
        <v>82</v>
      </c>
      <c r="AJ172" t="s" s="0">
        <v>82</v>
      </c>
      <c r="AK172" t="s" s="0">
        <v>82</v>
      </c>
      <c r="AL172" t="s" s="0">
        <v>510</v>
      </c>
      <c r="AM172" t="s" s="0">
        <v>77</v>
      </c>
      <c r="AN172" t="s" s="0">
        <v>77</v>
      </c>
      <c r="AO172" t="s" s="0">
        <v>264</v>
      </c>
      <c r="AP172" t="s" s="0">
        <v>264</v>
      </c>
      <c r="AQ172" t="s" s="0">
        <v>550</v>
      </c>
      <c r="AR172" t="s" s="0">
        <v>551</v>
      </c>
      <c r="AS172" t="s" s="0">
        <v>552</v>
      </c>
      <c r="AT172" t="s" s="0">
        <v>4153</v>
      </c>
      <c r="AU172" t="s" s="0">
        <v>4154</v>
      </c>
      <c r="AV172" t="s" s="0">
        <v>82</v>
      </c>
      <c r="AW172" t="s" s="0">
        <v>4155</v>
      </c>
      <c r="AX172" t="s" s="0">
        <v>4156</v>
      </c>
      <c r="AY172" t="s" s="0">
        <v>140</v>
      </c>
      <c r="AZ172" t="s" s="0">
        <v>141</v>
      </c>
      <c r="BA172" t="s" s="0">
        <v>1256</v>
      </c>
      <c r="BB172" t="s" s="0">
        <v>169</v>
      </c>
      <c r="BC172" t="s" s="0">
        <v>82</v>
      </c>
      <c r="BD172" t="s" s="0">
        <v>82</v>
      </c>
      <c r="BE172" t="s" s="0">
        <v>82</v>
      </c>
      <c r="BF172" t="s" s="0">
        <v>82</v>
      </c>
      <c r="BG172" t="s" s="0">
        <v>4157</v>
      </c>
      <c r="BH172" t="s" s="0">
        <v>4158</v>
      </c>
      <c r="BI172" t="s" s="0">
        <v>82</v>
      </c>
      <c r="BJ172" t="s" s="0">
        <v>4159</v>
      </c>
      <c r="BK172" t="s" s="341">
        <f>HYPERLINK("http://dx.doi.org/10.1007/s11096-026-02122-2","http://dx.doi.org/10.1007/s11096-026-02122-2")</f>
        <v>4160</v>
      </c>
      <c r="BL172" t="s" s="0">
        <v>82</v>
      </c>
      <c r="BM172" t="s" s="0">
        <v>562</v>
      </c>
      <c r="BN172" t="s" s="0">
        <v>342</v>
      </c>
      <c r="BO172" t="s" s="0">
        <v>4161</v>
      </c>
      <c r="BP172" t="s" s="0">
        <v>4161</v>
      </c>
      <c r="BQ172" t="s" s="0">
        <v>4162</v>
      </c>
      <c r="BR172" t="s" s="0">
        <v>4163</v>
      </c>
      <c r="BS172" t="s" s="0">
        <v>4164</v>
      </c>
      <c r="BT172" t="s" s="342">
        <f>HYPERLINK("https://www.webofscience.com/wos/woscc/full-record/WOS:001722992900001","View Record in Web of Science")</f>
        <v>118</v>
      </c>
      <c r="BU172" t="s" s="0">
        <v>152</v>
      </c>
      <c r="BV172" t="s" s="0">
        <v>82</v>
      </c>
      <c r="BW172" t="s" s="0">
        <v>82</v>
      </c>
      <c r="BX172" t="s" s="0">
        <v>119</v>
      </c>
    </row>
    <row r="173">
      <c r="A173" t="s" s="0">
        <v>77</v>
      </c>
      <c r="B173" t="s" s="0">
        <v>77</v>
      </c>
      <c r="C173" t="s" s="0">
        <v>77</v>
      </c>
      <c r="D173" t="s" s="0">
        <v>77</v>
      </c>
      <c r="E173" t="s" s="0">
        <v>4165</v>
      </c>
      <c r="F173" t="s" s="0">
        <v>4166</v>
      </c>
      <c r="G173" t="s" s="0">
        <v>4167</v>
      </c>
      <c r="H173" t="s" s="0">
        <v>82</v>
      </c>
      <c r="I173" t="s" s="0">
        <v>83</v>
      </c>
      <c r="J173" t="s" s="0">
        <v>4168</v>
      </c>
      <c r="K173" t="s" s="0">
        <v>4169</v>
      </c>
      <c r="L173" t="s" s="0">
        <v>82</v>
      </c>
      <c r="M173" t="s" s="0">
        <v>82</v>
      </c>
      <c r="N173" t="s" s="0">
        <v>82</v>
      </c>
      <c r="O173" t="s" s="0">
        <v>4170</v>
      </c>
      <c r="P173" t="s" s="0">
        <v>4171</v>
      </c>
      <c r="Q173" t="s" s="0">
        <v>88</v>
      </c>
      <c r="R173" t="s" s="0">
        <v>82</v>
      </c>
      <c r="S173" t="s" s="0">
        <v>82</v>
      </c>
      <c r="T173" t="s" s="0">
        <v>82</v>
      </c>
      <c r="U173" t="s" s="0">
        <v>82</v>
      </c>
      <c r="V173" t="s" s="0">
        <v>4172</v>
      </c>
      <c r="W173" t="s" s="0">
        <v>1672</v>
      </c>
      <c r="X173" t="s" s="0">
        <v>82</v>
      </c>
      <c r="Y173" t="s" s="0">
        <v>82</v>
      </c>
      <c r="Z173" t="s" s="0">
        <v>91</v>
      </c>
      <c r="AA173" t="s" s="0">
        <v>92</v>
      </c>
      <c r="AB173" t="s" s="0">
        <v>82</v>
      </c>
      <c r="AC173" t="s" s="0">
        <v>82</v>
      </c>
      <c r="AD173" t="s" s="0">
        <v>82</v>
      </c>
      <c r="AE173" t="s" s="0">
        <v>82</v>
      </c>
      <c r="AF173" t="s" s="0">
        <v>82</v>
      </c>
      <c r="AG173" t="s" s="0">
        <v>4173</v>
      </c>
      <c r="AH173" t="s" s="0">
        <v>4174</v>
      </c>
      <c r="AI173" t="s" s="0">
        <v>4175</v>
      </c>
      <c r="AJ173" t="s" s="0">
        <v>4176</v>
      </c>
      <c r="AK173" t="s" s="0">
        <v>82</v>
      </c>
      <c r="AL173" t="s" s="0">
        <v>2229</v>
      </c>
      <c r="AM173" t="s" s="0">
        <v>169</v>
      </c>
      <c r="AN173" t="s" s="0">
        <v>169</v>
      </c>
      <c r="AO173" t="s" s="0">
        <v>229</v>
      </c>
      <c r="AP173" t="s" s="0">
        <v>264</v>
      </c>
      <c r="AQ173" t="s" s="0">
        <v>604</v>
      </c>
      <c r="AR173" t="s" s="0">
        <v>605</v>
      </c>
      <c r="AS173" t="s" s="0">
        <v>606</v>
      </c>
      <c r="AT173" t="s" s="0">
        <v>82</v>
      </c>
      <c r="AU173" t="s" s="0">
        <v>1675</v>
      </c>
      <c r="AV173" t="s" s="0">
        <v>82</v>
      </c>
      <c r="AW173" t="s" s="0">
        <v>1676</v>
      </c>
      <c r="AX173" t="s" s="0">
        <v>1677</v>
      </c>
      <c r="AY173" t="s" s="0">
        <v>4177</v>
      </c>
      <c r="AZ173" t="s" s="0">
        <v>107</v>
      </c>
      <c r="BA173" t="s" s="0">
        <v>1068</v>
      </c>
      <c r="BB173" t="s" s="0">
        <v>229</v>
      </c>
      <c r="BC173" t="s" s="0">
        <v>82</v>
      </c>
      <c r="BD173" t="s" s="0">
        <v>82</v>
      </c>
      <c r="BE173" t="s" s="0">
        <v>82</v>
      </c>
      <c r="BF173" t="s" s="0">
        <v>82</v>
      </c>
      <c r="BG173" t="s" s="0">
        <v>82</v>
      </c>
      <c r="BH173" t="s" s="0">
        <v>82</v>
      </c>
      <c r="BI173" t="s" s="0">
        <v>4178</v>
      </c>
      <c r="BJ173" t="s" s="0">
        <v>4179</v>
      </c>
      <c r="BK173" t="s" s="343">
        <f>HYPERLINK("http://dx.doi.org/10.1186/s12911-025-03258-3","http://dx.doi.org/10.1186/s12911-025-03258-3")</f>
        <v>4180</v>
      </c>
      <c r="BL173" t="s" s="0">
        <v>82</v>
      </c>
      <c r="BM173" t="s" s="0">
        <v>82</v>
      </c>
      <c r="BN173" t="s" s="0">
        <v>342</v>
      </c>
      <c r="BO173" t="s" s="0">
        <v>1069</v>
      </c>
      <c r="BP173" t="s" s="0">
        <v>1069</v>
      </c>
      <c r="BQ173" t="s" s="0">
        <v>4181</v>
      </c>
      <c r="BR173" t="s" s="0">
        <v>4182</v>
      </c>
      <c r="BS173" t="s" s="0">
        <v>4183</v>
      </c>
      <c r="BT173" t="s" s="344">
        <f>HYPERLINK("https://www.webofscience.com/wos/woscc/full-record/WOS:001616344200001","View Record in Web of Science")</f>
        <v>118</v>
      </c>
      <c r="BU173" t="s" s="0">
        <v>187</v>
      </c>
      <c r="BV173" t="s" s="0">
        <v>82</v>
      </c>
      <c r="BW173" t="s" s="0">
        <v>82</v>
      </c>
      <c r="BX173" t="s" s="0">
        <v>119</v>
      </c>
    </row>
    <row r="174">
      <c r="A174" t="s" s="0">
        <v>77</v>
      </c>
      <c r="B174" t="s" s="0">
        <v>77</v>
      </c>
      <c r="C174" t="s" s="0">
        <v>77</v>
      </c>
      <c r="D174" t="s" s="0">
        <v>77</v>
      </c>
      <c r="E174" t="s" s="0">
        <v>4184</v>
      </c>
      <c r="F174" t="s" s="0">
        <v>4185</v>
      </c>
      <c r="G174" t="s" s="0">
        <v>4186</v>
      </c>
      <c r="H174" t="s" s="0">
        <v>82</v>
      </c>
      <c r="I174" t="s" s="0">
        <v>83</v>
      </c>
      <c r="J174" t="s" s="0">
        <v>4187</v>
      </c>
      <c r="K174" t="s" s="0">
        <v>4188</v>
      </c>
      <c r="L174" t="s" s="0">
        <v>4189</v>
      </c>
      <c r="M174" t="s" s="0">
        <v>4190</v>
      </c>
      <c r="N174" t="s" s="0">
        <v>4191</v>
      </c>
      <c r="O174" t="s" s="0">
        <v>4192</v>
      </c>
      <c r="P174" t="s" s="0">
        <v>4193</v>
      </c>
      <c r="Q174" t="s" s="0">
        <v>88</v>
      </c>
      <c r="R174" t="s" s="0">
        <v>82</v>
      </c>
      <c r="S174" t="s" s="0">
        <v>82</v>
      </c>
      <c r="T174" t="s" s="0">
        <v>82</v>
      </c>
      <c r="U174" t="s" s="0">
        <v>82</v>
      </c>
      <c r="V174" t="s" s="0">
        <v>4194</v>
      </c>
      <c r="W174" t="s" s="0">
        <v>4195</v>
      </c>
      <c r="X174" t="s" s="0">
        <v>82</v>
      </c>
      <c r="Y174" t="s" s="0">
        <v>82</v>
      </c>
      <c r="Z174" t="s" s="0">
        <v>91</v>
      </c>
      <c r="AA174" t="s" s="0">
        <v>526</v>
      </c>
      <c r="AB174" t="s" s="0">
        <v>82</v>
      </c>
      <c r="AC174" t="s" s="0">
        <v>82</v>
      </c>
      <c r="AD174" t="s" s="0">
        <v>82</v>
      </c>
      <c r="AE174" t="s" s="0">
        <v>82</v>
      </c>
      <c r="AF174" t="s" s="0">
        <v>82</v>
      </c>
      <c r="AG174" t="s" s="0">
        <v>4196</v>
      </c>
      <c r="AH174" t="s" s="0">
        <v>82</v>
      </c>
      <c r="AI174" t="s" s="0">
        <v>4197</v>
      </c>
      <c r="AJ174" t="s" s="0">
        <v>82</v>
      </c>
      <c r="AK174" t="s" s="0">
        <v>82</v>
      </c>
      <c r="AL174" t="s" s="0">
        <v>862</v>
      </c>
      <c r="AM174" t="s" s="0">
        <v>77</v>
      </c>
      <c r="AN174" t="s" s="0">
        <v>77</v>
      </c>
      <c r="AO174" t="s" s="0">
        <v>77</v>
      </c>
      <c r="AP174" t="s" s="0">
        <v>77</v>
      </c>
      <c r="AQ174" t="s" s="0">
        <v>550</v>
      </c>
      <c r="AR174" t="s" s="0">
        <v>739</v>
      </c>
      <c r="AS174" t="s" s="0">
        <v>740</v>
      </c>
      <c r="AT174" t="s" s="0">
        <v>4198</v>
      </c>
      <c r="AU174" t="s" s="0">
        <v>4199</v>
      </c>
      <c r="AV174" t="s" s="0">
        <v>82</v>
      </c>
      <c r="AW174" t="s" s="0">
        <v>4200</v>
      </c>
      <c r="AX174" t="s" s="0">
        <v>4201</v>
      </c>
      <c r="AY174" t="s" s="0">
        <v>82</v>
      </c>
      <c r="AZ174" t="s" s="0">
        <v>141</v>
      </c>
      <c r="BA174" t="s" s="0">
        <v>82</v>
      </c>
      <c r="BB174" t="s" s="0">
        <v>82</v>
      </c>
      <c r="BC174" t="s" s="0">
        <v>82</v>
      </c>
      <c r="BD174" t="s" s="0">
        <v>82</v>
      </c>
      <c r="BE174" t="s" s="0">
        <v>82</v>
      </c>
      <c r="BF174" t="s" s="0">
        <v>82</v>
      </c>
      <c r="BG174" t="s" s="0">
        <v>82</v>
      </c>
      <c r="BH174" t="s" s="0">
        <v>82</v>
      </c>
      <c r="BI174" t="s" s="0">
        <v>82</v>
      </c>
      <c r="BJ174" t="s" s="0">
        <v>4202</v>
      </c>
      <c r="BK174" t="s" s="345">
        <f>HYPERLINK("http://dx.doi.org/10.1007/s00261-026-05706-8","http://dx.doi.org/10.1007/s00261-026-05706-8")</f>
        <v>4203</v>
      </c>
      <c r="BL174" t="s" s="0">
        <v>82</v>
      </c>
      <c r="BM174" t="s" s="0">
        <v>534</v>
      </c>
      <c r="BN174" t="s" s="0">
        <v>212</v>
      </c>
      <c r="BO174" t="s" s="0">
        <v>752</v>
      </c>
      <c r="BP174" t="s" s="0">
        <v>752</v>
      </c>
      <c r="BQ174" t="s" s="0">
        <v>4204</v>
      </c>
      <c r="BR174" t="s" s="0">
        <v>4205</v>
      </c>
      <c r="BS174" t="s" s="0">
        <v>4206</v>
      </c>
      <c r="BT174" t="s" s="346">
        <f>HYPERLINK("https://www.webofscience.com/wos/woscc/full-record/WOS:001828578200001","View Record in Web of Science")</f>
        <v>118</v>
      </c>
      <c r="BU174" t="s" s="0">
        <v>82</v>
      </c>
      <c r="BV174" t="s" s="0">
        <v>82</v>
      </c>
      <c r="BW174" t="s" s="0">
        <v>82</v>
      </c>
      <c r="BX174" t="s" s="0">
        <v>119</v>
      </c>
    </row>
    <row r="175">
      <c r="A175" t="s" s="0">
        <v>77</v>
      </c>
      <c r="B175" t="s" s="0">
        <v>77</v>
      </c>
      <c r="C175" t="s" s="0">
        <v>77</v>
      </c>
      <c r="D175" t="s" s="0">
        <v>77</v>
      </c>
      <c r="E175" t="s" s="0">
        <v>4207</v>
      </c>
      <c r="F175" t="s" s="0">
        <v>4208</v>
      </c>
      <c r="G175" t="s" s="0">
        <v>4209</v>
      </c>
      <c r="H175" t="s" s="0">
        <v>82</v>
      </c>
      <c r="I175" t="s" s="0">
        <v>83</v>
      </c>
      <c r="J175" t="s" s="0">
        <v>4210</v>
      </c>
      <c r="K175" t="s" s="0">
        <v>4211</v>
      </c>
      <c r="L175" t="s" s="0">
        <v>82</v>
      </c>
      <c r="M175" t="s" s="0">
        <v>82</v>
      </c>
      <c r="N175" t="s" s="0">
        <v>82</v>
      </c>
      <c r="O175" t="s" s="0">
        <v>4212</v>
      </c>
      <c r="P175" t="s" s="0">
        <v>4213</v>
      </c>
      <c r="Q175" t="s" s="0">
        <v>88</v>
      </c>
      <c r="R175" t="s" s="0">
        <v>82</v>
      </c>
      <c r="S175" t="s" s="0">
        <v>82</v>
      </c>
      <c r="T175" t="s" s="0">
        <v>82</v>
      </c>
      <c r="U175" t="s" s="0">
        <v>82</v>
      </c>
      <c r="V175" t="s" s="0">
        <v>4214</v>
      </c>
      <c r="W175" t="s" s="0">
        <v>4215</v>
      </c>
      <c r="X175" t="s" s="0">
        <v>82</v>
      </c>
      <c r="Y175" t="s" s="0">
        <v>82</v>
      </c>
      <c r="Z175" t="s" s="0">
        <v>91</v>
      </c>
      <c r="AA175" t="s" s="0">
        <v>92</v>
      </c>
      <c r="AB175" t="s" s="0">
        <v>82</v>
      </c>
      <c r="AC175" t="s" s="0">
        <v>82</v>
      </c>
      <c r="AD175" t="s" s="0">
        <v>82</v>
      </c>
      <c r="AE175" t="s" s="0">
        <v>82</v>
      </c>
      <c r="AF175" t="s" s="0">
        <v>82</v>
      </c>
      <c r="AG175" t="s" s="0">
        <v>4216</v>
      </c>
      <c r="AH175" t="s" s="0">
        <v>82</v>
      </c>
      <c r="AI175" t="s" s="0">
        <v>4217</v>
      </c>
      <c r="AJ175" t="s" s="0">
        <v>4218</v>
      </c>
      <c r="AK175" t="s" s="0">
        <v>82</v>
      </c>
      <c r="AL175" t="s" s="0">
        <v>952</v>
      </c>
      <c r="AM175" t="s" s="0">
        <v>77</v>
      </c>
      <c r="AN175" t="s" s="0">
        <v>77</v>
      </c>
      <c r="AO175" t="s" s="0">
        <v>77</v>
      </c>
      <c r="AP175" t="s" s="0">
        <v>77</v>
      </c>
      <c r="AQ175" t="s" s="0">
        <v>133</v>
      </c>
      <c r="AR175" t="s" s="0">
        <v>134</v>
      </c>
      <c r="AS175" t="s" s="0">
        <v>135</v>
      </c>
      <c r="AT175" t="s" s="0">
        <v>4219</v>
      </c>
      <c r="AU175" t="s" s="0">
        <v>4220</v>
      </c>
      <c r="AV175" t="s" s="0">
        <v>82</v>
      </c>
      <c r="AW175" t="s" s="0">
        <v>4221</v>
      </c>
      <c r="AX175" t="s" s="0">
        <v>4222</v>
      </c>
      <c r="AY175" t="s" s="0">
        <v>4223</v>
      </c>
      <c r="AZ175" t="s" s="0">
        <v>141</v>
      </c>
      <c r="BA175" t="s" s="0">
        <v>746</v>
      </c>
      <c r="BB175" t="s" s="0">
        <v>169</v>
      </c>
      <c r="BC175" t="s" s="0">
        <v>82</v>
      </c>
      <c r="BD175" t="s" s="0">
        <v>82</v>
      </c>
      <c r="BE175" t="s" s="0">
        <v>82</v>
      </c>
      <c r="BF175" t="s" s="0">
        <v>82</v>
      </c>
      <c r="BG175" t="s" s="0">
        <v>82</v>
      </c>
      <c r="BH175" t="s" s="0">
        <v>82</v>
      </c>
      <c r="BI175" t="s" s="0">
        <v>4224</v>
      </c>
      <c r="BJ175" t="s" s="0">
        <v>4225</v>
      </c>
      <c r="BK175" t="s" s="347">
        <f>HYPERLINK("http://dx.doi.org/10.1002/ima.70409","http://dx.doi.org/10.1002/ima.70409")</f>
        <v>4226</v>
      </c>
      <c r="BL175" t="s" s="0">
        <v>82</v>
      </c>
      <c r="BM175" t="s" s="0">
        <v>82</v>
      </c>
      <c r="BN175" t="s" s="0">
        <v>346</v>
      </c>
      <c r="BO175" t="s" s="0">
        <v>4227</v>
      </c>
      <c r="BP175" t="s" s="0">
        <v>4228</v>
      </c>
      <c r="BQ175" t="s" s="0">
        <v>4229</v>
      </c>
      <c r="BR175" t="s" s="0">
        <v>82</v>
      </c>
      <c r="BS175" t="s" s="0">
        <v>4230</v>
      </c>
      <c r="BT175" t="s" s="348">
        <f>HYPERLINK("https://www.webofscience.com/wos/woscc/full-record/WOS:001816530400001","View Record in Web of Science")</f>
        <v>118</v>
      </c>
      <c r="BU175" t="s" s="0">
        <v>538</v>
      </c>
      <c r="BV175" t="s" s="0">
        <v>82</v>
      </c>
      <c r="BW175" t="s" s="0">
        <v>82</v>
      </c>
      <c r="BX175" t="s" s="0">
        <v>119</v>
      </c>
    </row>
    <row r="176">
      <c r="A176" t="s" s="0">
        <v>229</v>
      </c>
      <c r="B176" t="s" s="0">
        <v>77</v>
      </c>
      <c r="C176" t="s" s="0">
        <v>77</v>
      </c>
      <c r="D176" t="s" s="0">
        <v>77</v>
      </c>
      <c r="E176" t="s" s="0">
        <v>4231</v>
      </c>
      <c r="F176" t="s" s="0">
        <v>4232</v>
      </c>
      <c r="G176" t="s" s="0">
        <v>4233</v>
      </c>
      <c r="H176" t="s" s="0">
        <v>82</v>
      </c>
      <c r="I176" t="s" s="0">
        <v>83</v>
      </c>
      <c r="J176" t="s" s="0">
        <v>4234</v>
      </c>
      <c r="K176" t="s" s="0">
        <v>4235</v>
      </c>
      <c r="L176" t="s" s="0">
        <v>82</v>
      </c>
      <c r="M176" t="s" s="0">
        <v>82</v>
      </c>
      <c r="N176" t="s" s="0">
        <v>82</v>
      </c>
      <c r="O176" t="s" s="0">
        <v>4236</v>
      </c>
      <c r="P176" t="s" s="0">
        <v>4237</v>
      </c>
      <c r="Q176" t="s" s="0">
        <v>88</v>
      </c>
      <c r="R176" t="s" s="0">
        <v>82</v>
      </c>
      <c r="S176" t="s" s="0">
        <v>82</v>
      </c>
      <c r="T176" t="s" s="0">
        <v>82</v>
      </c>
      <c r="U176" t="s" s="0">
        <v>82</v>
      </c>
      <c r="V176" t="s" s="0">
        <v>4238</v>
      </c>
      <c r="W176" t="s" s="0">
        <v>196</v>
      </c>
      <c r="X176" t="s" s="0">
        <v>82</v>
      </c>
      <c r="Y176" t="s" s="0">
        <v>82</v>
      </c>
      <c r="Z176" t="s" s="0">
        <v>91</v>
      </c>
      <c r="AA176" t="s" s="0">
        <v>92</v>
      </c>
      <c r="AB176" t="s" s="0">
        <v>82</v>
      </c>
      <c r="AC176" t="s" s="0">
        <v>82</v>
      </c>
      <c r="AD176" t="s" s="0">
        <v>82</v>
      </c>
      <c r="AE176" t="s" s="0">
        <v>82</v>
      </c>
      <c r="AF176" t="s" s="0">
        <v>82</v>
      </c>
      <c r="AG176" t="s" s="0">
        <v>4239</v>
      </c>
      <c r="AH176" t="s" s="0">
        <v>82</v>
      </c>
      <c r="AI176" t="s" s="0">
        <v>4240</v>
      </c>
      <c r="AJ176" t="s" s="0">
        <v>4241</v>
      </c>
      <c r="AK176" t="s" s="0">
        <v>82</v>
      </c>
      <c r="AL176" t="s" s="0">
        <v>811</v>
      </c>
      <c r="AM176" t="s" s="0">
        <v>239</v>
      </c>
      <c r="AN176" t="s" s="0">
        <v>308</v>
      </c>
      <c r="AO176" t="s" s="0">
        <v>78</v>
      </c>
      <c r="AP176" t="s" s="0">
        <v>78</v>
      </c>
      <c r="AQ176" t="s" s="0">
        <v>200</v>
      </c>
      <c r="AR176" t="s" s="0">
        <v>201</v>
      </c>
      <c r="AS176" t="s" s="0">
        <v>202</v>
      </c>
      <c r="AT176" t="s" s="0">
        <v>203</v>
      </c>
      <c r="AU176" t="s" s="0">
        <v>204</v>
      </c>
      <c r="AV176" t="s" s="0">
        <v>82</v>
      </c>
      <c r="AW176" t="s" s="0">
        <v>205</v>
      </c>
      <c r="AX176" t="s" s="0">
        <v>206</v>
      </c>
      <c r="AY176" t="s" s="0">
        <v>4242</v>
      </c>
      <c r="AZ176" t="s" s="0">
        <v>107</v>
      </c>
      <c r="BA176" t="s" s="0">
        <v>510</v>
      </c>
      <c r="BB176" t="s" s="0">
        <v>82</v>
      </c>
      <c r="BC176" t="s" s="0">
        <v>82</v>
      </c>
      <c r="BD176" t="s" s="0">
        <v>82</v>
      </c>
      <c r="BE176" t="s" s="0">
        <v>82</v>
      </c>
      <c r="BF176" t="s" s="0">
        <v>82</v>
      </c>
      <c r="BG176" t="s" s="0">
        <v>82</v>
      </c>
      <c r="BH176" t="s" s="0">
        <v>82</v>
      </c>
      <c r="BI176" t="s" s="0">
        <v>4243</v>
      </c>
      <c r="BJ176" t="s" s="0">
        <v>4244</v>
      </c>
      <c r="BK176" t="s" s="349">
        <f>HYPERLINK("http://dx.doi.org/10.2196/69752","http://dx.doi.org/10.2196/69752")</f>
        <v>4245</v>
      </c>
      <c r="BL176" t="s" s="0">
        <v>82</v>
      </c>
      <c r="BM176" t="s" s="0">
        <v>82</v>
      </c>
      <c r="BN176" t="s" s="0">
        <v>346</v>
      </c>
      <c r="BO176" t="s" s="0">
        <v>213</v>
      </c>
      <c r="BP176" t="s" s="0">
        <v>213</v>
      </c>
      <c r="BQ176" t="s" s="0">
        <v>4246</v>
      </c>
      <c r="BR176" t="s" s="0">
        <v>4247</v>
      </c>
      <c r="BS176" t="s" s="0">
        <v>4248</v>
      </c>
      <c r="BT176" t="s" s="350">
        <f>HYPERLINK("https://www.webofscience.com/wos/woscc/full-record/WOS:001590316200011","View Record in Web of Science")</f>
        <v>118</v>
      </c>
      <c r="BU176" t="s" s="0">
        <v>187</v>
      </c>
      <c r="BV176" t="s" s="0">
        <v>82</v>
      </c>
      <c r="BW176" t="s" s="0">
        <v>82</v>
      </c>
      <c r="BX176" t="s" s="0">
        <v>119</v>
      </c>
    </row>
    <row r="177">
      <c r="A177" t="s" s="0">
        <v>77</v>
      </c>
      <c r="B177" t="s" s="0">
        <v>77</v>
      </c>
      <c r="C177" t="s" s="0">
        <v>77</v>
      </c>
      <c r="D177" t="s" s="0">
        <v>77</v>
      </c>
      <c r="E177" t="s" s="0">
        <v>4249</v>
      </c>
      <c r="F177" t="s" s="0">
        <v>4250</v>
      </c>
      <c r="G177" t="s" s="0">
        <v>4251</v>
      </c>
      <c r="H177" t="s" s="0">
        <v>82</v>
      </c>
      <c r="I177" t="s" s="0">
        <v>595</v>
      </c>
      <c r="J177" t="s" s="0">
        <v>4252</v>
      </c>
      <c r="K177" t="s" s="0">
        <v>4253</v>
      </c>
      <c r="L177" t="s" s="0">
        <v>4254</v>
      </c>
      <c r="M177" t="s" s="0">
        <v>4255</v>
      </c>
      <c r="N177" t="s" s="0">
        <v>4256</v>
      </c>
      <c r="O177" t="s" s="0">
        <v>4257</v>
      </c>
      <c r="P177" t="s" s="0">
        <v>4258</v>
      </c>
      <c r="Q177" t="s" s="0">
        <v>88</v>
      </c>
      <c r="R177" t="s" s="0">
        <v>82</v>
      </c>
      <c r="S177" t="s" s="0">
        <v>82</v>
      </c>
      <c r="T177" t="s" s="0">
        <v>82</v>
      </c>
      <c r="U177" t="s" s="0">
        <v>82</v>
      </c>
      <c r="V177" t="s" s="0">
        <v>4259</v>
      </c>
      <c r="W177" t="s" s="0">
        <v>4260</v>
      </c>
      <c r="X177" t="s" s="0">
        <v>82</v>
      </c>
      <c r="Y177" t="s" s="0">
        <v>82</v>
      </c>
      <c r="Z177" t="s" s="0">
        <v>91</v>
      </c>
      <c r="AA177" t="s" s="0">
        <v>92</v>
      </c>
      <c r="AB177" t="s" s="0">
        <v>82</v>
      </c>
      <c r="AC177" t="s" s="0">
        <v>82</v>
      </c>
      <c r="AD177" t="s" s="0">
        <v>82</v>
      </c>
      <c r="AE177" t="s" s="0">
        <v>82</v>
      </c>
      <c r="AF177" t="s" s="0">
        <v>82</v>
      </c>
      <c r="AG177" t="s" s="0">
        <v>4261</v>
      </c>
      <c r="AH177" t="s" s="0">
        <v>82</v>
      </c>
      <c r="AI177" t="s" s="0">
        <v>82</v>
      </c>
      <c r="AJ177" t="s" s="0">
        <v>82</v>
      </c>
      <c r="AK177" t="s" s="0">
        <v>82</v>
      </c>
      <c r="AL177" t="s" s="0">
        <v>510</v>
      </c>
      <c r="AM177" t="s" s="0">
        <v>229</v>
      </c>
      <c r="AN177" t="s" s="0">
        <v>229</v>
      </c>
      <c r="AO177" t="s" s="0">
        <v>229</v>
      </c>
      <c r="AP177" t="s" s="0">
        <v>229</v>
      </c>
      <c r="AQ177" t="s" s="0">
        <v>4262</v>
      </c>
      <c r="AR177" t="s" s="0">
        <v>4263</v>
      </c>
      <c r="AS177" t="s" s="0">
        <v>4264</v>
      </c>
      <c r="AT177" t="s" s="0">
        <v>82</v>
      </c>
      <c r="AU177" t="s" s="0">
        <v>4265</v>
      </c>
      <c r="AV177" t="s" s="0">
        <v>82</v>
      </c>
      <c r="AW177" t="s" s="0">
        <v>4260</v>
      </c>
      <c r="AX177" t="s" s="0">
        <v>4266</v>
      </c>
      <c r="AY177" t="s" s="0">
        <v>562</v>
      </c>
      <c r="AZ177" t="s" s="0">
        <v>141</v>
      </c>
      <c r="BA177" t="s" s="0">
        <v>169</v>
      </c>
      <c r="BB177" t="s" s="0">
        <v>229</v>
      </c>
      <c r="BC177" t="s" s="0">
        <v>82</v>
      </c>
      <c r="BD177" t="s" s="0">
        <v>82</v>
      </c>
      <c r="BE177" t="s" s="0">
        <v>82</v>
      </c>
      <c r="BF177" t="s" s="0">
        <v>82</v>
      </c>
      <c r="BG177" t="s" s="0">
        <v>82</v>
      </c>
      <c r="BH177" t="s" s="0">
        <v>82</v>
      </c>
      <c r="BI177" t="s" s="0">
        <v>4267</v>
      </c>
      <c r="BJ177" t="s" s="0">
        <v>4268</v>
      </c>
      <c r="BK177" t="s" s="351">
        <f>HYPERLINK("http://dx.doi.org/10.1016/j.metrad.2025.100186","http://dx.doi.org/10.1016/j.metrad.2025.100186")</f>
        <v>4269</v>
      </c>
      <c r="BL177" t="s" s="0">
        <v>82</v>
      </c>
      <c r="BM177" t="s" s="0">
        <v>745</v>
      </c>
      <c r="BN177" t="s" s="0">
        <v>272</v>
      </c>
      <c r="BO177" t="s" s="0">
        <v>4270</v>
      </c>
      <c r="BP177" t="s" s="0">
        <v>4271</v>
      </c>
      <c r="BQ177" t="s" s="0">
        <v>4272</v>
      </c>
      <c r="BR177" t="s" s="0">
        <v>82</v>
      </c>
      <c r="BS177" t="s" s="0">
        <v>4273</v>
      </c>
      <c r="BT177" t="s" s="352">
        <f>HYPERLINK("https://www.webofscience.com/wos/woscc/full-record/WOS:001692611900001","View Record in Web of Science")</f>
        <v>118</v>
      </c>
      <c r="BU177" t="s" s="0">
        <v>187</v>
      </c>
      <c r="BV177" t="s" s="0">
        <v>82</v>
      </c>
      <c r="BW177" t="s" s="0">
        <v>82</v>
      </c>
      <c r="BX177" t="s" s="0">
        <v>119</v>
      </c>
    </row>
    <row r="178">
      <c r="A178" t="s" s="0">
        <v>77</v>
      </c>
      <c r="B178" t="s" s="0">
        <v>77</v>
      </c>
      <c r="C178" t="s" s="0">
        <v>77</v>
      </c>
      <c r="D178" t="s" s="0">
        <v>77</v>
      </c>
      <c r="E178" t="s" s="0">
        <v>4274</v>
      </c>
      <c r="F178" t="s" s="0">
        <v>4275</v>
      </c>
      <c r="G178" t="s" s="0">
        <v>4276</v>
      </c>
      <c r="H178" t="s" s="0">
        <v>82</v>
      </c>
      <c r="I178" t="s" s="0">
        <v>83</v>
      </c>
      <c r="J178" t="s" s="0">
        <v>4277</v>
      </c>
      <c r="K178" t="s" s="0">
        <v>4278</v>
      </c>
      <c r="L178" t="s" s="0">
        <v>4279</v>
      </c>
      <c r="M178" t="s" s="0">
        <v>4279</v>
      </c>
      <c r="N178" t="s" s="0">
        <v>4280</v>
      </c>
      <c r="O178" t="s" s="0">
        <v>4281</v>
      </c>
      <c r="P178" t="s" s="0">
        <v>4282</v>
      </c>
      <c r="Q178" t="s" s="0">
        <v>88</v>
      </c>
      <c r="R178" t="s" s="0">
        <v>82</v>
      </c>
      <c r="S178" t="s" s="0">
        <v>82</v>
      </c>
      <c r="T178" t="s" s="0">
        <v>82</v>
      </c>
      <c r="U178" t="s" s="0">
        <v>82</v>
      </c>
      <c r="V178" t="s" s="0">
        <v>4283</v>
      </c>
      <c r="W178" t="s" s="0">
        <v>2811</v>
      </c>
      <c r="X178" t="s" s="0">
        <v>82</v>
      </c>
      <c r="Y178" t="s" s="0">
        <v>82</v>
      </c>
      <c r="Z178" t="s" s="0">
        <v>91</v>
      </c>
      <c r="AA178" t="s" s="0">
        <v>92</v>
      </c>
      <c r="AB178" t="s" s="0">
        <v>82</v>
      </c>
      <c r="AC178" t="s" s="0">
        <v>82</v>
      </c>
      <c r="AD178" t="s" s="0">
        <v>82</v>
      </c>
      <c r="AE178" t="s" s="0">
        <v>82</v>
      </c>
      <c r="AF178" t="s" s="0">
        <v>82</v>
      </c>
      <c r="AG178" t="s" s="0">
        <v>4284</v>
      </c>
      <c r="AH178" t="s" s="0">
        <v>94</v>
      </c>
      <c r="AI178" t="s" s="0">
        <v>82</v>
      </c>
      <c r="AJ178" t="s" s="0">
        <v>82</v>
      </c>
      <c r="AK178" t="s" s="0">
        <v>82</v>
      </c>
      <c r="AL178" t="s" s="0">
        <v>952</v>
      </c>
      <c r="AM178" t="s" s="0">
        <v>169</v>
      </c>
      <c r="AN178" t="s" s="0">
        <v>239</v>
      </c>
      <c r="AO178" t="s" s="0">
        <v>264</v>
      </c>
      <c r="AP178" t="s" s="0">
        <v>277</v>
      </c>
      <c r="AQ178" t="s" s="0">
        <v>550</v>
      </c>
      <c r="AR178" t="s" s="0">
        <v>739</v>
      </c>
      <c r="AS178" t="s" s="0">
        <v>740</v>
      </c>
      <c r="AT178" t="s" s="0">
        <v>2813</v>
      </c>
      <c r="AU178" t="s" s="0">
        <v>2814</v>
      </c>
      <c r="AV178" t="s" s="0">
        <v>82</v>
      </c>
      <c r="AW178" t="s" s="0">
        <v>2815</v>
      </c>
      <c r="AX178" t="s" s="0">
        <v>2816</v>
      </c>
      <c r="AY178" t="s" s="0">
        <v>745</v>
      </c>
      <c r="AZ178" t="s" s="0">
        <v>141</v>
      </c>
      <c r="BA178" t="s" s="0">
        <v>2289</v>
      </c>
      <c r="BB178" t="s" s="0">
        <v>78</v>
      </c>
      <c r="BC178" t="s" s="0">
        <v>82</v>
      </c>
      <c r="BD178" t="s" s="0">
        <v>82</v>
      </c>
      <c r="BE178" t="s" s="0">
        <v>82</v>
      </c>
      <c r="BF178" t="s" s="0">
        <v>82</v>
      </c>
      <c r="BG178" t="s" s="0">
        <v>4285</v>
      </c>
      <c r="BH178" t="s" s="0">
        <v>4286</v>
      </c>
      <c r="BI178" t="s" s="0">
        <v>82</v>
      </c>
      <c r="BJ178" t="s" s="0">
        <v>4287</v>
      </c>
      <c r="BK178" t="s" s="353">
        <f>HYPERLINK("http://dx.doi.org/10.1245/s10434-025-18492-2","http://dx.doi.org/10.1245/s10434-025-18492-2")</f>
        <v>4288</v>
      </c>
      <c r="BL178" t="s" s="0">
        <v>82</v>
      </c>
      <c r="BM178" t="s" s="0">
        <v>106</v>
      </c>
      <c r="BN178" t="s" s="0">
        <v>346</v>
      </c>
      <c r="BO178" t="s" s="0">
        <v>2819</v>
      </c>
      <c r="BP178" t="s" s="0">
        <v>2819</v>
      </c>
      <c r="BQ178" t="s" s="0">
        <v>4289</v>
      </c>
      <c r="BR178" t="s" s="0">
        <v>4290</v>
      </c>
      <c r="BS178" t="s" s="0">
        <v>4291</v>
      </c>
      <c r="BT178" t="s" s="354">
        <f>HYPERLINK("https://www.webofscience.com/wos/woscc/full-record/WOS:001595116500001","View Record in Web of Science")</f>
        <v>118</v>
      </c>
      <c r="BU178" t="s" s="0">
        <v>82</v>
      </c>
      <c r="BV178" t="s" s="0">
        <v>82</v>
      </c>
      <c r="BW178" t="s" s="0">
        <v>82</v>
      </c>
      <c r="BX178" t="s" s="0">
        <v>119</v>
      </c>
    </row>
    <row r="179">
      <c r="A179" t="s" s="0">
        <v>77</v>
      </c>
      <c r="B179" t="s" s="0">
        <v>77</v>
      </c>
      <c r="C179" t="s" s="0">
        <v>77</v>
      </c>
      <c r="D179" t="s" s="0">
        <v>77</v>
      </c>
      <c r="E179" t="s" s="0">
        <v>4292</v>
      </c>
      <c r="F179" t="s" s="0">
        <v>4293</v>
      </c>
      <c r="G179" t="s" s="0">
        <v>4294</v>
      </c>
      <c r="H179" t="s" s="0">
        <v>82</v>
      </c>
      <c r="I179" t="s" s="0">
        <v>83</v>
      </c>
      <c r="J179" t="s" s="0">
        <v>4295</v>
      </c>
      <c r="K179" t="s" s="0">
        <v>4296</v>
      </c>
      <c r="L179" t="s" s="0">
        <v>4297</v>
      </c>
      <c r="M179" t="s" s="0">
        <v>4298</v>
      </c>
      <c r="N179" t="s" s="0">
        <v>4299</v>
      </c>
      <c r="O179" t="s" s="0">
        <v>4300</v>
      </c>
      <c r="P179" t="s" s="0">
        <v>4298</v>
      </c>
      <c r="Q179" t="s" s="0">
        <v>88</v>
      </c>
      <c r="R179" t="s" s="0">
        <v>82</v>
      </c>
      <c r="S179" t="s" s="0">
        <v>82</v>
      </c>
      <c r="T179" t="s" s="0">
        <v>82</v>
      </c>
      <c r="U179" t="s" s="0">
        <v>82</v>
      </c>
      <c r="V179" t="s" s="0">
        <v>4301</v>
      </c>
      <c r="W179" t="s" s="0">
        <v>4302</v>
      </c>
      <c r="X179" t="s" s="0">
        <v>82</v>
      </c>
      <c r="Y179" t="s" s="0">
        <v>82</v>
      </c>
      <c r="Z179" t="s" s="0">
        <v>91</v>
      </c>
      <c r="AA179" t="s" s="0">
        <v>92</v>
      </c>
      <c r="AB179" t="s" s="0">
        <v>82</v>
      </c>
      <c r="AC179" t="s" s="0">
        <v>82</v>
      </c>
      <c r="AD179" t="s" s="0">
        <v>82</v>
      </c>
      <c r="AE179" t="s" s="0">
        <v>82</v>
      </c>
      <c r="AF179" t="s" s="0">
        <v>82</v>
      </c>
      <c r="AG179" t="s" s="0">
        <v>4303</v>
      </c>
      <c r="AH179" t="s" s="0">
        <v>4304</v>
      </c>
      <c r="AI179" t="s" s="0">
        <v>4305</v>
      </c>
      <c r="AJ179" t="s" s="0">
        <v>82</v>
      </c>
      <c r="AK179" t="s" s="0">
        <v>82</v>
      </c>
      <c r="AL179" t="s" s="0">
        <v>746</v>
      </c>
      <c r="AM179" t="s" s="0">
        <v>77</v>
      </c>
      <c r="AN179" t="s" s="0">
        <v>77</v>
      </c>
      <c r="AO179" t="s" s="0">
        <v>229</v>
      </c>
      <c r="AP179" t="s" s="0">
        <v>229</v>
      </c>
      <c r="AQ179" t="s" s="0">
        <v>3903</v>
      </c>
      <c r="AR179" t="s" s="0">
        <v>605</v>
      </c>
      <c r="AS179" t="s" s="0">
        <v>3904</v>
      </c>
      <c r="AT179" t="s" s="0">
        <v>4306</v>
      </c>
      <c r="AU179" t="s" s="0">
        <v>4307</v>
      </c>
      <c r="AV179" t="s" s="0">
        <v>82</v>
      </c>
      <c r="AW179" t="s" s="0">
        <v>4308</v>
      </c>
      <c r="AX179" t="s" s="0">
        <v>4309</v>
      </c>
      <c r="AY179" t="s" s="0">
        <v>141</v>
      </c>
      <c r="AZ179" t="s" s="0">
        <v>141</v>
      </c>
      <c r="BA179" t="s" s="0">
        <v>368</v>
      </c>
      <c r="BB179" t="s" s="0">
        <v>82</v>
      </c>
      <c r="BC179" t="s" s="0">
        <v>82</v>
      </c>
      <c r="BD179" t="s" s="0">
        <v>82</v>
      </c>
      <c r="BE179" t="s" s="0">
        <v>82</v>
      </c>
      <c r="BF179" t="s" s="0">
        <v>82</v>
      </c>
      <c r="BG179" t="s" s="0">
        <v>82</v>
      </c>
      <c r="BH179" t="s" s="0">
        <v>82</v>
      </c>
      <c r="BI179" t="s" s="0">
        <v>4310</v>
      </c>
      <c r="BJ179" t="s" s="0">
        <v>4311</v>
      </c>
      <c r="BK179" t="s" s="355">
        <f>HYPERLINK("http://dx.doi.org/10.1177/20420986261460173","http://dx.doi.org/10.1177/20420986261460173")</f>
        <v>4312</v>
      </c>
      <c r="BL179" t="s" s="0">
        <v>82</v>
      </c>
      <c r="BM179" t="s" s="0">
        <v>82</v>
      </c>
      <c r="BN179" t="s" s="0">
        <v>212</v>
      </c>
      <c r="BO179" t="s" s="0">
        <v>4161</v>
      </c>
      <c r="BP179" t="s" s="0">
        <v>4161</v>
      </c>
      <c r="BQ179" t="s" s="0">
        <v>4313</v>
      </c>
      <c r="BR179" t="s" s="0">
        <v>82</v>
      </c>
      <c r="BS179" t="s" s="0">
        <v>4314</v>
      </c>
      <c r="BT179" t="s" s="356">
        <f>HYPERLINK("https://www.webofscience.com/wos/woscc/full-record/WOS:001804242400001","View Record in Web of Science")</f>
        <v>118</v>
      </c>
      <c r="BU179" t="s" s="0">
        <v>1634</v>
      </c>
      <c r="BV179" t="s" s="0">
        <v>82</v>
      </c>
      <c r="BW179" t="s" s="0">
        <v>82</v>
      </c>
      <c r="BX179" t="s" s="0">
        <v>119</v>
      </c>
    </row>
    <row r="180">
      <c r="A180" t="s" s="0">
        <v>77</v>
      </c>
      <c r="B180" t="s" s="0">
        <v>77</v>
      </c>
      <c r="C180" t="s" s="0">
        <v>77</v>
      </c>
      <c r="D180" t="s" s="0">
        <v>77</v>
      </c>
      <c r="E180" t="s" s="0">
        <v>4315</v>
      </c>
      <c r="F180" t="s" s="0">
        <v>4316</v>
      </c>
      <c r="G180" t="s" s="0">
        <v>4317</v>
      </c>
      <c r="H180" t="s" s="0">
        <v>82</v>
      </c>
      <c r="I180" t="s" s="0">
        <v>83</v>
      </c>
      <c r="J180" t="s" s="0">
        <v>4318</v>
      </c>
      <c r="K180" t="s" s="0">
        <v>4319</v>
      </c>
      <c r="L180" t="s" s="0">
        <v>82</v>
      </c>
      <c r="M180" t="s" s="0">
        <v>82</v>
      </c>
      <c r="N180" t="s" s="0">
        <v>82</v>
      </c>
      <c r="O180" t="s" s="0">
        <v>4320</v>
      </c>
      <c r="P180" t="s" s="0">
        <v>4321</v>
      </c>
      <c r="Q180" t="s" s="0">
        <v>88</v>
      </c>
      <c r="R180" t="s" s="0">
        <v>82</v>
      </c>
      <c r="S180" t="s" s="0">
        <v>82</v>
      </c>
      <c r="T180" t="s" s="0">
        <v>82</v>
      </c>
      <c r="U180" t="s" s="0">
        <v>82</v>
      </c>
      <c r="V180" t="s" s="0">
        <v>4322</v>
      </c>
      <c r="W180" t="s" s="0">
        <v>1672</v>
      </c>
      <c r="X180" t="s" s="0">
        <v>82</v>
      </c>
      <c r="Y180" t="s" s="0">
        <v>82</v>
      </c>
      <c r="Z180" t="s" s="0">
        <v>91</v>
      </c>
      <c r="AA180" t="s" s="0">
        <v>92</v>
      </c>
      <c r="AB180" t="s" s="0">
        <v>82</v>
      </c>
      <c r="AC180" t="s" s="0">
        <v>82</v>
      </c>
      <c r="AD180" t="s" s="0">
        <v>82</v>
      </c>
      <c r="AE180" t="s" s="0">
        <v>82</v>
      </c>
      <c r="AF180" t="s" s="0">
        <v>82</v>
      </c>
      <c r="AG180" t="s" s="0">
        <v>4323</v>
      </c>
      <c r="AH180" t="s" s="0">
        <v>4324</v>
      </c>
      <c r="AI180" t="s" s="0">
        <v>4325</v>
      </c>
      <c r="AJ180" t="s" s="0">
        <v>4326</v>
      </c>
      <c r="AK180" t="s" s="0">
        <v>82</v>
      </c>
      <c r="AL180" t="s" s="0">
        <v>952</v>
      </c>
      <c r="AM180" t="s" s="0">
        <v>77</v>
      </c>
      <c r="AN180" t="s" s="0">
        <v>77</v>
      </c>
      <c r="AO180" t="s" s="0">
        <v>78</v>
      </c>
      <c r="AP180" t="s" s="0">
        <v>78</v>
      </c>
      <c r="AQ180" t="s" s="0">
        <v>604</v>
      </c>
      <c r="AR180" t="s" s="0">
        <v>605</v>
      </c>
      <c r="AS180" t="s" s="0">
        <v>606</v>
      </c>
      <c r="AT180" t="s" s="0">
        <v>82</v>
      </c>
      <c r="AU180" t="s" s="0">
        <v>1675</v>
      </c>
      <c r="AV180" t="s" s="0">
        <v>82</v>
      </c>
      <c r="AW180" t="s" s="0">
        <v>1676</v>
      </c>
      <c r="AX180" t="s" s="0">
        <v>1677</v>
      </c>
      <c r="AY180" t="s" s="0">
        <v>4327</v>
      </c>
      <c r="AZ180" t="s" s="0">
        <v>141</v>
      </c>
      <c r="BA180" t="s" s="0">
        <v>332</v>
      </c>
      <c r="BB180" t="s" s="0">
        <v>229</v>
      </c>
      <c r="BC180" t="s" s="0">
        <v>82</v>
      </c>
      <c r="BD180" t="s" s="0">
        <v>82</v>
      </c>
      <c r="BE180" t="s" s="0">
        <v>82</v>
      </c>
      <c r="BF180" t="s" s="0">
        <v>82</v>
      </c>
      <c r="BG180" t="s" s="0">
        <v>82</v>
      </c>
      <c r="BH180" t="s" s="0">
        <v>82</v>
      </c>
      <c r="BI180" t="s" s="0">
        <v>4328</v>
      </c>
      <c r="BJ180" t="s" s="0">
        <v>4329</v>
      </c>
      <c r="BK180" t="s" s="357">
        <f>HYPERLINK("http://dx.doi.org/10.1186/s12911-026-03415-2","http://dx.doi.org/10.1186/s12911-026-03415-2")</f>
        <v>4330</v>
      </c>
      <c r="BL180" t="s" s="0">
        <v>82</v>
      </c>
      <c r="BM180" t="s" s="0">
        <v>562</v>
      </c>
      <c r="BN180" t="s" s="0">
        <v>132</v>
      </c>
      <c r="BO180" t="s" s="0">
        <v>1069</v>
      </c>
      <c r="BP180" t="s" s="0">
        <v>1069</v>
      </c>
      <c r="BQ180" t="s" s="0">
        <v>4331</v>
      </c>
      <c r="BR180" t="s" s="0">
        <v>4332</v>
      </c>
      <c r="BS180" t="s" s="0">
        <v>4333</v>
      </c>
      <c r="BT180" t="s" s="358">
        <f>HYPERLINK("https://www.webofscience.com/wos/woscc/full-record/WOS:001735586800001","View Record in Web of Science")</f>
        <v>118</v>
      </c>
      <c r="BU180" t="s" s="0">
        <v>187</v>
      </c>
      <c r="BV180" t="s" s="0">
        <v>82</v>
      </c>
      <c r="BW180" t="s" s="0">
        <v>82</v>
      </c>
      <c r="BX180" t="s" s="0">
        <v>119</v>
      </c>
    </row>
    <row r="181">
      <c r="A181" t="s" s="0">
        <v>77</v>
      </c>
      <c r="B181" t="s" s="0">
        <v>77</v>
      </c>
      <c r="C181" t="s" s="0">
        <v>77</v>
      </c>
      <c r="D181" t="s" s="0">
        <v>77</v>
      </c>
      <c r="E181" t="s" s="0">
        <v>4334</v>
      </c>
      <c r="F181" t="s" s="0">
        <v>4335</v>
      </c>
      <c r="G181" t="s" s="0">
        <v>4336</v>
      </c>
      <c r="H181" t="s" s="0">
        <v>82</v>
      </c>
      <c r="I181" t="s" s="0">
        <v>83</v>
      </c>
      <c r="J181" t="s" s="0">
        <v>4337</v>
      </c>
      <c r="K181" t="s" s="0">
        <v>4338</v>
      </c>
      <c r="L181" t="s" s="0">
        <v>82</v>
      </c>
      <c r="M181" t="s" s="0">
        <v>82</v>
      </c>
      <c r="N181" t="s" s="0">
        <v>82</v>
      </c>
      <c r="O181" t="s" s="0">
        <v>4339</v>
      </c>
      <c r="P181" t="s" s="0">
        <v>4340</v>
      </c>
      <c r="Q181" t="s" s="0">
        <v>88</v>
      </c>
      <c r="R181" t="s" s="0">
        <v>82</v>
      </c>
      <c r="S181" t="s" s="0">
        <v>82</v>
      </c>
      <c r="T181" t="s" s="0">
        <v>82</v>
      </c>
      <c r="U181" t="s" s="0">
        <v>82</v>
      </c>
      <c r="V181" t="s" s="0">
        <v>4341</v>
      </c>
      <c r="W181" t="s" s="0">
        <v>4342</v>
      </c>
      <c r="X181" t="s" s="0">
        <v>82</v>
      </c>
      <c r="Y181" t="s" s="0">
        <v>82</v>
      </c>
      <c r="Z181" t="s" s="0">
        <v>91</v>
      </c>
      <c r="AA181" t="s" s="0">
        <v>92</v>
      </c>
      <c r="AB181" t="s" s="0">
        <v>82</v>
      </c>
      <c r="AC181" t="s" s="0">
        <v>82</v>
      </c>
      <c r="AD181" t="s" s="0">
        <v>82</v>
      </c>
      <c r="AE181" t="s" s="0">
        <v>82</v>
      </c>
      <c r="AF181" t="s" s="0">
        <v>82</v>
      </c>
      <c r="AG181" t="s" s="0">
        <v>4343</v>
      </c>
      <c r="AH181" t="s" s="0">
        <v>4344</v>
      </c>
      <c r="AI181" t="s" s="0">
        <v>4345</v>
      </c>
      <c r="AJ181" t="s" s="0">
        <v>4346</v>
      </c>
      <c r="AK181" t="s" s="0">
        <v>82</v>
      </c>
      <c r="AL181" t="s" s="0">
        <v>862</v>
      </c>
      <c r="AM181" t="s" s="0">
        <v>78</v>
      </c>
      <c r="AN181" t="s" s="0">
        <v>78</v>
      </c>
      <c r="AO181" t="s" s="0">
        <v>77</v>
      </c>
      <c r="AP181" t="s" s="0">
        <v>229</v>
      </c>
      <c r="AQ181" t="s" s="0">
        <v>1467</v>
      </c>
      <c r="AR181" t="s" s="0">
        <v>1468</v>
      </c>
      <c r="AS181" t="s" s="0">
        <v>1469</v>
      </c>
      <c r="AT181" t="s" s="0">
        <v>4347</v>
      </c>
      <c r="AU181" t="s" s="0">
        <v>4348</v>
      </c>
      <c r="AV181" t="s" s="0">
        <v>82</v>
      </c>
      <c r="AW181" t="s" s="0">
        <v>4349</v>
      </c>
      <c r="AX181" t="s" s="0">
        <v>4350</v>
      </c>
      <c r="AY181" t="s" s="0">
        <v>276</v>
      </c>
      <c r="AZ181" t="s" s="0">
        <v>141</v>
      </c>
      <c r="BA181" t="s" s="0">
        <v>333</v>
      </c>
      <c r="BB181" t="s" s="0">
        <v>169</v>
      </c>
      <c r="BC181" t="s" s="0">
        <v>82</v>
      </c>
      <c r="BD181" t="s" s="0">
        <v>82</v>
      </c>
      <c r="BE181" t="s" s="0">
        <v>82</v>
      </c>
      <c r="BF181" t="s" s="0">
        <v>82</v>
      </c>
      <c r="BG181" t="s" s="0">
        <v>4351</v>
      </c>
      <c r="BH181" t="s" s="0">
        <v>4352</v>
      </c>
      <c r="BI181" t="s" s="0">
        <v>82</v>
      </c>
      <c r="BJ181" t="s" s="0">
        <v>4353</v>
      </c>
      <c r="BK181" t="s" s="359">
        <f>HYPERLINK("http://dx.doi.org/10.1007/s12098-025-05884-1","http://dx.doi.org/10.1007/s12098-025-05884-1")</f>
        <v>4354</v>
      </c>
      <c r="BL181" t="s" s="0">
        <v>82</v>
      </c>
      <c r="BM181" t="s" s="0">
        <v>643</v>
      </c>
      <c r="BN181" t="s" s="0">
        <v>308</v>
      </c>
      <c r="BO181" t="s" s="0">
        <v>820</v>
      </c>
      <c r="BP181" t="s" s="0">
        <v>820</v>
      </c>
      <c r="BQ181" t="s" s="0">
        <v>4355</v>
      </c>
      <c r="BR181" t="s" s="0">
        <v>4356</v>
      </c>
      <c r="BS181" t="s" s="0">
        <v>4357</v>
      </c>
      <c r="BT181" t="s" s="360">
        <f>HYPERLINK("https://www.webofscience.com/wos/woscc/full-record/WOS:001660528900001","View Record in Web of Science")</f>
        <v>118</v>
      </c>
      <c r="BU181" t="s" s="0">
        <v>82</v>
      </c>
      <c r="BV181" t="s" s="0">
        <v>82</v>
      </c>
      <c r="BW181" t="s" s="0">
        <v>82</v>
      </c>
      <c r="BX181" t="s" s="0">
        <v>119</v>
      </c>
    </row>
    <row r="182">
      <c r="A182" t="s" s="0">
        <v>77</v>
      </c>
      <c r="B182" t="s" s="0">
        <v>77</v>
      </c>
      <c r="C182" t="s" s="0">
        <v>77</v>
      </c>
      <c r="D182" t="s" s="0">
        <v>77</v>
      </c>
      <c r="E182" t="s" s="0">
        <v>4358</v>
      </c>
      <c r="F182" t="s" s="0">
        <v>4359</v>
      </c>
      <c r="G182" t="s" s="0">
        <v>4360</v>
      </c>
      <c r="H182" t="s" s="0">
        <v>82</v>
      </c>
      <c r="I182" t="s" s="0">
        <v>83</v>
      </c>
      <c r="J182" t="s" s="0">
        <v>4361</v>
      </c>
      <c r="K182" t="s" s="0">
        <v>4362</v>
      </c>
      <c r="L182" t="s" s="0">
        <v>82</v>
      </c>
      <c r="M182" t="s" s="0">
        <v>82</v>
      </c>
      <c r="N182" t="s" s="0">
        <v>82</v>
      </c>
      <c r="O182" t="s" s="0">
        <v>4363</v>
      </c>
      <c r="P182" t="s" s="0">
        <v>4364</v>
      </c>
      <c r="Q182" t="s" s="0">
        <v>88</v>
      </c>
      <c r="R182" t="s" s="0">
        <v>82</v>
      </c>
      <c r="S182" t="s" s="0">
        <v>82</v>
      </c>
      <c r="T182" t="s" s="0">
        <v>82</v>
      </c>
      <c r="U182" t="s" s="0">
        <v>82</v>
      </c>
      <c r="V182" t="s" s="0">
        <v>4365</v>
      </c>
      <c r="W182" t="s" s="0">
        <v>4366</v>
      </c>
      <c r="X182" t="s" s="0">
        <v>82</v>
      </c>
      <c r="Y182" t="s" s="0">
        <v>82</v>
      </c>
      <c r="Z182" t="s" s="0">
        <v>91</v>
      </c>
      <c r="AA182" t="s" s="0">
        <v>92</v>
      </c>
      <c r="AB182" t="s" s="0">
        <v>82</v>
      </c>
      <c r="AC182" t="s" s="0">
        <v>82</v>
      </c>
      <c r="AD182" t="s" s="0">
        <v>82</v>
      </c>
      <c r="AE182" t="s" s="0">
        <v>82</v>
      </c>
      <c r="AF182" t="s" s="0">
        <v>82</v>
      </c>
      <c r="AG182" t="s" s="0">
        <v>4367</v>
      </c>
      <c r="AH182" t="s" s="0">
        <v>82</v>
      </c>
      <c r="AI182" t="s" s="0">
        <v>4368</v>
      </c>
      <c r="AJ182" t="s" s="0">
        <v>4369</v>
      </c>
      <c r="AK182" t="s" s="0">
        <v>82</v>
      </c>
      <c r="AL182" t="s" s="0">
        <v>949</v>
      </c>
      <c r="AM182" t="s" s="0">
        <v>264</v>
      </c>
      <c r="AN182" t="s" s="0">
        <v>169</v>
      </c>
      <c r="AO182" t="s" s="0">
        <v>77</v>
      </c>
      <c r="AP182" t="s" s="0">
        <v>98</v>
      </c>
      <c r="AQ182" t="s" s="0">
        <v>170</v>
      </c>
      <c r="AR182" t="s" s="0">
        <v>171</v>
      </c>
      <c r="AS182" t="s" s="0">
        <v>172</v>
      </c>
      <c r="AT182" t="s" s="0">
        <v>82</v>
      </c>
      <c r="AU182" t="s" s="0">
        <v>4370</v>
      </c>
      <c r="AV182" t="s" s="0">
        <v>82</v>
      </c>
      <c r="AW182" t="s" s="0">
        <v>4371</v>
      </c>
      <c r="AX182" t="s" s="0">
        <v>4372</v>
      </c>
      <c r="AY182" t="s" s="0">
        <v>4373</v>
      </c>
      <c r="AZ182" t="s" s="0">
        <v>107</v>
      </c>
      <c r="BA182" t="s" s="0">
        <v>181</v>
      </c>
      <c r="BB182" t="s" s="0">
        <v>98</v>
      </c>
      <c r="BC182" t="s" s="0">
        <v>82</v>
      </c>
      <c r="BD182" t="s" s="0">
        <v>82</v>
      </c>
      <c r="BE182" t="s" s="0">
        <v>82</v>
      </c>
      <c r="BF182" t="s" s="0">
        <v>82</v>
      </c>
      <c r="BG182" t="s" s="0">
        <v>82</v>
      </c>
      <c r="BH182" t="s" s="0">
        <v>82</v>
      </c>
      <c r="BI182" t="s" s="0">
        <v>4374</v>
      </c>
      <c r="BJ182" t="s" s="0">
        <v>4375</v>
      </c>
      <c r="BK182" t="s" s="361">
        <f>HYPERLINK("http://dx.doi.org/10.3390/genes16070762","http://dx.doi.org/10.3390/genes16070762")</f>
        <v>4376</v>
      </c>
      <c r="BL182" t="s" s="0">
        <v>82</v>
      </c>
      <c r="BM182" t="s" s="0">
        <v>82</v>
      </c>
      <c r="BN182" t="s" s="0">
        <v>368</v>
      </c>
      <c r="BO182" t="s" s="0">
        <v>4377</v>
      </c>
      <c r="BP182" t="s" s="0">
        <v>4377</v>
      </c>
      <c r="BQ182" t="s" s="0">
        <v>4378</v>
      </c>
      <c r="BR182" t="s" s="0">
        <v>4379</v>
      </c>
      <c r="BS182" t="s" s="0">
        <v>4380</v>
      </c>
      <c r="BT182" t="s" s="362">
        <f>HYPERLINK("https://www.webofscience.com/wos/woscc/full-record/WOS:001535332500001","View Record in Web of Science")</f>
        <v>118</v>
      </c>
      <c r="BU182" t="s" s="0">
        <v>187</v>
      </c>
      <c r="BV182" t="s" s="0">
        <v>82</v>
      </c>
      <c r="BW182" t="s" s="0">
        <v>82</v>
      </c>
      <c r="BX182" t="s" s="0">
        <v>119</v>
      </c>
    </row>
    <row r="183">
      <c r="A183" t="s" s="0">
        <v>77</v>
      </c>
      <c r="B183" t="s" s="0">
        <v>77</v>
      </c>
      <c r="C183" t="s" s="0">
        <v>77</v>
      </c>
      <c r="D183" t="s" s="0">
        <v>77</v>
      </c>
      <c r="E183" t="s" s="0">
        <v>4381</v>
      </c>
      <c r="F183" t="s" s="0">
        <v>4382</v>
      </c>
      <c r="G183" t="s" s="0">
        <v>4383</v>
      </c>
      <c r="H183" t="s" s="0">
        <v>82</v>
      </c>
      <c r="I183" t="s" s="0">
        <v>83</v>
      </c>
      <c r="J183" t="s" s="0">
        <v>4384</v>
      </c>
      <c r="K183" t="s" s="0">
        <v>4385</v>
      </c>
      <c r="L183" t="s" s="0">
        <v>82</v>
      </c>
      <c r="M183" t="s" s="0">
        <v>82</v>
      </c>
      <c r="N183" t="s" s="0">
        <v>82</v>
      </c>
      <c r="O183" t="s" s="0">
        <v>4386</v>
      </c>
      <c r="P183" t="s" s="0">
        <v>4387</v>
      </c>
      <c r="Q183" t="s" s="0">
        <v>88</v>
      </c>
      <c r="R183" t="s" s="0">
        <v>82</v>
      </c>
      <c r="S183" t="s" s="0">
        <v>82</v>
      </c>
      <c r="T183" t="s" s="0">
        <v>82</v>
      </c>
      <c r="U183" t="s" s="0">
        <v>82</v>
      </c>
      <c r="V183" t="s" s="0">
        <v>4388</v>
      </c>
      <c r="W183" t="s" s="0">
        <v>4389</v>
      </c>
      <c r="X183" t="s" s="0">
        <v>82</v>
      </c>
      <c r="Y183" t="s" s="0">
        <v>82</v>
      </c>
      <c r="Z183" t="s" s="0">
        <v>91</v>
      </c>
      <c r="AA183" t="s" s="0">
        <v>92</v>
      </c>
      <c r="AB183" t="s" s="0">
        <v>82</v>
      </c>
      <c r="AC183" t="s" s="0">
        <v>82</v>
      </c>
      <c r="AD183" t="s" s="0">
        <v>82</v>
      </c>
      <c r="AE183" t="s" s="0">
        <v>82</v>
      </c>
      <c r="AF183" t="s" s="0">
        <v>82</v>
      </c>
      <c r="AG183" t="s" s="0">
        <v>82</v>
      </c>
      <c r="AH183" t="s" s="0">
        <v>82</v>
      </c>
      <c r="AI183" t="s" s="0">
        <v>82</v>
      </c>
      <c r="AJ183" t="s" s="0">
        <v>82</v>
      </c>
      <c r="AK183" t="s" s="0">
        <v>82</v>
      </c>
      <c r="AL183" t="s" s="0">
        <v>212</v>
      </c>
      <c r="AM183" t="s" s="0">
        <v>229</v>
      </c>
      <c r="AN183" t="s" s="0">
        <v>229</v>
      </c>
      <c r="AO183" t="s" s="0">
        <v>98</v>
      </c>
      <c r="AP183" t="s" s="0">
        <v>98</v>
      </c>
      <c r="AQ183" t="s" s="0">
        <v>1582</v>
      </c>
      <c r="AR183" t="s" s="0">
        <v>632</v>
      </c>
      <c r="AS183" t="s" s="0">
        <v>1583</v>
      </c>
      <c r="AT183" t="s" s="0">
        <v>4390</v>
      </c>
      <c r="AU183" t="s" s="0">
        <v>4391</v>
      </c>
      <c r="AV183" t="s" s="0">
        <v>82</v>
      </c>
      <c r="AW183" t="s" s="0">
        <v>4392</v>
      </c>
      <c r="AX183" t="s" s="0">
        <v>4393</v>
      </c>
      <c r="AY183" t="s" s="0">
        <v>237</v>
      </c>
      <c r="AZ183" t="s" s="0">
        <v>141</v>
      </c>
      <c r="BA183" t="s" s="0">
        <v>4394</v>
      </c>
      <c r="BB183" t="s" s="0">
        <v>239</v>
      </c>
      <c r="BC183" t="s" s="0">
        <v>82</v>
      </c>
      <c r="BD183" t="s" s="0">
        <v>82</v>
      </c>
      <c r="BE183" t="s" s="0">
        <v>82</v>
      </c>
      <c r="BF183" t="s" s="0">
        <v>82</v>
      </c>
      <c r="BG183" t="s" s="0">
        <v>4395</v>
      </c>
      <c r="BH183" t="s" s="0">
        <v>4396</v>
      </c>
      <c r="BI183" t="s" s="0">
        <v>82</v>
      </c>
      <c r="BJ183" t="s" s="0">
        <v>4397</v>
      </c>
      <c r="BK183" t="s" s="363">
        <f>HYPERLINK("http://dx.doi.org/10.1213/ANE.0000000000007864","http://dx.doi.org/10.1213/ANE.0000000000007864")</f>
        <v>4398</v>
      </c>
      <c r="BL183" t="s" s="0">
        <v>82</v>
      </c>
      <c r="BM183" t="s" s="0">
        <v>82</v>
      </c>
      <c r="BN183" t="s" s="0">
        <v>272</v>
      </c>
      <c r="BO183" t="s" s="0">
        <v>4399</v>
      </c>
      <c r="BP183" t="s" s="0">
        <v>4399</v>
      </c>
      <c r="BQ183" t="s" s="0">
        <v>4400</v>
      </c>
      <c r="BR183" t="s" s="0">
        <v>4401</v>
      </c>
      <c r="BS183" t="s" s="0">
        <v>4402</v>
      </c>
      <c r="BT183" t="s" s="364">
        <f>HYPERLINK("https://www.webofscience.com/wos/woscc/full-record/WOS:001739945900007","View Record in Web of Science")</f>
        <v>118</v>
      </c>
      <c r="BU183" t="s" s="0">
        <v>82</v>
      </c>
      <c r="BV183" t="s" s="0">
        <v>82</v>
      </c>
      <c r="BW183" t="s" s="0">
        <v>82</v>
      </c>
      <c r="BX183" t="s" s="0">
        <v>119</v>
      </c>
    </row>
    <row r="184">
      <c r="A184" t="s" s="0">
        <v>77</v>
      </c>
      <c r="B184" t="s" s="0">
        <v>77</v>
      </c>
      <c r="C184" t="s" s="0">
        <v>77</v>
      </c>
      <c r="D184" t="s" s="0">
        <v>229</v>
      </c>
      <c r="E184" t="s" s="0">
        <v>4403</v>
      </c>
      <c r="F184" t="s" s="0">
        <v>4404</v>
      </c>
      <c r="G184" t="s" s="0">
        <v>4405</v>
      </c>
      <c r="H184" t="s" s="0">
        <v>82</v>
      </c>
      <c r="I184" t="s" s="0">
        <v>595</v>
      </c>
      <c r="J184" t="s" s="0">
        <v>4406</v>
      </c>
      <c r="K184" t="s" s="0">
        <v>4407</v>
      </c>
      <c r="L184" t="s" s="0">
        <v>82</v>
      </c>
      <c r="M184" t="s" s="0">
        <v>82</v>
      </c>
      <c r="N184" t="s" s="0">
        <v>82</v>
      </c>
      <c r="O184" t="s" s="0">
        <v>4408</v>
      </c>
      <c r="P184" t="s" s="0">
        <v>4409</v>
      </c>
      <c r="Q184" t="s" s="0">
        <v>88</v>
      </c>
      <c r="R184" t="s" s="0">
        <v>82</v>
      </c>
      <c r="S184" t="s" s="0">
        <v>82</v>
      </c>
      <c r="T184" t="s" s="0">
        <v>82</v>
      </c>
      <c r="U184" t="s" s="0">
        <v>82</v>
      </c>
      <c r="V184" t="s" s="0">
        <v>4410</v>
      </c>
      <c r="W184" t="s" s="0">
        <v>4411</v>
      </c>
      <c r="X184" t="s" s="0">
        <v>82</v>
      </c>
      <c r="Y184" t="s" s="0">
        <v>82</v>
      </c>
      <c r="Z184" t="s" s="0">
        <v>91</v>
      </c>
      <c r="AA184" t="s" s="0">
        <v>526</v>
      </c>
      <c r="AB184" t="s" s="0">
        <v>82</v>
      </c>
      <c r="AC184" t="s" s="0">
        <v>82</v>
      </c>
      <c r="AD184" t="s" s="0">
        <v>82</v>
      </c>
      <c r="AE184" t="s" s="0">
        <v>82</v>
      </c>
      <c r="AF184" t="s" s="0">
        <v>82</v>
      </c>
      <c r="AG184" t="s" s="0">
        <v>4412</v>
      </c>
      <c r="AH184" t="s" s="0">
        <v>4413</v>
      </c>
      <c r="AI184" t="s" s="0">
        <v>82</v>
      </c>
      <c r="AJ184" t="s" s="0">
        <v>4414</v>
      </c>
      <c r="AK184" t="s" s="0">
        <v>82</v>
      </c>
      <c r="AL184" t="s" s="0">
        <v>1963</v>
      </c>
      <c r="AM184" t="s" s="0">
        <v>132</v>
      </c>
      <c r="AN184" t="s" s="0">
        <v>368</v>
      </c>
      <c r="AO184" t="s" s="0">
        <v>272</v>
      </c>
      <c r="AP184" t="s" s="0">
        <v>659</v>
      </c>
      <c r="AQ184" t="s" s="0">
        <v>2574</v>
      </c>
      <c r="AR184" t="s" s="0">
        <v>2575</v>
      </c>
      <c r="AS184" t="s" s="0">
        <v>2576</v>
      </c>
      <c r="AT184" t="s" s="0">
        <v>4415</v>
      </c>
      <c r="AU184" t="s" s="0">
        <v>4416</v>
      </c>
      <c r="AV184" t="s" s="0">
        <v>82</v>
      </c>
      <c r="AW184" t="s" s="0">
        <v>4417</v>
      </c>
      <c r="AX184" t="s" s="0">
        <v>4418</v>
      </c>
      <c r="AY184" t="s" s="0">
        <v>82</v>
      </c>
      <c r="AZ184" t="s" s="0">
        <v>341</v>
      </c>
      <c r="BA184" t="s" s="0">
        <v>82</v>
      </c>
      <c r="BB184" t="s" s="0">
        <v>82</v>
      </c>
      <c r="BC184" t="s" s="0">
        <v>82</v>
      </c>
      <c r="BD184" t="s" s="0">
        <v>82</v>
      </c>
      <c r="BE184" t="s" s="0">
        <v>82</v>
      </c>
      <c r="BF184" t="s" s="0">
        <v>82</v>
      </c>
      <c r="BG184" t="s" s="0">
        <v>82</v>
      </c>
      <c r="BH184" t="s" s="0">
        <v>82</v>
      </c>
      <c r="BI184" t="s" s="0">
        <v>82</v>
      </c>
      <c r="BJ184" t="s" s="0">
        <v>4419</v>
      </c>
      <c r="BK184" t="s" s="365">
        <f>HYPERLINK("http://dx.doi.org/10.1080/12460125.2024.2430731","http://dx.doi.org/10.1080/12460125.2024.2430731")</f>
        <v>4420</v>
      </c>
      <c r="BL184" t="s" s="0">
        <v>82</v>
      </c>
      <c r="BM184" t="s" s="0">
        <v>2866</v>
      </c>
      <c r="BN184" t="s" s="0">
        <v>769</v>
      </c>
      <c r="BO184" t="s" s="0">
        <v>4421</v>
      </c>
      <c r="BP184" t="s" s="0">
        <v>4421</v>
      </c>
      <c r="BQ184" t="s" s="0">
        <v>4422</v>
      </c>
      <c r="BR184" t="s" s="0">
        <v>82</v>
      </c>
      <c r="BS184" t="s" s="0">
        <v>4423</v>
      </c>
      <c r="BT184" t="s" s="366">
        <f>HYPERLINK("https://www.webofscience.com/wos/woscc/full-record/WOS:001377694400001","View Record in Web of Science")</f>
        <v>118</v>
      </c>
      <c r="BU184" t="s" s="0">
        <v>152</v>
      </c>
      <c r="BV184" t="s" s="0">
        <v>82</v>
      </c>
      <c r="BW184" t="s" s="0">
        <v>82</v>
      </c>
      <c r="BX184" t="s" s="0">
        <v>119</v>
      </c>
    </row>
    <row r="185">
      <c r="A185" t="s" s="0">
        <v>77</v>
      </c>
      <c r="B185" t="s" s="0">
        <v>77</v>
      </c>
      <c r="C185" t="s" s="0">
        <v>77</v>
      </c>
      <c r="D185" t="s" s="0">
        <v>77</v>
      </c>
      <c r="E185" t="s" s="0">
        <v>4424</v>
      </c>
      <c r="F185" t="s" s="0">
        <v>4425</v>
      </c>
      <c r="G185" t="s" s="0">
        <v>4426</v>
      </c>
      <c r="H185" t="s" s="0">
        <v>82</v>
      </c>
      <c r="I185" t="s" s="0">
        <v>83</v>
      </c>
      <c r="J185" t="s" s="0">
        <v>4427</v>
      </c>
      <c r="K185" t="s" s="0">
        <v>4428</v>
      </c>
      <c r="L185" t="s" s="0">
        <v>82</v>
      </c>
      <c r="M185" t="s" s="0">
        <v>82</v>
      </c>
      <c r="N185" t="s" s="0">
        <v>82</v>
      </c>
      <c r="O185" t="s" s="0">
        <v>4429</v>
      </c>
      <c r="P185" t="s" s="0">
        <v>4430</v>
      </c>
      <c r="Q185" t="s" s="0">
        <v>88</v>
      </c>
      <c r="R185" t="s" s="0">
        <v>82</v>
      </c>
      <c r="S185" t="s" s="0">
        <v>82</v>
      </c>
      <c r="T185" t="s" s="0">
        <v>82</v>
      </c>
      <c r="U185" t="s" s="0">
        <v>82</v>
      </c>
      <c r="V185" t="s" s="0">
        <v>4431</v>
      </c>
      <c r="W185" t="s" s="0">
        <v>884</v>
      </c>
      <c r="X185" t="s" s="0">
        <v>82</v>
      </c>
      <c r="Y185" t="s" s="0">
        <v>82</v>
      </c>
      <c r="Z185" t="s" s="0">
        <v>91</v>
      </c>
      <c r="AA185" t="s" s="0">
        <v>92</v>
      </c>
      <c r="AB185" t="s" s="0">
        <v>82</v>
      </c>
      <c r="AC185" t="s" s="0">
        <v>82</v>
      </c>
      <c r="AD185" t="s" s="0">
        <v>82</v>
      </c>
      <c r="AE185" t="s" s="0">
        <v>82</v>
      </c>
      <c r="AF185" t="s" s="0">
        <v>82</v>
      </c>
      <c r="AG185" t="s" s="0">
        <v>4432</v>
      </c>
      <c r="AH185" t="s" s="0">
        <v>82</v>
      </c>
      <c r="AI185" t="s" s="0">
        <v>4433</v>
      </c>
      <c r="AJ185" t="s" s="0">
        <v>4434</v>
      </c>
      <c r="AK185" t="s" s="0">
        <v>82</v>
      </c>
      <c r="AL185" t="s" s="0">
        <v>689</v>
      </c>
      <c r="AM185" t="s" s="0">
        <v>77</v>
      </c>
      <c r="AN185" t="s" s="0">
        <v>77</v>
      </c>
      <c r="AO185" t="s" s="0">
        <v>169</v>
      </c>
      <c r="AP185" t="s" s="0">
        <v>169</v>
      </c>
      <c r="AQ185" t="s" s="0">
        <v>711</v>
      </c>
      <c r="AR185" t="s" s="0">
        <v>712</v>
      </c>
      <c r="AS185" t="s" s="0">
        <v>713</v>
      </c>
      <c r="AT185" t="s" s="0">
        <v>82</v>
      </c>
      <c r="AU185" t="s" s="0">
        <v>888</v>
      </c>
      <c r="AV185" t="s" s="0">
        <v>82</v>
      </c>
      <c r="AW185" t="s" s="0">
        <v>889</v>
      </c>
      <c r="AX185" t="s" s="0">
        <v>890</v>
      </c>
      <c r="AY185" t="s" s="0">
        <v>4435</v>
      </c>
      <c r="AZ185" t="s" s="0">
        <v>141</v>
      </c>
      <c r="BA185" t="s" s="0">
        <v>425</v>
      </c>
      <c r="BB185" t="s" s="0">
        <v>82</v>
      </c>
      <c r="BC185" t="s" s="0">
        <v>82</v>
      </c>
      <c r="BD185" t="s" s="0">
        <v>82</v>
      </c>
      <c r="BE185" t="s" s="0">
        <v>82</v>
      </c>
      <c r="BF185" t="s" s="0">
        <v>82</v>
      </c>
      <c r="BG185" t="s" s="0">
        <v>82</v>
      </c>
      <c r="BH185" t="s" s="0">
        <v>82</v>
      </c>
      <c r="BI185" t="s" s="0">
        <v>4436</v>
      </c>
      <c r="BJ185" t="s" s="0">
        <v>4437</v>
      </c>
      <c r="BK185" t="s" s="367">
        <f>HYPERLINK("http://dx.doi.org/10.3389/fmed.2026.1821639","http://dx.doi.org/10.3389/fmed.2026.1821639")</f>
        <v>4438</v>
      </c>
      <c r="BL185" t="s" s="0">
        <v>82</v>
      </c>
      <c r="BM185" t="s" s="0">
        <v>237</v>
      </c>
      <c r="BN185" t="s" s="0">
        <v>244</v>
      </c>
      <c r="BO185" t="s" s="0">
        <v>182</v>
      </c>
      <c r="BP185" t="s" s="0">
        <v>183</v>
      </c>
      <c r="BQ185" t="s" s="0">
        <v>4439</v>
      </c>
      <c r="BR185" t="s" s="0">
        <v>4440</v>
      </c>
      <c r="BS185" t="s" s="0">
        <v>4441</v>
      </c>
      <c r="BT185" t="s" s="368">
        <f>HYPERLINK("https://www.webofscience.com/wos/woscc/full-record/WOS:001768370100001","View Record in Web of Science")</f>
        <v>118</v>
      </c>
      <c r="BU185" t="s" s="0">
        <v>187</v>
      </c>
      <c r="BV185" t="s" s="0">
        <v>82</v>
      </c>
      <c r="BW185" t="s" s="0">
        <v>82</v>
      </c>
      <c r="BX185" t="s" s="0">
        <v>119</v>
      </c>
    </row>
    <row r="186">
      <c r="A186" t="s" s="0">
        <v>77</v>
      </c>
      <c r="B186" t="s" s="0">
        <v>77</v>
      </c>
      <c r="C186" t="s" s="0">
        <v>77</v>
      </c>
      <c r="D186" t="s" s="0">
        <v>77</v>
      </c>
      <c r="E186" t="s" s="0">
        <v>3312</v>
      </c>
      <c r="F186" t="s" s="0">
        <v>4442</v>
      </c>
      <c r="G186" t="s" s="0">
        <v>3314</v>
      </c>
      <c r="H186" t="s" s="0">
        <v>82</v>
      </c>
      <c r="I186" t="s" s="0">
        <v>83</v>
      </c>
      <c r="J186" t="s" s="0">
        <v>4443</v>
      </c>
      <c r="K186" t="s" s="0">
        <v>4444</v>
      </c>
      <c r="L186" t="s" s="0">
        <v>82</v>
      </c>
      <c r="M186" t="s" s="0">
        <v>82</v>
      </c>
      <c r="N186" t="s" s="0">
        <v>82</v>
      </c>
      <c r="O186" t="s" s="0">
        <v>4445</v>
      </c>
      <c r="P186" t="s" s="0">
        <v>82</v>
      </c>
      <c r="Q186" t="s" s="0">
        <v>88</v>
      </c>
      <c r="R186" t="s" s="0">
        <v>82</v>
      </c>
      <c r="S186" t="s" s="0">
        <v>82</v>
      </c>
      <c r="T186" t="s" s="0">
        <v>82</v>
      </c>
      <c r="U186" t="s" s="0">
        <v>82</v>
      </c>
      <c r="V186" t="s" s="0">
        <v>4446</v>
      </c>
      <c r="W186" t="s" s="0">
        <v>1672</v>
      </c>
      <c r="X186" t="s" s="0">
        <v>82</v>
      </c>
      <c r="Y186" t="s" s="0">
        <v>82</v>
      </c>
      <c r="Z186" t="s" s="0">
        <v>91</v>
      </c>
      <c r="AA186" t="s" s="0">
        <v>92</v>
      </c>
      <c r="AB186" t="s" s="0">
        <v>82</v>
      </c>
      <c r="AC186" t="s" s="0">
        <v>82</v>
      </c>
      <c r="AD186" t="s" s="0">
        <v>82</v>
      </c>
      <c r="AE186" t="s" s="0">
        <v>82</v>
      </c>
      <c r="AF186" t="s" s="0">
        <v>82</v>
      </c>
      <c r="AG186" t="s" s="0">
        <v>4447</v>
      </c>
      <c r="AH186" t="s" s="0">
        <v>82</v>
      </c>
      <c r="AI186" t="s" s="0">
        <v>82</v>
      </c>
      <c r="AJ186" t="s" s="0">
        <v>82</v>
      </c>
      <c r="AK186" t="s" s="0">
        <v>82</v>
      </c>
      <c r="AL186" t="s" s="0">
        <v>379</v>
      </c>
      <c r="AM186" t="s" s="0">
        <v>77</v>
      </c>
      <c r="AN186" t="s" s="0">
        <v>77</v>
      </c>
      <c r="AO186" t="s" s="0">
        <v>78</v>
      </c>
      <c r="AP186" t="s" s="0">
        <v>78</v>
      </c>
      <c r="AQ186" t="s" s="0">
        <v>604</v>
      </c>
      <c r="AR186" t="s" s="0">
        <v>605</v>
      </c>
      <c r="AS186" t="s" s="0">
        <v>606</v>
      </c>
      <c r="AT186" t="s" s="0">
        <v>82</v>
      </c>
      <c r="AU186" t="s" s="0">
        <v>1675</v>
      </c>
      <c r="AV186" t="s" s="0">
        <v>82</v>
      </c>
      <c r="AW186" t="s" s="0">
        <v>1676</v>
      </c>
      <c r="AX186" t="s" s="0">
        <v>1677</v>
      </c>
      <c r="AY186" t="s" s="0">
        <v>4448</v>
      </c>
      <c r="AZ186" t="s" s="0">
        <v>141</v>
      </c>
      <c r="BA186" t="s" s="0">
        <v>332</v>
      </c>
      <c r="BB186" t="s" s="0">
        <v>229</v>
      </c>
      <c r="BC186" t="s" s="0">
        <v>82</v>
      </c>
      <c r="BD186" t="s" s="0">
        <v>82</v>
      </c>
      <c r="BE186" t="s" s="0">
        <v>82</v>
      </c>
      <c r="BF186" t="s" s="0">
        <v>82</v>
      </c>
      <c r="BG186" t="s" s="0">
        <v>82</v>
      </c>
      <c r="BH186" t="s" s="0">
        <v>82</v>
      </c>
      <c r="BI186" t="s" s="0">
        <v>4449</v>
      </c>
      <c r="BJ186" t="s" s="0">
        <v>4450</v>
      </c>
      <c r="BK186" t="s" s="369">
        <f>HYPERLINK("http://dx.doi.org/10.1186/s12911-026-03555-5","http://dx.doi.org/10.1186/s12911-026-03555-5")</f>
        <v>4451</v>
      </c>
      <c r="BL186" t="s" s="0">
        <v>82</v>
      </c>
      <c r="BM186" t="s" s="0">
        <v>237</v>
      </c>
      <c r="BN186" t="s" s="0">
        <v>277</v>
      </c>
      <c r="BO186" t="s" s="0">
        <v>1069</v>
      </c>
      <c r="BP186" t="s" s="0">
        <v>1069</v>
      </c>
      <c r="BQ186" t="s" s="0">
        <v>4452</v>
      </c>
      <c r="BR186" t="s" s="0">
        <v>4453</v>
      </c>
      <c r="BS186" t="s" s="0">
        <v>4454</v>
      </c>
      <c r="BT186" t="s" s="370">
        <f>HYPERLINK("https://www.webofscience.com/wos/woscc/full-record/WOS:001810128400001","View Record in Web of Science")</f>
        <v>118</v>
      </c>
      <c r="BU186" t="s" s="0">
        <v>1634</v>
      </c>
      <c r="BV186" t="s" s="0">
        <v>82</v>
      </c>
      <c r="BW186" t="s" s="0">
        <v>82</v>
      </c>
      <c r="BX186" t="s" s="0">
        <v>119</v>
      </c>
    </row>
    <row r="187">
      <c r="A187" t="s" s="0">
        <v>77</v>
      </c>
      <c r="B187" t="s" s="0">
        <v>77</v>
      </c>
      <c r="C187" t="s" s="0">
        <v>229</v>
      </c>
      <c r="D187" t="s" s="0">
        <v>77</v>
      </c>
      <c r="E187" t="s" s="0">
        <v>4455</v>
      </c>
      <c r="F187" t="s" s="0">
        <v>4456</v>
      </c>
      <c r="G187" t="s" s="0">
        <v>4457</v>
      </c>
      <c r="H187" t="s" s="0">
        <v>82</v>
      </c>
      <c r="I187" t="s" s="0">
        <v>83</v>
      </c>
      <c r="J187" t="s" s="0">
        <v>4458</v>
      </c>
      <c r="K187" t="s" s="0">
        <v>4459</v>
      </c>
      <c r="L187" t="s" s="0">
        <v>4460</v>
      </c>
      <c r="M187" t="s" s="0">
        <v>4461</v>
      </c>
      <c r="N187" t="s" s="0">
        <v>4462</v>
      </c>
      <c r="O187" t="s" s="0">
        <v>4463</v>
      </c>
      <c r="P187" t="s" s="0">
        <v>4464</v>
      </c>
      <c r="Q187" t="s" s="0">
        <v>88</v>
      </c>
      <c r="R187" t="s" s="0">
        <v>82</v>
      </c>
      <c r="S187" t="s" s="0">
        <v>82</v>
      </c>
      <c r="T187" t="s" s="0">
        <v>82</v>
      </c>
      <c r="U187" t="s" s="0">
        <v>82</v>
      </c>
      <c r="V187" t="s" s="0">
        <v>4465</v>
      </c>
      <c r="W187" t="s" s="0">
        <v>4466</v>
      </c>
      <c r="X187" t="s" s="0">
        <v>82</v>
      </c>
      <c r="Y187" t="s" s="0">
        <v>82</v>
      </c>
      <c r="Z187" t="s" s="0">
        <v>91</v>
      </c>
      <c r="AA187" t="s" s="0">
        <v>92</v>
      </c>
      <c r="AB187" t="s" s="0">
        <v>82</v>
      </c>
      <c r="AC187" t="s" s="0">
        <v>82</v>
      </c>
      <c r="AD187" t="s" s="0">
        <v>82</v>
      </c>
      <c r="AE187" t="s" s="0">
        <v>82</v>
      </c>
      <c r="AF187" t="s" s="0">
        <v>82</v>
      </c>
      <c r="AG187" t="s" s="0">
        <v>4467</v>
      </c>
      <c r="AH187" t="s" s="0">
        <v>82</v>
      </c>
      <c r="AI187" t="s" s="0">
        <v>4468</v>
      </c>
      <c r="AJ187" t="s" s="0">
        <v>4469</v>
      </c>
      <c r="AK187" t="s" s="0">
        <v>82</v>
      </c>
      <c r="AL187" t="s" s="0">
        <v>790</v>
      </c>
      <c r="AM187" t="s" s="0">
        <v>78</v>
      </c>
      <c r="AN187" t="s" s="0">
        <v>78</v>
      </c>
      <c r="AO187" t="s" s="0">
        <v>264</v>
      </c>
      <c r="AP187" t="s" s="0">
        <v>244</v>
      </c>
      <c r="AQ187" t="s" s="0">
        <v>133</v>
      </c>
      <c r="AR187" t="s" s="0">
        <v>134</v>
      </c>
      <c r="AS187" t="s" s="0">
        <v>135</v>
      </c>
      <c r="AT187" t="s" s="0">
        <v>4470</v>
      </c>
      <c r="AU187" t="s" s="0">
        <v>4471</v>
      </c>
      <c r="AV187" t="s" s="0">
        <v>82</v>
      </c>
      <c r="AW187" t="s" s="0">
        <v>4472</v>
      </c>
      <c r="AX187" t="s" s="0">
        <v>4473</v>
      </c>
      <c r="AY187" t="s" s="0">
        <v>302</v>
      </c>
      <c r="AZ187" t="s" s="0">
        <v>107</v>
      </c>
      <c r="BA187" t="s" s="0">
        <v>4474</v>
      </c>
      <c r="BB187" t="s" s="0">
        <v>308</v>
      </c>
      <c r="BC187" t="s" s="0">
        <v>82</v>
      </c>
      <c r="BD187" t="s" s="0">
        <v>82</v>
      </c>
      <c r="BE187" t="s" s="0">
        <v>82</v>
      </c>
      <c r="BF187" t="s" s="0">
        <v>82</v>
      </c>
      <c r="BG187" t="s" s="0">
        <v>4475</v>
      </c>
      <c r="BH187" t="s" s="0">
        <v>4476</v>
      </c>
      <c r="BI187" t="s" s="0">
        <v>82</v>
      </c>
      <c r="BJ187" t="s" s="0">
        <v>4477</v>
      </c>
      <c r="BK187" t="s" s="371">
        <f>HYPERLINK("http://dx.doi.org/10.1002/jmri.70140","http://dx.doi.org/10.1002/jmri.70140")</f>
        <v>4478</v>
      </c>
      <c r="BL187" t="s" s="0">
        <v>82</v>
      </c>
      <c r="BM187" t="s" s="0">
        <v>106</v>
      </c>
      <c r="BN187" t="s" s="0">
        <v>272</v>
      </c>
      <c r="BO187" t="s" s="0">
        <v>752</v>
      </c>
      <c r="BP187" t="s" s="0">
        <v>752</v>
      </c>
      <c r="BQ187" t="s" s="0">
        <v>4479</v>
      </c>
      <c r="BR187" t="s" s="0">
        <v>4480</v>
      </c>
      <c r="BS187" t="s" s="0">
        <v>4481</v>
      </c>
      <c r="BT187" t="s" s="372">
        <f>HYPERLINK("https://www.webofscience.com/wos/woscc/full-record/WOS:001587448700001","View Record in Web of Science")</f>
        <v>118</v>
      </c>
      <c r="BU187" t="s" s="0">
        <v>82</v>
      </c>
      <c r="BV187" t="s" s="0">
        <v>82</v>
      </c>
      <c r="BW187" t="s" s="0">
        <v>82</v>
      </c>
      <c r="BX187" t="s" s="0">
        <v>119</v>
      </c>
    </row>
    <row r="188">
      <c r="A188" t="s" s="0">
        <v>77</v>
      </c>
      <c r="B188" t="s" s="0">
        <v>77</v>
      </c>
      <c r="C188" t="s" s="0">
        <v>77</v>
      </c>
      <c r="D188" t="s" s="0">
        <v>77</v>
      </c>
      <c r="E188" t="s" s="0">
        <v>4482</v>
      </c>
      <c r="F188" t="s" s="0">
        <v>4483</v>
      </c>
      <c r="G188" t="s" s="0">
        <v>4484</v>
      </c>
      <c r="H188" t="s" s="0">
        <v>82</v>
      </c>
      <c r="I188" t="s" s="0">
        <v>1573</v>
      </c>
      <c r="J188" t="s" s="0">
        <v>4485</v>
      </c>
      <c r="K188" t="s" s="0">
        <v>4486</v>
      </c>
      <c r="L188" t="s" s="0">
        <v>4487</v>
      </c>
      <c r="M188" t="s" s="0">
        <v>4488</v>
      </c>
      <c r="N188" t="s" s="0">
        <v>4489</v>
      </c>
      <c r="O188" t="s" s="0">
        <v>4490</v>
      </c>
      <c r="P188" t="s" s="0">
        <v>4491</v>
      </c>
      <c r="Q188" t="s" s="0">
        <v>88</v>
      </c>
      <c r="R188" t="s" s="0">
        <v>82</v>
      </c>
      <c r="S188" t="s" s="0">
        <v>82</v>
      </c>
      <c r="T188" t="s" s="0">
        <v>82</v>
      </c>
      <c r="U188" t="s" s="0">
        <v>82</v>
      </c>
      <c r="V188" t="s" s="0">
        <v>4492</v>
      </c>
      <c r="W188" t="s" s="0">
        <v>4493</v>
      </c>
      <c r="X188" t="s" s="0">
        <v>82</v>
      </c>
      <c r="Y188" t="s" s="0">
        <v>82</v>
      </c>
      <c r="Z188" t="s" s="0">
        <v>91</v>
      </c>
      <c r="AA188" t="s" s="0">
        <v>526</v>
      </c>
      <c r="AB188" t="s" s="0">
        <v>82</v>
      </c>
      <c r="AC188" t="s" s="0">
        <v>82</v>
      </c>
      <c r="AD188" t="s" s="0">
        <v>82</v>
      </c>
      <c r="AE188" t="s" s="0">
        <v>82</v>
      </c>
      <c r="AF188" t="s" s="0">
        <v>82</v>
      </c>
      <c r="AG188" t="s" s="0">
        <v>4494</v>
      </c>
      <c r="AH188" t="s" s="0">
        <v>4495</v>
      </c>
      <c r="AI188" t="s" s="0">
        <v>4496</v>
      </c>
      <c r="AJ188" t="s" s="0">
        <v>82</v>
      </c>
      <c r="AK188" t="s" s="0">
        <v>82</v>
      </c>
      <c r="AL188" t="s" s="0">
        <v>908</v>
      </c>
      <c r="AM188" t="s" s="0">
        <v>77</v>
      </c>
      <c r="AN188" t="s" s="0">
        <v>77</v>
      </c>
      <c r="AO188" t="s" s="0">
        <v>510</v>
      </c>
      <c r="AP188" t="s" s="0">
        <v>510</v>
      </c>
      <c r="AQ188" t="s" s="0">
        <v>2574</v>
      </c>
      <c r="AR188" t="s" s="0">
        <v>2575</v>
      </c>
      <c r="AS188" t="s" s="0">
        <v>2576</v>
      </c>
      <c r="AT188" t="s" s="0">
        <v>4497</v>
      </c>
      <c r="AU188" t="s" s="0">
        <v>4498</v>
      </c>
      <c r="AV188" t="s" s="0">
        <v>82</v>
      </c>
      <c r="AW188" t="s" s="0">
        <v>4499</v>
      </c>
      <c r="AX188" t="s" s="0">
        <v>4500</v>
      </c>
      <c r="AY188" t="s" s="0">
        <v>82</v>
      </c>
      <c r="AZ188" t="s" s="0">
        <v>141</v>
      </c>
      <c r="BA188" t="s" s="0">
        <v>82</v>
      </c>
      <c r="BB188" t="s" s="0">
        <v>82</v>
      </c>
      <c r="BC188" t="s" s="0">
        <v>82</v>
      </c>
      <c r="BD188" t="s" s="0">
        <v>82</v>
      </c>
      <c r="BE188" t="s" s="0">
        <v>82</v>
      </c>
      <c r="BF188" t="s" s="0">
        <v>82</v>
      </c>
      <c r="BG188" t="s" s="0">
        <v>82</v>
      </c>
      <c r="BH188" t="s" s="0">
        <v>82</v>
      </c>
      <c r="BI188" t="s" s="0">
        <v>82</v>
      </c>
      <c r="BJ188" t="s" s="0">
        <v>4501</v>
      </c>
      <c r="BK188" t="s" s="373">
        <f>HYPERLINK("http://dx.doi.org/10.1080/0144929X.2026.2662400","http://dx.doi.org/10.1080/0144929X.2026.2662400")</f>
        <v>4502</v>
      </c>
      <c r="BL188" t="s" s="0">
        <v>82</v>
      </c>
      <c r="BM188" t="s" s="0">
        <v>276</v>
      </c>
      <c r="BN188" t="s" s="0">
        <v>862</v>
      </c>
      <c r="BO188" t="s" s="0">
        <v>4503</v>
      </c>
      <c r="BP188" t="s" s="0">
        <v>3010</v>
      </c>
      <c r="BQ188" t="s" s="0">
        <v>4504</v>
      </c>
      <c r="BR188" t="s" s="0">
        <v>82</v>
      </c>
      <c r="BS188" t="s" s="0">
        <v>4505</v>
      </c>
      <c r="BT188" t="s" s="374">
        <f>HYPERLINK("https://www.webofscience.com/wos/woscc/full-record/WOS:001747275800001","View Record in Web of Science")</f>
        <v>118</v>
      </c>
      <c r="BU188" t="s" s="0">
        <v>82</v>
      </c>
      <c r="BV188" t="s" s="0">
        <v>82</v>
      </c>
      <c r="BW188" t="s" s="0">
        <v>82</v>
      </c>
      <c r="BX188" t="s" s="0">
        <v>119</v>
      </c>
    </row>
    <row r="189">
      <c r="A189" t="s" s="0">
        <v>77</v>
      </c>
      <c r="B189" t="s" s="0">
        <v>77</v>
      </c>
      <c r="C189" t="s" s="0">
        <v>77</v>
      </c>
      <c r="D189" t="s" s="0">
        <v>77</v>
      </c>
      <c r="E189" t="s" s="0">
        <v>4506</v>
      </c>
      <c r="F189" t="s" s="0">
        <v>4507</v>
      </c>
      <c r="G189" t="s" s="0">
        <v>4508</v>
      </c>
      <c r="H189" t="s" s="0">
        <v>82</v>
      </c>
      <c r="I189" t="s" s="0">
        <v>1573</v>
      </c>
      <c r="J189" t="s" s="0">
        <v>4509</v>
      </c>
      <c r="K189" t="s" s="0">
        <v>4510</v>
      </c>
      <c r="L189" t="s" s="0">
        <v>82</v>
      </c>
      <c r="M189" t="s" s="0">
        <v>82</v>
      </c>
      <c r="N189" t="s" s="0">
        <v>82</v>
      </c>
      <c r="O189" t="s" s="0">
        <v>4511</v>
      </c>
      <c r="P189" t="s" s="0">
        <v>4512</v>
      </c>
      <c r="Q189" t="s" s="0">
        <v>88</v>
      </c>
      <c r="R189" t="s" s="0">
        <v>82</v>
      </c>
      <c r="S189" t="s" s="0">
        <v>82</v>
      </c>
      <c r="T189" t="s" s="0">
        <v>82</v>
      </c>
      <c r="U189" t="s" s="0">
        <v>82</v>
      </c>
      <c r="V189" t="s" s="0">
        <v>4513</v>
      </c>
      <c r="W189" t="s" s="0">
        <v>4514</v>
      </c>
      <c r="X189" t="s" s="0">
        <v>82</v>
      </c>
      <c r="Y189" t="s" s="0">
        <v>82</v>
      </c>
      <c r="Z189" t="s" s="0">
        <v>91</v>
      </c>
      <c r="AA189" t="s" s="0">
        <v>92</v>
      </c>
      <c r="AB189" t="s" s="0">
        <v>82</v>
      </c>
      <c r="AC189" t="s" s="0">
        <v>82</v>
      </c>
      <c r="AD189" t="s" s="0">
        <v>82</v>
      </c>
      <c r="AE189" t="s" s="0">
        <v>82</v>
      </c>
      <c r="AF189" t="s" s="0">
        <v>82</v>
      </c>
      <c r="AG189" t="s" s="0">
        <v>4515</v>
      </c>
      <c r="AH189" t="s" s="0">
        <v>4516</v>
      </c>
      <c r="AI189" t="s" s="0">
        <v>4517</v>
      </c>
      <c r="AJ189" t="s" s="0">
        <v>4518</v>
      </c>
      <c r="AK189" t="s" s="0">
        <v>82</v>
      </c>
      <c r="AL189" t="s" s="0">
        <v>557</v>
      </c>
      <c r="AM189" t="s" s="0">
        <v>277</v>
      </c>
      <c r="AN189" t="s" s="0">
        <v>425</v>
      </c>
      <c r="AO189" t="s" s="0">
        <v>342</v>
      </c>
      <c r="AP189" t="s" s="0">
        <v>208</v>
      </c>
      <c r="AQ189" t="s" s="0">
        <v>170</v>
      </c>
      <c r="AR189" t="s" s="0">
        <v>171</v>
      </c>
      <c r="AS189" t="s" s="0">
        <v>172</v>
      </c>
      <c r="AT189" t="s" s="0">
        <v>82</v>
      </c>
      <c r="AU189" t="s" s="0">
        <v>4519</v>
      </c>
      <c r="AV189" t="s" s="0">
        <v>82</v>
      </c>
      <c r="AW189" t="s" s="0">
        <v>4520</v>
      </c>
      <c r="AX189" t="s" s="0">
        <v>4521</v>
      </c>
      <c r="AY189" t="s" s="0">
        <v>4522</v>
      </c>
      <c r="AZ189" t="s" s="0">
        <v>107</v>
      </c>
      <c r="BA189" t="s" s="0">
        <v>425</v>
      </c>
      <c r="BB189" t="s" s="0">
        <v>346</v>
      </c>
      <c r="BC189" t="s" s="0">
        <v>82</v>
      </c>
      <c r="BD189" t="s" s="0">
        <v>82</v>
      </c>
      <c r="BE189" t="s" s="0">
        <v>82</v>
      </c>
      <c r="BF189" t="s" s="0">
        <v>82</v>
      </c>
      <c r="BG189" t="s" s="0">
        <v>82</v>
      </c>
      <c r="BH189" t="s" s="0">
        <v>82</v>
      </c>
      <c r="BI189" t="s" s="0">
        <v>4523</v>
      </c>
      <c r="BJ189" t="s" s="0">
        <v>4524</v>
      </c>
      <c r="BK189" t="s" s="375">
        <f>HYPERLINK("http://dx.doi.org/10.3390/healthcare13121394","http://dx.doi.org/10.3390/healthcare13121394")</f>
        <v>4525</v>
      </c>
      <c r="BL189" t="s" s="0">
        <v>82</v>
      </c>
      <c r="BM189" t="s" s="0">
        <v>82</v>
      </c>
      <c r="BN189" t="s" s="0">
        <v>212</v>
      </c>
      <c r="BO189" t="s" s="0">
        <v>4526</v>
      </c>
      <c r="BP189" t="s" s="0">
        <v>3308</v>
      </c>
      <c r="BQ189" t="s" s="0">
        <v>4527</v>
      </c>
      <c r="BR189" t="s" s="0">
        <v>4528</v>
      </c>
      <c r="BS189" t="s" s="0">
        <v>4529</v>
      </c>
      <c r="BT189" t="s" s="376">
        <f>HYPERLINK("https://www.webofscience.com/wos/woscc/full-record/WOS:001514837500001","View Record in Web of Science")</f>
        <v>118</v>
      </c>
      <c r="BU189" t="s" s="0">
        <v>187</v>
      </c>
      <c r="BV189" t="s" s="0">
        <v>82</v>
      </c>
      <c r="BW189" t="s" s="0">
        <v>82</v>
      </c>
      <c r="BX189" t="s" s="0">
        <v>119</v>
      </c>
    </row>
    <row r="190">
      <c r="A190" t="s" s="0">
        <v>244</v>
      </c>
      <c r="B190" t="s" s="0">
        <v>77</v>
      </c>
      <c r="C190" t="s" s="0">
        <v>769</v>
      </c>
      <c r="D190" t="s" s="0">
        <v>77</v>
      </c>
      <c r="E190" t="s" s="0">
        <v>4530</v>
      </c>
      <c r="F190" t="s" s="0">
        <v>4531</v>
      </c>
      <c r="G190" t="s" s="0">
        <v>4532</v>
      </c>
      <c r="H190" t="s" s="0">
        <v>82</v>
      </c>
      <c r="I190" t="s" s="0">
        <v>1573</v>
      </c>
      <c r="J190" t="s" s="0">
        <v>4533</v>
      </c>
      <c r="K190" t="s" s="0">
        <v>4534</v>
      </c>
      <c r="L190" t="s" s="0">
        <v>82</v>
      </c>
      <c r="M190" t="s" s="0">
        <v>82</v>
      </c>
      <c r="N190" t="s" s="0">
        <v>82</v>
      </c>
      <c r="O190" t="s" s="0">
        <v>4535</v>
      </c>
      <c r="P190" t="s" s="0">
        <v>4536</v>
      </c>
      <c r="Q190" t="s" s="0">
        <v>88</v>
      </c>
      <c r="R190" t="s" s="0">
        <v>82</v>
      </c>
      <c r="S190" t="s" s="0">
        <v>82</v>
      </c>
      <c r="T190" t="s" s="0">
        <v>82</v>
      </c>
      <c r="U190" t="s" s="0">
        <v>82</v>
      </c>
      <c r="V190" t="s" s="0">
        <v>4537</v>
      </c>
      <c r="W190" t="s" s="0">
        <v>4538</v>
      </c>
      <c r="X190" t="s" s="0">
        <v>82</v>
      </c>
      <c r="Y190" t="s" s="0">
        <v>82</v>
      </c>
      <c r="Z190" t="s" s="0">
        <v>91</v>
      </c>
      <c r="AA190" t="s" s="0">
        <v>92</v>
      </c>
      <c r="AB190" t="s" s="0">
        <v>82</v>
      </c>
      <c r="AC190" t="s" s="0">
        <v>82</v>
      </c>
      <c r="AD190" t="s" s="0">
        <v>82</v>
      </c>
      <c r="AE190" t="s" s="0">
        <v>82</v>
      </c>
      <c r="AF190" t="s" s="0">
        <v>82</v>
      </c>
      <c r="AG190" t="s" s="0">
        <v>4539</v>
      </c>
      <c r="AH190" t="s" s="0">
        <v>4540</v>
      </c>
      <c r="AI190" t="s" s="0">
        <v>4541</v>
      </c>
      <c r="AJ190" t="s" s="0">
        <v>4542</v>
      </c>
      <c r="AK190" t="s" s="0">
        <v>82</v>
      </c>
      <c r="AL190" t="s" s="0">
        <v>4543</v>
      </c>
      <c r="AM190" t="s" s="0">
        <v>4544</v>
      </c>
      <c r="AN190" t="s" s="0">
        <v>4545</v>
      </c>
      <c r="AO190" t="s" s="0">
        <v>3004</v>
      </c>
      <c r="AP190" t="s" s="0">
        <v>4546</v>
      </c>
      <c r="AQ190" t="s" s="0">
        <v>604</v>
      </c>
      <c r="AR190" t="s" s="0">
        <v>605</v>
      </c>
      <c r="AS190" t="s" s="0">
        <v>606</v>
      </c>
      <c r="AT190" t="s" s="0">
        <v>4547</v>
      </c>
      <c r="AU190" t="s" s="0">
        <v>82</v>
      </c>
      <c r="AV190" t="s" s="0">
        <v>82</v>
      </c>
      <c r="AW190" t="s" s="0">
        <v>4548</v>
      </c>
      <c r="AX190" t="s" s="0">
        <v>4549</v>
      </c>
      <c r="AY190" t="s" s="0">
        <v>4550</v>
      </c>
      <c r="AZ190" t="s" s="0">
        <v>341</v>
      </c>
      <c r="BA190" t="s" s="0">
        <v>379</v>
      </c>
      <c r="BB190" t="s" s="0">
        <v>229</v>
      </c>
      <c r="BC190" t="s" s="0">
        <v>82</v>
      </c>
      <c r="BD190" t="s" s="0">
        <v>82</v>
      </c>
      <c r="BE190" t="s" s="0">
        <v>82</v>
      </c>
      <c r="BF190" t="s" s="0">
        <v>82</v>
      </c>
      <c r="BG190" t="s" s="0">
        <v>82</v>
      </c>
      <c r="BH190" t="s" s="0">
        <v>82</v>
      </c>
      <c r="BI190" t="s" s="0">
        <v>510</v>
      </c>
      <c r="BJ190" t="s" s="0">
        <v>4551</v>
      </c>
      <c r="BK190" t="s" s="377">
        <f>HYPERLINK("http://dx.doi.org/10.1186/s13012-024-01357-9","http://dx.doi.org/10.1186/s13012-024-01357-9")</f>
        <v>4552</v>
      </c>
      <c r="BL190" t="s" s="0">
        <v>82</v>
      </c>
      <c r="BM190" t="s" s="0">
        <v>82</v>
      </c>
      <c r="BN190" t="s" s="0">
        <v>176</v>
      </c>
      <c r="BO190" t="s" s="0">
        <v>4526</v>
      </c>
      <c r="BP190" t="s" s="0">
        <v>3308</v>
      </c>
      <c r="BQ190" t="s" s="0">
        <v>4553</v>
      </c>
      <c r="BR190" t="s" s="0">
        <v>4554</v>
      </c>
      <c r="BS190" t="s" s="0">
        <v>4555</v>
      </c>
      <c r="BT190" t="s" s="378">
        <f>HYPERLINK("https://www.webofscience.com/wos/woscc/full-record/WOS:001185562300001","View Record in Web of Science")</f>
        <v>118</v>
      </c>
      <c r="BU190" t="s" s="0">
        <v>187</v>
      </c>
      <c r="BV190" t="s" s="0">
        <v>385</v>
      </c>
      <c r="BW190" t="s" s="0">
        <v>350</v>
      </c>
      <c r="BX190" t="s" s="0">
        <v>119</v>
      </c>
    </row>
    <row r="191">
      <c r="A191" t="s" s="0">
        <v>77</v>
      </c>
      <c r="B191" t="s" s="0">
        <v>77</v>
      </c>
      <c r="C191" t="s" s="0">
        <v>264</v>
      </c>
      <c r="D191" t="s" s="0">
        <v>77</v>
      </c>
      <c r="E191" t="s" s="0">
        <v>4556</v>
      </c>
      <c r="F191" t="s" s="0">
        <v>4557</v>
      </c>
      <c r="G191" t="s" s="0">
        <v>4558</v>
      </c>
      <c r="H191" t="s" s="0">
        <v>82</v>
      </c>
      <c r="I191" t="s" s="0">
        <v>83</v>
      </c>
      <c r="J191" t="s" s="0">
        <v>4559</v>
      </c>
      <c r="K191" t="s" s="0">
        <v>4560</v>
      </c>
      <c r="L191" t="s" s="0">
        <v>4561</v>
      </c>
      <c r="M191" t="s" s="0">
        <v>4562</v>
      </c>
      <c r="N191" t="s" s="0">
        <v>4563</v>
      </c>
      <c r="O191" t="s" s="0">
        <v>4564</v>
      </c>
      <c r="P191" t="s" s="0">
        <v>4565</v>
      </c>
      <c r="Q191" t="s" s="0">
        <v>88</v>
      </c>
      <c r="R191" t="s" s="0">
        <v>82</v>
      </c>
      <c r="S191" t="s" s="0">
        <v>82</v>
      </c>
      <c r="T191" t="s" s="0">
        <v>82</v>
      </c>
      <c r="U191" t="s" s="0">
        <v>82</v>
      </c>
      <c r="V191" t="s" s="0">
        <v>4566</v>
      </c>
      <c r="W191" t="s" s="0">
        <v>4567</v>
      </c>
      <c r="X191" t="s" s="0">
        <v>82</v>
      </c>
      <c r="Y191" t="s" s="0">
        <v>82</v>
      </c>
      <c r="Z191" t="s" s="0">
        <v>91</v>
      </c>
      <c r="AA191" t="s" s="0">
        <v>92</v>
      </c>
      <c r="AB191" t="s" s="0">
        <v>82</v>
      </c>
      <c r="AC191" t="s" s="0">
        <v>82</v>
      </c>
      <c r="AD191" t="s" s="0">
        <v>82</v>
      </c>
      <c r="AE191" t="s" s="0">
        <v>82</v>
      </c>
      <c r="AF191" t="s" s="0">
        <v>82</v>
      </c>
      <c r="AG191" t="s" s="0">
        <v>4568</v>
      </c>
      <c r="AH191" t="s" s="0">
        <v>4569</v>
      </c>
      <c r="AI191" t="s" s="0">
        <v>82</v>
      </c>
      <c r="AJ191" t="s" s="0">
        <v>4570</v>
      </c>
      <c r="AK191" t="s" s="0">
        <v>82</v>
      </c>
      <c r="AL191" t="s" s="0">
        <v>4571</v>
      </c>
      <c r="AM191" t="s" s="0">
        <v>239</v>
      </c>
      <c r="AN191" t="s" s="0">
        <v>308</v>
      </c>
      <c r="AO191" t="s" s="0">
        <v>78</v>
      </c>
      <c r="AP191" t="s" s="0">
        <v>342</v>
      </c>
      <c r="AQ191" t="s" s="0">
        <v>2054</v>
      </c>
      <c r="AR191" t="s" s="0">
        <v>1027</v>
      </c>
      <c r="AS191" t="s" s="0">
        <v>2055</v>
      </c>
      <c r="AT191" t="s" s="0">
        <v>4572</v>
      </c>
      <c r="AU191" t="s" s="0">
        <v>4573</v>
      </c>
      <c r="AV191" t="s" s="0">
        <v>82</v>
      </c>
      <c r="AW191" t="s" s="0">
        <v>4574</v>
      </c>
      <c r="AX191" t="s" s="0">
        <v>4575</v>
      </c>
      <c r="AY191" t="s" s="0">
        <v>4576</v>
      </c>
      <c r="AZ191" t="s" s="0">
        <v>341</v>
      </c>
      <c r="BA191" t="s" s="0">
        <v>332</v>
      </c>
      <c r="BB191" t="s" s="0">
        <v>229</v>
      </c>
      <c r="BC191" t="s" s="0">
        <v>82</v>
      </c>
      <c r="BD191" t="s" s="0">
        <v>82</v>
      </c>
      <c r="BE191" t="s" s="0">
        <v>82</v>
      </c>
      <c r="BF191" t="s" s="0">
        <v>82</v>
      </c>
      <c r="BG191" t="s" s="0">
        <v>82</v>
      </c>
      <c r="BH191" t="s" s="0">
        <v>82</v>
      </c>
      <c r="BI191" t="s" s="0">
        <v>4577</v>
      </c>
      <c r="BJ191" t="s" s="0">
        <v>4578</v>
      </c>
      <c r="BK191" t="s" s="379">
        <f>HYPERLINK("http://dx.doi.org/10.1093/bib/bbae640","http://dx.doi.org/10.1093/bib/bbae640")</f>
        <v>4579</v>
      </c>
      <c r="BL191" t="s" s="0">
        <v>82</v>
      </c>
      <c r="BM191" t="s" s="0">
        <v>82</v>
      </c>
      <c r="BN191" t="s" s="0">
        <v>862</v>
      </c>
      <c r="BO191" t="s" s="0">
        <v>4580</v>
      </c>
      <c r="BP191" t="s" s="0">
        <v>4581</v>
      </c>
      <c r="BQ191" t="s" s="0">
        <v>4582</v>
      </c>
      <c r="BR191" t="s" s="0">
        <v>4583</v>
      </c>
      <c r="BS191" t="s" s="0">
        <v>4584</v>
      </c>
      <c r="BT191" t="s" s="380">
        <f>HYPERLINK("https://www.webofscience.com/wos/woscc/full-record/WOS:001373520000001","View Record in Web of Science")</f>
        <v>118</v>
      </c>
      <c r="BU191" t="s" s="0">
        <v>187</v>
      </c>
      <c r="BV191" t="s" s="0">
        <v>82</v>
      </c>
      <c r="BW191" t="s" s="0">
        <v>82</v>
      </c>
      <c r="BX191" t="s" s="0">
        <v>119</v>
      </c>
    </row>
    <row r="192">
      <c r="A192" t="s" s="0">
        <v>77</v>
      </c>
      <c r="B192" t="s" s="0">
        <v>77</v>
      </c>
      <c r="C192" t="s" s="0">
        <v>239</v>
      </c>
      <c r="D192" t="s" s="0">
        <v>77</v>
      </c>
      <c r="E192" t="s" s="0">
        <v>4585</v>
      </c>
      <c r="F192" t="s" s="0">
        <v>4586</v>
      </c>
      <c r="G192" t="s" s="0">
        <v>4587</v>
      </c>
      <c r="H192" t="s" s="0">
        <v>82</v>
      </c>
      <c r="I192" t="s" s="0">
        <v>83</v>
      </c>
      <c r="J192" t="s" s="0">
        <v>4588</v>
      </c>
      <c r="K192" t="s" s="0">
        <v>4589</v>
      </c>
      <c r="L192" t="s" s="0">
        <v>4590</v>
      </c>
      <c r="M192" t="s" s="0">
        <v>4590</v>
      </c>
      <c r="N192" t="s" s="0">
        <v>4591</v>
      </c>
      <c r="O192" t="s" s="0">
        <v>4592</v>
      </c>
      <c r="P192" t="s" s="0">
        <v>4593</v>
      </c>
      <c r="Q192" t="s" s="0">
        <v>88</v>
      </c>
      <c r="R192" t="s" s="0">
        <v>82</v>
      </c>
      <c r="S192" t="s" s="0">
        <v>82</v>
      </c>
      <c r="T192" t="s" s="0">
        <v>82</v>
      </c>
      <c r="U192" t="s" s="0">
        <v>82</v>
      </c>
      <c r="V192" t="s" s="0">
        <v>4594</v>
      </c>
      <c r="W192" t="s" s="0">
        <v>4595</v>
      </c>
      <c r="X192" t="s" s="0">
        <v>82</v>
      </c>
      <c r="Y192" t="s" s="0">
        <v>82</v>
      </c>
      <c r="Z192" t="s" s="0">
        <v>91</v>
      </c>
      <c r="AA192" t="s" s="0">
        <v>92</v>
      </c>
      <c r="AB192" t="s" s="0">
        <v>82</v>
      </c>
      <c r="AC192" t="s" s="0">
        <v>82</v>
      </c>
      <c r="AD192" t="s" s="0">
        <v>82</v>
      </c>
      <c r="AE192" t="s" s="0">
        <v>82</v>
      </c>
      <c r="AF192" t="s" s="0">
        <v>82</v>
      </c>
      <c r="AG192" t="s" s="0">
        <v>4596</v>
      </c>
      <c r="AH192" t="s" s="0">
        <v>4597</v>
      </c>
      <c r="AI192" t="s" s="0">
        <v>4598</v>
      </c>
      <c r="AJ192" t="s" s="0">
        <v>4599</v>
      </c>
      <c r="AK192" t="s" s="0">
        <v>82</v>
      </c>
      <c r="AL192" t="s" s="0">
        <v>845</v>
      </c>
      <c r="AM192" t="s" s="0">
        <v>97</v>
      </c>
      <c r="AN192" t="s" s="0">
        <v>168</v>
      </c>
      <c r="AO192" t="s" s="0">
        <v>78</v>
      </c>
      <c r="AP192" t="s" s="0">
        <v>770</v>
      </c>
      <c r="AQ192" t="s" s="0">
        <v>550</v>
      </c>
      <c r="AR192" t="s" s="0">
        <v>739</v>
      </c>
      <c r="AS192" t="s" s="0">
        <v>740</v>
      </c>
      <c r="AT192" t="s" s="0">
        <v>4600</v>
      </c>
      <c r="AU192" t="s" s="0">
        <v>4601</v>
      </c>
      <c r="AV192" t="s" s="0">
        <v>82</v>
      </c>
      <c r="AW192" t="s" s="0">
        <v>4602</v>
      </c>
      <c r="AX192" t="s" s="0">
        <v>4603</v>
      </c>
      <c r="AY192" t="s" s="0">
        <v>4604</v>
      </c>
      <c r="AZ192" t="s" s="0">
        <v>3456</v>
      </c>
      <c r="BA192" t="s" s="0">
        <v>845</v>
      </c>
      <c r="BB192" t="s" s="0">
        <v>229</v>
      </c>
      <c r="BC192" t="s" s="0">
        <v>82</v>
      </c>
      <c r="BD192" t="s" s="0">
        <v>82</v>
      </c>
      <c r="BE192" t="s" s="0">
        <v>82</v>
      </c>
      <c r="BF192" t="s" s="0">
        <v>82</v>
      </c>
      <c r="BG192" t="s" s="0">
        <v>82</v>
      </c>
      <c r="BH192" t="s" s="0">
        <v>82</v>
      </c>
      <c r="BI192" t="s" s="0">
        <v>1654</v>
      </c>
      <c r="BJ192" t="s" s="0">
        <v>4605</v>
      </c>
      <c r="BK192" t="s" s="381">
        <f>HYPERLINK("http://dx.doi.org/10.1186/s10195-023-00740-4","http://dx.doi.org/10.1186/s10195-023-00740-4")</f>
        <v>4606</v>
      </c>
      <c r="BL192" t="s" s="0">
        <v>82</v>
      </c>
      <c r="BM192" t="s" s="0">
        <v>82</v>
      </c>
      <c r="BN192" t="s" s="0">
        <v>277</v>
      </c>
      <c r="BO192" t="s" s="0">
        <v>4607</v>
      </c>
      <c r="BP192" t="s" s="0">
        <v>4607</v>
      </c>
      <c r="BQ192" t="s" s="0">
        <v>4608</v>
      </c>
      <c r="BR192" t="s" s="0">
        <v>4609</v>
      </c>
      <c r="BS192" t="s" s="0">
        <v>4610</v>
      </c>
      <c r="BT192" t="s" s="382">
        <f>HYPERLINK("https://www.webofscience.com/wos/woscc/full-record/WOS:001110492100001","View Record in Web of Science")</f>
        <v>118</v>
      </c>
      <c r="BU192" t="s" s="0">
        <v>4611</v>
      </c>
      <c r="BV192" t="s" s="0">
        <v>82</v>
      </c>
      <c r="BW192" t="s" s="0">
        <v>82</v>
      </c>
      <c r="BX192" t="s" s="0">
        <v>119</v>
      </c>
    </row>
    <row r="193">
      <c r="A193" t="s" s="0">
        <v>77</v>
      </c>
      <c r="B193" t="s" s="0">
        <v>77</v>
      </c>
      <c r="C193" t="s" s="0">
        <v>77</v>
      </c>
      <c r="D193" t="s" s="0">
        <v>77</v>
      </c>
      <c r="E193" t="s" s="0">
        <v>4612</v>
      </c>
      <c r="F193" t="s" s="0">
        <v>4613</v>
      </c>
      <c r="G193" t="s" s="0">
        <v>4614</v>
      </c>
      <c r="H193" t="s" s="0">
        <v>82</v>
      </c>
      <c r="I193" t="s" s="0">
        <v>83</v>
      </c>
      <c r="J193" t="s" s="0">
        <v>4615</v>
      </c>
      <c r="K193" t="s" s="0">
        <v>4616</v>
      </c>
      <c r="L193" t="s" s="0">
        <v>82</v>
      </c>
      <c r="M193" t="s" s="0">
        <v>82</v>
      </c>
      <c r="N193" t="s" s="0">
        <v>4617</v>
      </c>
      <c r="O193" t="s" s="0">
        <v>4618</v>
      </c>
      <c r="P193" t="s" s="0">
        <v>4619</v>
      </c>
      <c r="Q193" t="s" s="0">
        <v>88</v>
      </c>
      <c r="R193" t="s" s="0">
        <v>82</v>
      </c>
      <c r="S193" t="s" s="0">
        <v>82</v>
      </c>
      <c r="T193" t="s" s="0">
        <v>82</v>
      </c>
      <c r="U193" t="s" s="0">
        <v>82</v>
      </c>
      <c r="V193" t="s" s="0">
        <v>4620</v>
      </c>
      <c r="W193" t="s" s="0">
        <v>4621</v>
      </c>
      <c r="X193" t="s" s="0">
        <v>82</v>
      </c>
      <c r="Y193" t="s" s="0">
        <v>82</v>
      </c>
      <c r="Z193" t="s" s="0">
        <v>91</v>
      </c>
      <c r="AA193" t="s" s="0">
        <v>526</v>
      </c>
      <c r="AB193" t="s" s="0">
        <v>82</v>
      </c>
      <c r="AC193" t="s" s="0">
        <v>82</v>
      </c>
      <c r="AD193" t="s" s="0">
        <v>82</v>
      </c>
      <c r="AE193" t="s" s="0">
        <v>82</v>
      </c>
      <c r="AF193" t="s" s="0">
        <v>82</v>
      </c>
      <c r="AG193" t="s" s="0">
        <v>4622</v>
      </c>
      <c r="AH193" t="s" s="0">
        <v>4623</v>
      </c>
      <c r="AI193" t="s" s="0">
        <v>4624</v>
      </c>
      <c r="AJ193" t="s" s="0">
        <v>82</v>
      </c>
      <c r="AK193" t="s" s="0">
        <v>82</v>
      </c>
      <c r="AL193" t="s" s="0">
        <v>1068</v>
      </c>
      <c r="AM193" t="s" s="0">
        <v>77</v>
      </c>
      <c r="AN193" t="s" s="0">
        <v>77</v>
      </c>
      <c r="AO193" t="s" s="0">
        <v>77</v>
      </c>
      <c r="AP193" t="s" s="0">
        <v>77</v>
      </c>
      <c r="AQ193" t="s" s="0">
        <v>230</v>
      </c>
      <c r="AR193" t="s" s="0">
        <v>231</v>
      </c>
      <c r="AS193" t="s" s="0">
        <v>232</v>
      </c>
      <c r="AT193" t="s" s="0">
        <v>4625</v>
      </c>
      <c r="AU193" t="s" s="0">
        <v>4626</v>
      </c>
      <c r="AV193" t="s" s="0">
        <v>82</v>
      </c>
      <c r="AW193" t="s" s="0">
        <v>4621</v>
      </c>
      <c r="AX193" t="s" s="0">
        <v>4627</v>
      </c>
      <c r="AY193" t="s" s="0">
        <v>82</v>
      </c>
      <c r="AZ193" t="s" s="0">
        <v>141</v>
      </c>
      <c r="BA193" t="s" s="0">
        <v>82</v>
      </c>
      <c r="BB193" t="s" s="0">
        <v>82</v>
      </c>
      <c r="BC193" t="s" s="0">
        <v>82</v>
      </c>
      <c r="BD193" t="s" s="0">
        <v>82</v>
      </c>
      <c r="BE193" t="s" s="0">
        <v>82</v>
      </c>
      <c r="BF193" t="s" s="0">
        <v>82</v>
      </c>
      <c r="BG193" t="s" s="0">
        <v>82</v>
      </c>
      <c r="BH193" t="s" s="0">
        <v>82</v>
      </c>
      <c r="BI193" t="s" s="0">
        <v>82</v>
      </c>
      <c r="BJ193" t="s" s="0">
        <v>4628</v>
      </c>
      <c r="BK193" t="s" s="383">
        <f>HYPERLINK("http://dx.doi.org/10.1177/02683555261467340","http://dx.doi.org/10.1177/02683555261467340")</f>
        <v>4629</v>
      </c>
      <c r="BL193" t="s" s="0">
        <v>82</v>
      </c>
      <c r="BM193" t="s" s="0">
        <v>534</v>
      </c>
      <c r="BN193" t="s" s="0">
        <v>272</v>
      </c>
      <c r="BO193" t="s" s="0">
        <v>4630</v>
      </c>
      <c r="BP193" t="s" s="0">
        <v>4631</v>
      </c>
      <c r="BQ193" t="s" s="0">
        <v>4632</v>
      </c>
      <c r="BR193" t="s" s="0">
        <v>4633</v>
      </c>
      <c r="BS193" t="s" s="0">
        <v>4634</v>
      </c>
      <c r="BT193" t="s" s="384">
        <f>HYPERLINK("https://www.webofscience.com/wos/woscc/full-record/WOS:001809176000001","View Record in Web of Science")</f>
        <v>118</v>
      </c>
      <c r="BU193" t="s" s="0">
        <v>82</v>
      </c>
      <c r="BV193" t="s" s="0">
        <v>82</v>
      </c>
      <c r="BW193" t="s" s="0">
        <v>82</v>
      </c>
      <c r="BX193" t="s" s="0">
        <v>119</v>
      </c>
    </row>
    <row r="194">
      <c r="A194" t="s" s="0">
        <v>78</v>
      </c>
      <c r="B194" t="s" s="0">
        <v>77</v>
      </c>
      <c r="C194" t="s" s="0">
        <v>229</v>
      </c>
      <c r="D194" t="s" s="0">
        <v>77</v>
      </c>
      <c r="E194" t="s" s="0">
        <v>4635</v>
      </c>
      <c r="F194" t="s" s="0">
        <v>4636</v>
      </c>
      <c r="G194" t="s" s="0">
        <v>4637</v>
      </c>
      <c r="H194" t="s" s="0">
        <v>82</v>
      </c>
      <c r="I194" t="s" s="0">
        <v>83</v>
      </c>
      <c r="J194" t="s" s="0">
        <v>4638</v>
      </c>
      <c r="K194" t="s" s="0">
        <v>4639</v>
      </c>
      <c r="L194" t="s" s="0">
        <v>4640</v>
      </c>
      <c r="M194" t="s" s="0">
        <v>4641</v>
      </c>
      <c r="N194" t="s" s="0">
        <v>4642</v>
      </c>
      <c r="O194" t="s" s="0">
        <v>4643</v>
      </c>
      <c r="P194" t="s" s="0">
        <v>4644</v>
      </c>
      <c r="Q194" t="s" s="0">
        <v>88</v>
      </c>
      <c r="R194" t="s" s="0">
        <v>82</v>
      </c>
      <c r="S194" t="s" s="0">
        <v>82</v>
      </c>
      <c r="T194" t="s" s="0">
        <v>82</v>
      </c>
      <c r="U194" t="s" s="0">
        <v>82</v>
      </c>
      <c r="V194" t="s" s="0">
        <v>4645</v>
      </c>
      <c r="W194" t="s" s="0">
        <v>4646</v>
      </c>
      <c r="X194" t="s" s="0">
        <v>82</v>
      </c>
      <c r="Y194" t="s" s="0">
        <v>82</v>
      </c>
      <c r="Z194" t="s" s="0">
        <v>91</v>
      </c>
      <c r="AA194" t="s" s="0">
        <v>92</v>
      </c>
      <c r="AB194" t="s" s="0">
        <v>82</v>
      </c>
      <c r="AC194" t="s" s="0">
        <v>82</v>
      </c>
      <c r="AD194" t="s" s="0">
        <v>82</v>
      </c>
      <c r="AE194" t="s" s="0">
        <v>82</v>
      </c>
      <c r="AF194" t="s" s="0">
        <v>82</v>
      </c>
      <c r="AG194" t="s" s="0">
        <v>4647</v>
      </c>
      <c r="AH194" t="s" s="0">
        <v>4648</v>
      </c>
      <c r="AI194" t="s" s="0">
        <v>4649</v>
      </c>
      <c r="AJ194" t="s" s="0">
        <v>4650</v>
      </c>
      <c r="AK194" t="s" s="0">
        <v>82</v>
      </c>
      <c r="AL194" t="s" s="0">
        <v>4651</v>
      </c>
      <c r="AM194" t="s" s="0">
        <v>212</v>
      </c>
      <c r="AN194" t="s" s="0">
        <v>845</v>
      </c>
      <c r="AO194" t="s" s="0">
        <v>244</v>
      </c>
      <c r="AP194" t="s" s="0">
        <v>1257</v>
      </c>
      <c r="AQ194" t="s" s="0">
        <v>1818</v>
      </c>
      <c r="AR194" t="s" s="0">
        <v>739</v>
      </c>
      <c r="AS194" t="s" s="0">
        <v>1819</v>
      </c>
      <c r="AT194" t="s" s="0">
        <v>82</v>
      </c>
      <c r="AU194" t="s" s="0">
        <v>4652</v>
      </c>
      <c r="AV194" t="s" s="0">
        <v>82</v>
      </c>
      <c r="AW194" t="s" s="0">
        <v>4653</v>
      </c>
      <c r="AX194" t="s" s="0">
        <v>4654</v>
      </c>
      <c r="AY194" t="s" s="0">
        <v>4655</v>
      </c>
      <c r="AZ194" t="s" s="0">
        <v>341</v>
      </c>
      <c r="BA194" t="s" s="0">
        <v>425</v>
      </c>
      <c r="BB194" t="s" s="0">
        <v>169</v>
      </c>
      <c r="BC194" t="s" s="0">
        <v>82</v>
      </c>
      <c r="BD194" t="s" s="0">
        <v>82</v>
      </c>
      <c r="BE194" t="s" s="0">
        <v>82</v>
      </c>
      <c r="BF194" t="s" s="0">
        <v>82</v>
      </c>
      <c r="BG194" t="s" s="0">
        <v>82</v>
      </c>
      <c r="BH194" t="s" s="0">
        <v>82</v>
      </c>
      <c r="BI194" t="s" s="0">
        <v>4656</v>
      </c>
      <c r="BJ194" t="s" s="0">
        <v>4657</v>
      </c>
      <c r="BK194" t="s" s="385">
        <f>HYPERLINK("http://dx.doi.org/10.1016/j.apjo.2024.100090","http://dx.doi.org/10.1016/j.apjo.2024.100090")</f>
        <v>4658</v>
      </c>
      <c r="BL194" t="s" s="0">
        <v>82</v>
      </c>
      <c r="BM194" t="s" s="0">
        <v>82</v>
      </c>
      <c r="BN194" t="s" s="0">
        <v>277</v>
      </c>
      <c r="BO194" t="s" s="0">
        <v>1525</v>
      </c>
      <c r="BP194" t="s" s="0">
        <v>1525</v>
      </c>
      <c r="BQ194" t="s" s="0">
        <v>4659</v>
      </c>
      <c r="BR194" t="s" s="0">
        <v>4660</v>
      </c>
      <c r="BS194" t="s" s="0">
        <v>4661</v>
      </c>
      <c r="BT194" t="s" s="386">
        <f>HYPERLINK("https://www.webofscience.com/wos/woscc/full-record/WOS:001309018400001","View Record in Web of Science")</f>
        <v>118</v>
      </c>
      <c r="BU194" t="s" s="0">
        <v>1634</v>
      </c>
      <c r="BV194" t="s" s="0">
        <v>82</v>
      </c>
      <c r="BW194" t="s" s="0">
        <v>82</v>
      </c>
      <c r="BX194" t="s" s="0">
        <v>119</v>
      </c>
    </row>
    <row r="195">
      <c r="A195" t="s" s="0">
        <v>229</v>
      </c>
      <c r="B195" t="s" s="0">
        <v>77</v>
      </c>
      <c r="C195" t="s" s="0">
        <v>77</v>
      </c>
      <c r="D195" t="s" s="0">
        <v>77</v>
      </c>
      <c r="E195" t="s" s="0">
        <v>4662</v>
      </c>
      <c r="F195" t="s" s="0">
        <v>4663</v>
      </c>
      <c r="G195" t="s" s="0">
        <v>4664</v>
      </c>
      <c r="H195" t="s" s="0">
        <v>82</v>
      </c>
      <c r="I195" t="s" s="0">
        <v>595</v>
      </c>
      <c r="J195" t="s" s="0">
        <v>4665</v>
      </c>
      <c r="K195" t="s" s="0">
        <v>4666</v>
      </c>
      <c r="L195" t="s" s="0">
        <v>4667</v>
      </c>
      <c r="M195" t="s" s="0">
        <v>4668</v>
      </c>
      <c r="N195" t="s" s="0">
        <v>4669</v>
      </c>
      <c r="O195" t="s" s="0">
        <v>4670</v>
      </c>
      <c r="P195" t="s" s="0">
        <v>4671</v>
      </c>
      <c r="Q195" t="s" s="0">
        <v>88</v>
      </c>
      <c r="R195" t="s" s="0">
        <v>82</v>
      </c>
      <c r="S195" t="s" s="0">
        <v>82</v>
      </c>
      <c r="T195" t="s" s="0">
        <v>82</v>
      </c>
      <c r="U195" t="s" s="0">
        <v>82</v>
      </c>
      <c r="V195" t="s" s="0">
        <v>4672</v>
      </c>
      <c r="W195" t="s" s="0">
        <v>4673</v>
      </c>
      <c r="X195" t="s" s="0">
        <v>82</v>
      </c>
      <c r="Y195" t="s" s="0">
        <v>82</v>
      </c>
      <c r="Z195" t="s" s="0">
        <v>91</v>
      </c>
      <c r="AA195" t="s" s="0">
        <v>92</v>
      </c>
      <c r="AB195" t="s" s="0">
        <v>82</v>
      </c>
      <c r="AC195" t="s" s="0">
        <v>82</v>
      </c>
      <c r="AD195" t="s" s="0">
        <v>82</v>
      </c>
      <c r="AE195" t="s" s="0">
        <v>82</v>
      </c>
      <c r="AF195" t="s" s="0">
        <v>82</v>
      </c>
      <c r="AG195" t="s" s="0">
        <v>82</v>
      </c>
      <c r="AH195" t="s" s="0">
        <v>4674</v>
      </c>
      <c r="AI195" t="s" s="0">
        <v>82</v>
      </c>
      <c r="AJ195" t="s" s="0">
        <v>4675</v>
      </c>
      <c r="AK195" t="s" s="0">
        <v>82</v>
      </c>
      <c r="AL195" t="s" s="0">
        <v>97</v>
      </c>
      <c r="AM195" t="s" s="0">
        <v>272</v>
      </c>
      <c r="AN195" t="s" s="0">
        <v>342</v>
      </c>
      <c r="AO195" t="s" s="0">
        <v>77</v>
      </c>
      <c r="AP195" t="s" s="0">
        <v>229</v>
      </c>
      <c r="AQ195" t="s" s="0">
        <v>4676</v>
      </c>
      <c r="AR195" t="s" s="0">
        <v>4677</v>
      </c>
      <c r="AS195" t="s" s="0">
        <v>4678</v>
      </c>
      <c r="AT195" t="s" s="0">
        <v>4679</v>
      </c>
      <c r="AU195" t="s" s="0">
        <v>82</v>
      </c>
      <c r="AV195" t="s" s="0">
        <v>82</v>
      </c>
      <c r="AW195" t="s" s="0">
        <v>4680</v>
      </c>
      <c r="AX195" t="s" s="0">
        <v>4681</v>
      </c>
      <c r="AY195" t="s" s="0">
        <v>378</v>
      </c>
      <c r="AZ195" t="s" s="0">
        <v>107</v>
      </c>
      <c r="BA195" t="s" s="0">
        <v>98</v>
      </c>
      <c r="BB195" t="s" s="0">
        <v>78</v>
      </c>
      <c r="BC195" t="s" s="0">
        <v>82</v>
      </c>
      <c r="BD195" t="s" s="0">
        <v>82</v>
      </c>
      <c r="BE195" t="s" s="0">
        <v>82</v>
      </c>
      <c r="BF195" t="s" s="0">
        <v>82</v>
      </c>
      <c r="BG195" t="s" s="0">
        <v>82</v>
      </c>
      <c r="BH195" t="s" s="0">
        <v>82</v>
      </c>
      <c r="BI195" t="s" s="0">
        <v>4682</v>
      </c>
      <c r="BJ195" t="s" s="0">
        <v>4683</v>
      </c>
      <c r="BK195" t="s" s="387">
        <f>HYPERLINK("http://dx.doi.org/10.1148/ryct.240272","http://dx.doi.org/10.1148/ryct.240272")</f>
        <v>4684</v>
      </c>
      <c r="BL195" t="s" s="0">
        <v>82</v>
      </c>
      <c r="BM195" t="s" s="0">
        <v>82</v>
      </c>
      <c r="BN195" t="s" s="0">
        <v>277</v>
      </c>
      <c r="BO195" t="s" s="0">
        <v>752</v>
      </c>
      <c r="BP195" t="s" s="0">
        <v>752</v>
      </c>
      <c r="BQ195" t="s" s="0">
        <v>4685</v>
      </c>
      <c r="BR195" t="s" s="0">
        <v>4686</v>
      </c>
      <c r="BS195" t="s" s="0">
        <v>4687</v>
      </c>
      <c r="BT195" t="s" s="388">
        <f>HYPERLINK("https://www.webofscience.com/wos/woscc/full-record/WOS:001491236600005","View Record in Web of Science")</f>
        <v>118</v>
      </c>
      <c r="BU195" t="s" s="0">
        <v>1044</v>
      </c>
      <c r="BV195" t="s" s="0">
        <v>82</v>
      </c>
      <c r="BW195" t="s" s="0">
        <v>82</v>
      </c>
      <c r="BX195" t="s" s="0">
        <v>119</v>
      </c>
    </row>
    <row r="196">
      <c r="A196" t="s" s="0">
        <v>77</v>
      </c>
      <c r="B196" t="s" s="0">
        <v>77</v>
      </c>
      <c r="C196" t="s" s="0">
        <v>77</v>
      </c>
      <c r="D196" t="s" s="0">
        <v>77</v>
      </c>
      <c r="E196" t="s" s="0">
        <v>4688</v>
      </c>
      <c r="F196" t="s" s="0">
        <v>4689</v>
      </c>
      <c r="G196" t="s" s="0">
        <v>4690</v>
      </c>
      <c r="H196" t="s" s="0">
        <v>82</v>
      </c>
      <c r="I196" t="s" s="0">
        <v>83</v>
      </c>
      <c r="J196" t="s" s="0">
        <v>4691</v>
      </c>
      <c r="K196" t="s" s="0">
        <v>4692</v>
      </c>
      <c r="L196" t="s" s="0">
        <v>82</v>
      </c>
      <c r="M196" t="s" s="0">
        <v>82</v>
      </c>
      <c r="N196" t="s" s="0">
        <v>82</v>
      </c>
      <c r="O196" t="s" s="0">
        <v>4693</v>
      </c>
      <c r="P196" t="s" s="0">
        <v>4694</v>
      </c>
      <c r="Q196" t="s" s="0">
        <v>88</v>
      </c>
      <c r="R196" t="s" s="0">
        <v>82</v>
      </c>
      <c r="S196" t="s" s="0">
        <v>82</v>
      </c>
      <c r="T196" t="s" s="0">
        <v>82</v>
      </c>
      <c r="U196" t="s" s="0">
        <v>82</v>
      </c>
      <c r="V196" t="s" s="0">
        <v>4695</v>
      </c>
      <c r="W196" t="s" s="0">
        <v>4696</v>
      </c>
      <c r="X196" t="s" s="0">
        <v>82</v>
      </c>
      <c r="Y196" t="s" s="0">
        <v>82</v>
      </c>
      <c r="Z196" t="s" s="0">
        <v>91</v>
      </c>
      <c r="AA196" t="s" s="0">
        <v>92</v>
      </c>
      <c r="AB196" t="s" s="0">
        <v>82</v>
      </c>
      <c r="AC196" t="s" s="0">
        <v>82</v>
      </c>
      <c r="AD196" t="s" s="0">
        <v>82</v>
      </c>
      <c r="AE196" t="s" s="0">
        <v>82</v>
      </c>
      <c r="AF196" t="s" s="0">
        <v>82</v>
      </c>
      <c r="AG196" t="s" s="0">
        <v>4697</v>
      </c>
      <c r="AH196" t="s" s="0">
        <v>82</v>
      </c>
      <c r="AI196" t="s" s="0">
        <v>82</v>
      </c>
      <c r="AJ196" t="s" s="0">
        <v>4698</v>
      </c>
      <c r="AK196" t="s" s="0">
        <v>82</v>
      </c>
      <c r="AL196" t="s" s="0">
        <v>452</v>
      </c>
      <c r="AM196" t="s" s="0">
        <v>77</v>
      </c>
      <c r="AN196" t="s" s="0">
        <v>77</v>
      </c>
      <c r="AO196" t="s" s="0">
        <v>78</v>
      </c>
      <c r="AP196" t="s" s="0">
        <v>78</v>
      </c>
      <c r="AQ196" t="s" s="0">
        <v>550</v>
      </c>
      <c r="AR196" t="s" s="0">
        <v>739</v>
      </c>
      <c r="AS196" t="s" s="0">
        <v>740</v>
      </c>
      <c r="AT196" t="s" s="0">
        <v>4699</v>
      </c>
      <c r="AU196" t="s" s="0">
        <v>4700</v>
      </c>
      <c r="AV196" t="s" s="0">
        <v>82</v>
      </c>
      <c r="AW196" t="s" s="0">
        <v>4701</v>
      </c>
      <c r="AX196" t="s" s="0">
        <v>4702</v>
      </c>
      <c r="AY196" t="s" s="0">
        <v>534</v>
      </c>
      <c r="AZ196" t="s" s="0">
        <v>141</v>
      </c>
      <c r="BA196" t="s" s="0">
        <v>199</v>
      </c>
      <c r="BB196" t="s" s="0">
        <v>425</v>
      </c>
      <c r="BC196" t="s" s="0">
        <v>82</v>
      </c>
      <c r="BD196" t="s" s="0">
        <v>82</v>
      </c>
      <c r="BE196" t="s" s="0">
        <v>82</v>
      </c>
      <c r="BF196" t="s" s="0">
        <v>82</v>
      </c>
      <c r="BG196" t="s" s="0">
        <v>4703</v>
      </c>
      <c r="BH196" t="s" s="0">
        <v>4704</v>
      </c>
      <c r="BI196" t="s" s="0">
        <v>82</v>
      </c>
      <c r="BJ196" t="s" s="0">
        <v>4705</v>
      </c>
      <c r="BK196" t="s" s="389">
        <f>HYPERLINK("http://dx.doi.org/10.1007/s00266-026-05895-z","http://dx.doi.org/10.1007/s00266-026-05895-z")</f>
        <v>4706</v>
      </c>
      <c r="BL196" t="s" s="0">
        <v>82</v>
      </c>
      <c r="BM196" t="s" s="0">
        <v>237</v>
      </c>
      <c r="BN196" t="s" s="0">
        <v>181</v>
      </c>
      <c r="BO196" t="s" s="0">
        <v>3814</v>
      </c>
      <c r="BP196" t="s" s="0">
        <v>3814</v>
      </c>
      <c r="BQ196" t="s" s="0">
        <v>4707</v>
      </c>
      <c r="BR196" t="s" s="0">
        <v>4708</v>
      </c>
      <c r="BS196" t="s" s="0">
        <v>4709</v>
      </c>
      <c r="BT196" t="s" s="390">
        <f>HYPERLINK("https://www.webofscience.com/wos/woscc/full-record/WOS:001772996300001","View Record in Web of Science")</f>
        <v>118</v>
      </c>
      <c r="BU196" t="s" s="0">
        <v>82</v>
      </c>
      <c r="BV196" t="s" s="0">
        <v>82</v>
      </c>
      <c r="BW196" t="s" s="0">
        <v>82</v>
      </c>
      <c r="BX196" t="s" s="0">
        <v>119</v>
      </c>
    </row>
    <row r="197">
      <c r="A197" t="s" s="0">
        <v>77</v>
      </c>
      <c r="B197" t="s" s="0">
        <v>77</v>
      </c>
      <c r="C197" t="s" s="0">
        <v>77</v>
      </c>
      <c r="D197" t="s" s="0">
        <v>77</v>
      </c>
      <c r="E197" t="s" s="0">
        <v>4710</v>
      </c>
      <c r="F197" t="s" s="0">
        <v>4711</v>
      </c>
      <c r="G197" t="s" s="0">
        <v>4712</v>
      </c>
      <c r="H197" t="s" s="0">
        <v>82</v>
      </c>
      <c r="I197" t="s" s="0">
        <v>595</v>
      </c>
      <c r="J197" t="s" s="0">
        <v>4713</v>
      </c>
      <c r="K197" t="s" s="0">
        <v>4714</v>
      </c>
      <c r="L197" t="s" s="0">
        <v>82</v>
      </c>
      <c r="M197" t="s" s="0">
        <v>82</v>
      </c>
      <c r="N197" t="s" s="0">
        <v>82</v>
      </c>
      <c r="O197" t="s" s="0">
        <v>4715</v>
      </c>
      <c r="P197" t="s" s="0">
        <v>4716</v>
      </c>
      <c r="Q197" t="s" s="0">
        <v>88</v>
      </c>
      <c r="R197" t="s" s="0">
        <v>82</v>
      </c>
      <c r="S197" t="s" s="0">
        <v>82</v>
      </c>
      <c r="T197" t="s" s="0">
        <v>82</v>
      </c>
      <c r="U197" t="s" s="0">
        <v>82</v>
      </c>
      <c r="V197" t="s" s="0">
        <v>4717</v>
      </c>
      <c r="W197" t="s" s="0">
        <v>4718</v>
      </c>
      <c r="X197" t="s" s="0">
        <v>82</v>
      </c>
      <c r="Y197" t="s" s="0">
        <v>82</v>
      </c>
      <c r="Z197" t="s" s="0">
        <v>91</v>
      </c>
      <c r="AA197" t="s" s="0">
        <v>92</v>
      </c>
      <c r="AB197" t="s" s="0">
        <v>82</v>
      </c>
      <c r="AC197" t="s" s="0">
        <v>82</v>
      </c>
      <c r="AD197" t="s" s="0">
        <v>82</v>
      </c>
      <c r="AE197" t="s" s="0">
        <v>82</v>
      </c>
      <c r="AF197" t="s" s="0">
        <v>82</v>
      </c>
      <c r="AG197" t="s" s="0">
        <v>4719</v>
      </c>
      <c r="AH197" t="s" s="0">
        <v>4516</v>
      </c>
      <c r="AI197" t="s" s="0">
        <v>4720</v>
      </c>
      <c r="AJ197" t="s" s="0">
        <v>4721</v>
      </c>
      <c r="AK197" t="s" s="0">
        <v>82</v>
      </c>
      <c r="AL197" t="s" s="0">
        <v>332</v>
      </c>
      <c r="AM197" t="s" s="0">
        <v>169</v>
      </c>
      <c r="AN197" t="s" s="0">
        <v>239</v>
      </c>
      <c r="AO197" t="s" s="0">
        <v>229</v>
      </c>
      <c r="AP197" t="s" s="0">
        <v>346</v>
      </c>
      <c r="AQ197" t="s" s="0">
        <v>230</v>
      </c>
      <c r="AR197" t="s" s="0">
        <v>231</v>
      </c>
      <c r="AS197" t="s" s="0">
        <v>232</v>
      </c>
      <c r="AT197" t="s" s="0">
        <v>4722</v>
      </c>
      <c r="AU197" t="s" s="0">
        <v>4723</v>
      </c>
      <c r="AV197" t="s" s="0">
        <v>82</v>
      </c>
      <c r="AW197" t="s" s="0">
        <v>4724</v>
      </c>
      <c r="AX197" t="s" s="0">
        <v>4725</v>
      </c>
      <c r="AY197" t="s" s="0">
        <v>107</v>
      </c>
      <c r="AZ197" t="s" s="0">
        <v>107</v>
      </c>
      <c r="BA197" t="s" s="0">
        <v>181</v>
      </c>
      <c r="BB197" t="s" s="0">
        <v>82</v>
      </c>
      <c r="BC197" t="s" s="0">
        <v>82</v>
      </c>
      <c r="BD197" t="s" s="0">
        <v>82</v>
      </c>
      <c r="BE197" t="s" s="0">
        <v>82</v>
      </c>
      <c r="BF197" t="s" s="0">
        <v>82</v>
      </c>
      <c r="BG197" t="s" s="0">
        <v>82</v>
      </c>
      <c r="BH197" t="s" s="0">
        <v>82</v>
      </c>
      <c r="BI197" t="s" s="0">
        <v>4726</v>
      </c>
      <c r="BJ197" t="s" s="0">
        <v>4727</v>
      </c>
      <c r="BK197" t="s" s="391">
        <f>HYPERLINK("http://dx.doi.org/10.1177/21501319251326663","http://dx.doi.org/10.1177/21501319251326663")</f>
        <v>4728</v>
      </c>
      <c r="BL197" t="s" s="0">
        <v>82</v>
      </c>
      <c r="BM197" t="s" s="0">
        <v>82</v>
      </c>
      <c r="BN197" t="s" s="0">
        <v>98</v>
      </c>
      <c r="BO197" t="s" s="0">
        <v>4729</v>
      </c>
      <c r="BP197" t="s" s="0">
        <v>183</v>
      </c>
      <c r="BQ197" t="s" s="0">
        <v>4730</v>
      </c>
      <c r="BR197" t="s" s="0">
        <v>4731</v>
      </c>
      <c r="BS197" t="s" s="0">
        <v>4732</v>
      </c>
      <c r="BT197" t="s" s="392">
        <f>HYPERLINK("https://www.webofscience.com/wos/woscc/full-record/WOS:001451567000001","View Record in Web of Science")</f>
        <v>118</v>
      </c>
      <c r="BU197" t="s" s="0">
        <v>187</v>
      </c>
      <c r="BV197" t="s" s="0">
        <v>82</v>
      </c>
      <c r="BW197" t="s" s="0">
        <v>82</v>
      </c>
      <c r="BX197" t="s" s="0">
        <v>119</v>
      </c>
    </row>
    <row r="198">
      <c r="A198" t="s" s="0">
        <v>77</v>
      </c>
      <c r="B198" t="s" s="0">
        <v>77</v>
      </c>
      <c r="C198" t="s" s="0">
        <v>77</v>
      </c>
      <c r="D198" t="s" s="0">
        <v>77</v>
      </c>
      <c r="E198" t="s" s="0">
        <v>4733</v>
      </c>
      <c r="F198" t="s" s="0">
        <v>4734</v>
      </c>
      <c r="G198" t="s" s="0">
        <v>4735</v>
      </c>
      <c r="H198" t="s" s="0">
        <v>82</v>
      </c>
      <c r="I198" t="s" s="0">
        <v>83</v>
      </c>
      <c r="J198" t="s" s="0">
        <v>4736</v>
      </c>
      <c r="K198" t="s" s="0">
        <v>623</v>
      </c>
      <c r="L198" t="s" s="0">
        <v>82</v>
      </c>
      <c r="M198" t="s" s="0">
        <v>82</v>
      </c>
      <c r="N198" t="s" s="0">
        <v>82</v>
      </c>
      <c r="O198" t="s" s="0">
        <v>4737</v>
      </c>
      <c r="P198" t="s" s="0">
        <v>4738</v>
      </c>
      <c r="Q198" t="s" s="0">
        <v>88</v>
      </c>
      <c r="R198" t="s" s="0">
        <v>82</v>
      </c>
      <c r="S198" t="s" s="0">
        <v>82</v>
      </c>
      <c r="T198" t="s" s="0">
        <v>82</v>
      </c>
      <c r="U198" t="s" s="0">
        <v>82</v>
      </c>
      <c r="V198" t="s" s="0">
        <v>4739</v>
      </c>
      <c r="W198" t="s" s="0">
        <v>1441</v>
      </c>
      <c r="X198" t="s" s="0">
        <v>82</v>
      </c>
      <c r="Y198" t="s" s="0">
        <v>82</v>
      </c>
      <c r="Z198" t="s" s="0">
        <v>91</v>
      </c>
      <c r="AA198" t="s" s="0">
        <v>92</v>
      </c>
      <c r="AB198" t="s" s="0">
        <v>82</v>
      </c>
      <c r="AC198" t="s" s="0">
        <v>82</v>
      </c>
      <c r="AD198" t="s" s="0">
        <v>82</v>
      </c>
      <c r="AE198" t="s" s="0">
        <v>82</v>
      </c>
      <c r="AF198" t="s" s="0">
        <v>82</v>
      </c>
      <c r="AG198" t="s" s="0">
        <v>4740</v>
      </c>
      <c r="AH198" t="s" s="0">
        <v>4741</v>
      </c>
      <c r="AI198" t="s" s="0">
        <v>4742</v>
      </c>
      <c r="AJ198" t="s" s="0">
        <v>82</v>
      </c>
      <c r="AK198" t="s" s="0">
        <v>82</v>
      </c>
      <c r="AL198" t="s" s="0">
        <v>476</v>
      </c>
      <c r="AM198" t="s" s="0">
        <v>78</v>
      </c>
      <c r="AN198" t="s" s="0">
        <v>78</v>
      </c>
      <c r="AO198" t="s" s="0">
        <v>239</v>
      </c>
      <c r="AP198" t="s" s="0">
        <v>239</v>
      </c>
      <c r="AQ198" t="s" s="0">
        <v>550</v>
      </c>
      <c r="AR198" t="s" s="0">
        <v>739</v>
      </c>
      <c r="AS198" t="s" s="0">
        <v>740</v>
      </c>
      <c r="AT198" t="s" s="0">
        <v>1444</v>
      </c>
      <c r="AU198" t="s" s="0">
        <v>1445</v>
      </c>
      <c r="AV198" t="s" s="0">
        <v>82</v>
      </c>
      <c r="AW198" t="s" s="0">
        <v>1446</v>
      </c>
      <c r="AX198" t="s" s="0">
        <v>1447</v>
      </c>
      <c r="AY198" t="s" s="0">
        <v>276</v>
      </c>
      <c r="AZ198" t="s" s="0">
        <v>141</v>
      </c>
      <c r="BA198" t="s" s="0">
        <v>4743</v>
      </c>
      <c r="BB198" t="s" s="0">
        <v>169</v>
      </c>
      <c r="BC198" t="s" s="0">
        <v>82</v>
      </c>
      <c r="BD198" t="s" s="0">
        <v>82</v>
      </c>
      <c r="BE198" t="s" s="0">
        <v>82</v>
      </c>
      <c r="BF198" t="s" s="0">
        <v>82</v>
      </c>
      <c r="BG198" t="s" s="0">
        <v>4744</v>
      </c>
      <c r="BH198" t="s" s="0">
        <v>4745</v>
      </c>
      <c r="BI198" t="s" s="0">
        <v>82</v>
      </c>
      <c r="BJ198" t="s" s="0">
        <v>4746</v>
      </c>
      <c r="BK198" t="s" s="393">
        <f>HYPERLINK("http://dx.doi.org/10.1007/s00405-026-10040-2","http://dx.doi.org/10.1007/s00405-026-10040-2")</f>
        <v>4747</v>
      </c>
      <c r="BL198" t="s" s="0">
        <v>82</v>
      </c>
      <c r="BM198" t="s" s="0">
        <v>562</v>
      </c>
      <c r="BN198" t="s" s="0">
        <v>244</v>
      </c>
      <c r="BO198" t="s" s="0">
        <v>1450</v>
      </c>
      <c r="BP198" t="s" s="0">
        <v>1450</v>
      </c>
      <c r="BQ198" t="s" s="0">
        <v>4748</v>
      </c>
      <c r="BR198" t="s" s="0">
        <v>4749</v>
      </c>
      <c r="BS198" t="s" s="0">
        <v>4750</v>
      </c>
      <c r="BT198" t="s" s="394">
        <f>HYPERLINK("https://www.webofscience.com/wos/woscc/full-record/WOS:001716304200001","View Record in Web of Science")</f>
        <v>118</v>
      </c>
      <c r="BU198" t="s" s="0">
        <v>82</v>
      </c>
      <c r="BV198" t="s" s="0">
        <v>82</v>
      </c>
      <c r="BW198" t="s" s="0">
        <v>82</v>
      </c>
      <c r="BX198" t="s" s="0">
        <v>119</v>
      </c>
    </row>
    <row r="199">
      <c r="A199" t="s" s="0">
        <v>77</v>
      </c>
      <c r="B199" t="s" s="0">
        <v>77</v>
      </c>
      <c r="C199" t="s" s="0">
        <v>272</v>
      </c>
      <c r="D199" t="s" s="0">
        <v>77</v>
      </c>
      <c r="E199" t="s" s="0">
        <v>4751</v>
      </c>
      <c r="F199" t="s" s="0">
        <v>4752</v>
      </c>
      <c r="G199" t="s" s="0">
        <v>4753</v>
      </c>
      <c r="H199" t="s" s="0">
        <v>82</v>
      </c>
      <c r="I199" t="s" s="0">
        <v>83</v>
      </c>
      <c r="J199" t="s" s="0">
        <v>4754</v>
      </c>
      <c r="K199" t="s" s="0">
        <v>4755</v>
      </c>
      <c r="L199" t="s" s="0">
        <v>4756</v>
      </c>
      <c r="M199" t="s" s="0">
        <v>4757</v>
      </c>
      <c r="N199" t="s" s="0">
        <v>4758</v>
      </c>
      <c r="O199" t="s" s="0">
        <v>4759</v>
      </c>
      <c r="P199" t="s" s="0">
        <v>4760</v>
      </c>
      <c r="Q199" t="s" s="0">
        <v>88</v>
      </c>
      <c r="R199" t="s" s="0">
        <v>82</v>
      </c>
      <c r="S199" t="s" s="0">
        <v>82</v>
      </c>
      <c r="T199" t="s" s="0">
        <v>82</v>
      </c>
      <c r="U199" t="s" s="0">
        <v>82</v>
      </c>
      <c r="V199" t="s" s="0">
        <v>4761</v>
      </c>
      <c r="W199" t="s" s="0">
        <v>4762</v>
      </c>
      <c r="X199" t="s" s="0">
        <v>82</v>
      </c>
      <c r="Y199" t="s" s="0">
        <v>82</v>
      </c>
      <c r="Z199" t="s" s="0">
        <v>91</v>
      </c>
      <c r="AA199" t="s" s="0">
        <v>92</v>
      </c>
      <c r="AB199" t="s" s="0">
        <v>82</v>
      </c>
      <c r="AC199" t="s" s="0">
        <v>82</v>
      </c>
      <c r="AD199" t="s" s="0">
        <v>82</v>
      </c>
      <c r="AE199" t="s" s="0">
        <v>82</v>
      </c>
      <c r="AF199" t="s" s="0">
        <v>82</v>
      </c>
      <c r="AG199" t="s" s="0">
        <v>4763</v>
      </c>
      <c r="AH199" t="s" s="0">
        <v>4764</v>
      </c>
      <c r="AI199" t="s" s="0">
        <v>4765</v>
      </c>
      <c r="AJ199" t="s" s="0">
        <v>4766</v>
      </c>
      <c r="AK199" t="s" s="0">
        <v>82</v>
      </c>
      <c r="AL199" t="s" s="0">
        <v>659</v>
      </c>
      <c r="AM199" t="s" s="0">
        <v>176</v>
      </c>
      <c r="AN199" t="s" s="0">
        <v>368</v>
      </c>
      <c r="AO199" t="s" s="0">
        <v>239</v>
      </c>
      <c r="AP199" t="s" s="0">
        <v>845</v>
      </c>
      <c r="AQ199" t="s" s="0">
        <v>681</v>
      </c>
      <c r="AR199" t="s" s="0">
        <v>682</v>
      </c>
      <c r="AS199" t="s" s="0">
        <v>683</v>
      </c>
      <c r="AT199" t="s" s="0">
        <v>4767</v>
      </c>
      <c r="AU199" t="s" s="0">
        <v>4768</v>
      </c>
      <c r="AV199" t="s" s="0">
        <v>82</v>
      </c>
      <c r="AW199" t="s" s="0">
        <v>4769</v>
      </c>
      <c r="AX199" t="s" s="0">
        <v>4770</v>
      </c>
      <c r="AY199" t="s" s="0">
        <v>107</v>
      </c>
      <c r="AZ199" t="s" s="0">
        <v>107</v>
      </c>
      <c r="BA199" t="s" s="0">
        <v>862</v>
      </c>
      <c r="BB199" t="s" s="0">
        <v>82</v>
      </c>
      <c r="BC199" t="s" s="0">
        <v>82</v>
      </c>
      <c r="BD199" t="s" s="0">
        <v>82</v>
      </c>
      <c r="BE199" t="s" s="0">
        <v>82</v>
      </c>
      <c r="BF199" t="s" s="0">
        <v>82</v>
      </c>
      <c r="BG199" t="s" s="0">
        <v>4771</v>
      </c>
      <c r="BH199" t="s" s="0">
        <v>4772</v>
      </c>
      <c r="BI199" t="s" s="0">
        <v>82</v>
      </c>
      <c r="BJ199" t="s" s="0">
        <v>4773</v>
      </c>
      <c r="BK199" t="s" s="395">
        <f>HYPERLINK("http://dx.doi.org/10.1109/TASE.2024.3425949","http://dx.doi.org/10.1109/TASE.2024.3425949")</f>
        <v>4774</v>
      </c>
      <c r="BL199" t="s" s="0">
        <v>82</v>
      </c>
      <c r="BM199" t="s" s="0">
        <v>2211</v>
      </c>
      <c r="BN199" t="s" s="0">
        <v>425</v>
      </c>
      <c r="BO199" t="s" s="0">
        <v>4775</v>
      </c>
      <c r="BP199" t="s" s="0">
        <v>4775</v>
      </c>
      <c r="BQ199" t="s" s="0">
        <v>4776</v>
      </c>
      <c r="BR199" t="s" s="0">
        <v>82</v>
      </c>
      <c r="BS199" t="s" s="0">
        <v>4777</v>
      </c>
      <c r="BT199" t="s" s="396">
        <f>HYPERLINK("https://www.webofscience.com/wos/woscc/full-record/WOS:001273067400001","View Record in Web of Science")</f>
        <v>118</v>
      </c>
      <c r="BU199" t="s" s="0">
        <v>82</v>
      </c>
      <c r="BV199" t="s" s="0">
        <v>82</v>
      </c>
      <c r="BW199" t="s" s="0">
        <v>82</v>
      </c>
      <c r="BX199" t="s" s="0">
        <v>119</v>
      </c>
    </row>
    <row r="200">
      <c r="A200" t="s" s="0">
        <v>77</v>
      </c>
      <c r="B200" t="s" s="0">
        <v>77</v>
      </c>
      <c r="C200" t="s" s="0">
        <v>77</v>
      </c>
      <c r="D200" t="s" s="0">
        <v>77</v>
      </c>
      <c r="E200" t="s" s="0">
        <v>4778</v>
      </c>
      <c r="F200" t="s" s="0">
        <v>4779</v>
      </c>
      <c r="G200" t="s" s="0">
        <v>4780</v>
      </c>
      <c r="H200" t="s" s="0">
        <v>82</v>
      </c>
      <c r="I200" t="s" s="0">
        <v>1573</v>
      </c>
      <c r="J200" t="s" s="0">
        <v>4781</v>
      </c>
      <c r="K200" t="s" s="0">
        <v>4782</v>
      </c>
      <c r="L200" t="s" s="0">
        <v>82</v>
      </c>
      <c r="M200" t="s" s="0">
        <v>82</v>
      </c>
      <c r="N200" t="s" s="0">
        <v>82</v>
      </c>
      <c r="O200" t="s" s="0">
        <v>4783</v>
      </c>
      <c r="P200" t="s" s="0">
        <v>4784</v>
      </c>
      <c r="Q200" t="s" s="0">
        <v>88</v>
      </c>
      <c r="R200" t="s" s="0">
        <v>82</v>
      </c>
      <c r="S200" t="s" s="0">
        <v>82</v>
      </c>
      <c r="T200" t="s" s="0">
        <v>82</v>
      </c>
      <c r="U200" t="s" s="0">
        <v>82</v>
      </c>
      <c r="V200" t="s" s="0">
        <v>4785</v>
      </c>
      <c r="W200" t="s" s="0">
        <v>4514</v>
      </c>
      <c r="X200" t="s" s="0">
        <v>82</v>
      </c>
      <c r="Y200" t="s" s="0">
        <v>82</v>
      </c>
      <c r="Z200" t="s" s="0">
        <v>91</v>
      </c>
      <c r="AA200" t="s" s="0">
        <v>92</v>
      </c>
      <c r="AB200" t="s" s="0">
        <v>82</v>
      </c>
      <c r="AC200" t="s" s="0">
        <v>82</v>
      </c>
      <c r="AD200" t="s" s="0">
        <v>82</v>
      </c>
      <c r="AE200" t="s" s="0">
        <v>82</v>
      </c>
      <c r="AF200" t="s" s="0">
        <v>82</v>
      </c>
      <c r="AG200" t="s" s="0">
        <v>4786</v>
      </c>
      <c r="AH200" t="s" s="0">
        <v>82</v>
      </c>
      <c r="AI200" t="s" s="0">
        <v>4787</v>
      </c>
      <c r="AJ200" t="s" s="0">
        <v>82</v>
      </c>
      <c r="AK200" t="s" s="0">
        <v>82</v>
      </c>
      <c r="AL200" t="s" s="0">
        <v>811</v>
      </c>
      <c r="AM200" t="s" s="0">
        <v>264</v>
      </c>
      <c r="AN200" t="s" s="0">
        <v>264</v>
      </c>
      <c r="AO200" t="s" s="0">
        <v>308</v>
      </c>
      <c r="AP200" t="s" s="0">
        <v>308</v>
      </c>
      <c r="AQ200" t="s" s="0">
        <v>170</v>
      </c>
      <c r="AR200" t="s" s="0">
        <v>171</v>
      </c>
      <c r="AS200" t="s" s="0">
        <v>172</v>
      </c>
      <c r="AT200" t="s" s="0">
        <v>82</v>
      </c>
      <c r="AU200" t="s" s="0">
        <v>4519</v>
      </c>
      <c r="AV200" t="s" s="0">
        <v>82</v>
      </c>
      <c r="AW200" t="s" s="0">
        <v>4520</v>
      </c>
      <c r="AX200" t="s" s="0">
        <v>4521</v>
      </c>
      <c r="AY200" t="s" s="0">
        <v>4788</v>
      </c>
      <c r="AZ200" t="s" s="0">
        <v>141</v>
      </c>
      <c r="BA200" t="s" s="0">
        <v>132</v>
      </c>
      <c r="BB200" t="s" s="0">
        <v>244</v>
      </c>
      <c r="BC200" t="s" s="0">
        <v>82</v>
      </c>
      <c r="BD200" t="s" s="0">
        <v>82</v>
      </c>
      <c r="BE200" t="s" s="0">
        <v>82</v>
      </c>
      <c r="BF200" t="s" s="0">
        <v>82</v>
      </c>
      <c r="BG200" t="s" s="0">
        <v>82</v>
      </c>
      <c r="BH200" t="s" s="0">
        <v>82</v>
      </c>
      <c r="BI200" t="s" s="0">
        <v>4789</v>
      </c>
      <c r="BJ200" t="s" s="0">
        <v>4790</v>
      </c>
      <c r="BK200" t="s" s="397">
        <f>HYPERLINK("http://dx.doi.org/10.3390/healthcare14081098","http://dx.doi.org/10.3390/healthcare14081098")</f>
        <v>4791</v>
      </c>
      <c r="BL200" t="s" s="0">
        <v>82</v>
      </c>
      <c r="BM200" t="s" s="0">
        <v>276</v>
      </c>
      <c r="BN200" t="s" s="0">
        <v>425</v>
      </c>
      <c r="BO200" t="s" s="0">
        <v>4526</v>
      </c>
      <c r="BP200" t="s" s="0">
        <v>3308</v>
      </c>
      <c r="BQ200" t="s" s="0">
        <v>4792</v>
      </c>
      <c r="BR200" t="s" s="0">
        <v>4793</v>
      </c>
      <c r="BS200" t="s" s="0">
        <v>4794</v>
      </c>
      <c r="BT200" t="s" s="398">
        <f>HYPERLINK("https://www.webofscience.com/wos/woscc/full-record/WOS:001751021900001","View Record in Web of Science")</f>
        <v>118</v>
      </c>
      <c r="BU200" t="s" s="0">
        <v>187</v>
      </c>
      <c r="BV200" t="s" s="0">
        <v>82</v>
      </c>
      <c r="BW200" t="s" s="0">
        <v>82</v>
      </c>
      <c r="BX200" t="s" s="0">
        <v>119</v>
      </c>
    </row>
    <row r="201">
      <c r="A201" t="s" s="0">
        <v>77</v>
      </c>
      <c r="B201" t="s" s="0">
        <v>77</v>
      </c>
      <c r="C201" t="s" s="0">
        <v>264</v>
      </c>
      <c r="D201" t="s" s="0">
        <v>77</v>
      </c>
      <c r="E201" t="s" s="0">
        <v>4795</v>
      </c>
      <c r="F201" t="s" s="0">
        <v>4796</v>
      </c>
      <c r="G201" t="s" s="0">
        <v>4797</v>
      </c>
      <c r="H201" t="s" s="0">
        <v>82</v>
      </c>
      <c r="I201" t="s" s="0">
        <v>83</v>
      </c>
      <c r="J201" t="s" s="0">
        <v>4798</v>
      </c>
      <c r="K201" t="s" s="0">
        <v>4799</v>
      </c>
      <c r="L201" t="s" s="0">
        <v>82</v>
      </c>
      <c r="M201" t="s" s="0">
        <v>82</v>
      </c>
      <c r="N201" t="s" s="0">
        <v>4800</v>
      </c>
      <c r="O201" t="s" s="0">
        <v>4801</v>
      </c>
      <c r="P201" t="s" s="0">
        <v>4802</v>
      </c>
      <c r="Q201" t="s" s="0">
        <v>88</v>
      </c>
      <c r="R201" t="s" s="0">
        <v>82</v>
      </c>
      <c r="S201" t="s" s="0">
        <v>82</v>
      </c>
      <c r="T201" t="s" s="0">
        <v>82</v>
      </c>
      <c r="U201" t="s" s="0">
        <v>82</v>
      </c>
      <c r="V201" t="s" s="0">
        <v>4803</v>
      </c>
      <c r="W201" t="s" s="0">
        <v>4804</v>
      </c>
      <c r="X201" t="s" s="0">
        <v>82</v>
      </c>
      <c r="Y201" t="s" s="0">
        <v>82</v>
      </c>
      <c r="Z201" t="s" s="0">
        <v>91</v>
      </c>
      <c r="AA201" t="s" s="0">
        <v>92</v>
      </c>
      <c r="AB201" t="s" s="0">
        <v>82</v>
      </c>
      <c r="AC201" t="s" s="0">
        <v>82</v>
      </c>
      <c r="AD201" t="s" s="0">
        <v>82</v>
      </c>
      <c r="AE201" t="s" s="0">
        <v>82</v>
      </c>
      <c r="AF201" t="s" s="0">
        <v>82</v>
      </c>
      <c r="AG201" t="s" s="0">
        <v>4805</v>
      </c>
      <c r="AH201" t="s" s="0">
        <v>82</v>
      </c>
      <c r="AI201" t="s" s="0">
        <v>82</v>
      </c>
      <c r="AJ201" t="s" s="0">
        <v>4806</v>
      </c>
      <c r="AK201" t="s" s="0">
        <v>82</v>
      </c>
      <c r="AL201" t="s" s="0">
        <v>845</v>
      </c>
      <c r="AM201" t="s" s="0">
        <v>272</v>
      </c>
      <c r="AN201" t="s" s="0">
        <v>277</v>
      </c>
      <c r="AO201" t="s" s="0">
        <v>77</v>
      </c>
      <c r="AP201" t="s" s="0">
        <v>169</v>
      </c>
      <c r="AQ201" t="s" s="0">
        <v>295</v>
      </c>
      <c r="AR201" t="s" s="0">
        <v>296</v>
      </c>
      <c r="AS201" t="s" s="0">
        <v>297</v>
      </c>
      <c r="AT201" t="s" s="0">
        <v>4807</v>
      </c>
      <c r="AU201" t="s" s="0">
        <v>4808</v>
      </c>
      <c r="AV201" t="s" s="0">
        <v>82</v>
      </c>
      <c r="AW201" t="s" s="0">
        <v>4809</v>
      </c>
      <c r="AX201" t="s" s="0">
        <v>4810</v>
      </c>
      <c r="AY201" t="s" s="0">
        <v>2870</v>
      </c>
      <c r="AZ201" t="s" s="0">
        <v>341</v>
      </c>
      <c r="BA201" t="s" s="0">
        <v>639</v>
      </c>
      <c r="BB201" t="s" s="0">
        <v>82</v>
      </c>
      <c r="BC201" t="s" s="0">
        <v>82</v>
      </c>
      <c r="BD201" t="s" s="0">
        <v>82</v>
      </c>
      <c r="BE201" t="s" s="0">
        <v>82</v>
      </c>
      <c r="BF201" t="s" s="0">
        <v>82</v>
      </c>
      <c r="BG201" t="s" s="0">
        <v>82</v>
      </c>
      <c r="BH201" t="s" s="0">
        <v>82</v>
      </c>
      <c r="BI201" t="s" s="0">
        <v>4811</v>
      </c>
      <c r="BJ201" t="s" s="0">
        <v>4812</v>
      </c>
      <c r="BK201" t="s" s="399">
        <f>HYPERLINK("http://dx.doi.org/10.1016/j.msard.2024.105791","http://dx.doi.org/10.1016/j.msard.2024.105791")</f>
        <v>4813</v>
      </c>
      <c r="BL201" t="s" s="0">
        <v>82</v>
      </c>
      <c r="BM201" t="s" s="0">
        <v>4814</v>
      </c>
      <c r="BN201" t="s" s="0">
        <v>98</v>
      </c>
      <c r="BO201" t="s" s="0">
        <v>113</v>
      </c>
      <c r="BP201" t="s" s="0">
        <v>114</v>
      </c>
      <c r="BQ201" t="s" s="0">
        <v>4815</v>
      </c>
      <c r="BR201" t="s" s="0">
        <v>4816</v>
      </c>
      <c r="BS201" t="s" s="0">
        <v>4817</v>
      </c>
      <c r="BT201" t="s" s="400">
        <f>HYPERLINK("https://www.webofscience.com/wos/woscc/full-record/WOS:001298615300001","View Record in Web of Science")</f>
        <v>118</v>
      </c>
      <c r="BU201" t="s" s="0">
        <v>82</v>
      </c>
      <c r="BV201" t="s" s="0">
        <v>82</v>
      </c>
      <c r="BW201" t="s" s="0">
        <v>82</v>
      </c>
      <c r="BX201" t="s" s="0">
        <v>119</v>
      </c>
    </row>
    <row r="202">
      <c r="A202" t="s" s="0">
        <v>77</v>
      </c>
      <c r="B202" t="s" s="0">
        <v>77</v>
      </c>
      <c r="C202" t="s" s="0">
        <v>77</v>
      </c>
      <c r="D202" t="s" s="0">
        <v>77</v>
      </c>
      <c r="E202" t="s" s="0">
        <v>4818</v>
      </c>
      <c r="F202" t="s" s="0">
        <v>4819</v>
      </c>
      <c r="G202" t="s" s="0">
        <v>4820</v>
      </c>
      <c r="H202" t="s" s="0">
        <v>82</v>
      </c>
      <c r="I202" t="s" s="0">
        <v>83</v>
      </c>
      <c r="J202" t="s" s="0">
        <v>4821</v>
      </c>
      <c r="K202" t="s" s="0">
        <v>4822</v>
      </c>
      <c r="L202" t="s" s="0">
        <v>4823</v>
      </c>
      <c r="M202" t="s" s="0">
        <v>4824</v>
      </c>
      <c r="N202" t="s" s="0">
        <v>4825</v>
      </c>
      <c r="O202" t="s" s="0">
        <v>4826</v>
      </c>
      <c r="P202" t="s" s="0">
        <v>4827</v>
      </c>
      <c r="Q202" t="s" s="0">
        <v>88</v>
      </c>
      <c r="R202" t="s" s="0">
        <v>82</v>
      </c>
      <c r="S202" t="s" s="0">
        <v>82</v>
      </c>
      <c r="T202" t="s" s="0">
        <v>82</v>
      </c>
      <c r="U202" t="s" s="0">
        <v>82</v>
      </c>
      <c r="V202" t="s" s="0">
        <v>4828</v>
      </c>
      <c r="W202" t="s" s="0">
        <v>4829</v>
      </c>
      <c r="X202" t="s" s="0">
        <v>82</v>
      </c>
      <c r="Y202" t="s" s="0">
        <v>82</v>
      </c>
      <c r="Z202" t="s" s="0">
        <v>91</v>
      </c>
      <c r="AA202" t="s" s="0">
        <v>92</v>
      </c>
      <c r="AB202" t="s" s="0">
        <v>82</v>
      </c>
      <c r="AC202" t="s" s="0">
        <v>82</v>
      </c>
      <c r="AD202" t="s" s="0">
        <v>82</v>
      </c>
      <c r="AE202" t="s" s="0">
        <v>82</v>
      </c>
      <c r="AF202" t="s" s="0">
        <v>82</v>
      </c>
      <c r="AG202" t="s" s="0">
        <v>4830</v>
      </c>
      <c r="AH202" t="s" s="0">
        <v>4831</v>
      </c>
      <c r="AI202" t="s" s="0">
        <v>82</v>
      </c>
      <c r="AJ202" t="s" s="0">
        <v>4832</v>
      </c>
      <c r="AK202" t="s" s="0">
        <v>82</v>
      </c>
      <c r="AL202" t="s" s="0">
        <v>811</v>
      </c>
      <c r="AM202" t="s" s="0">
        <v>77</v>
      </c>
      <c r="AN202" t="s" s="0">
        <v>77</v>
      </c>
      <c r="AO202" t="s" s="0">
        <v>77</v>
      </c>
      <c r="AP202" t="s" s="0">
        <v>77</v>
      </c>
      <c r="AQ202" t="s" s="0">
        <v>133</v>
      </c>
      <c r="AR202" t="s" s="0">
        <v>134</v>
      </c>
      <c r="AS202" t="s" s="0">
        <v>135</v>
      </c>
      <c r="AT202" t="s" s="0">
        <v>4833</v>
      </c>
      <c r="AU202" t="s" s="0">
        <v>4834</v>
      </c>
      <c r="AV202" t="s" s="0">
        <v>82</v>
      </c>
      <c r="AW202" t="s" s="0">
        <v>4835</v>
      </c>
      <c r="AX202" t="s" s="0">
        <v>4836</v>
      </c>
      <c r="AY202" t="s" s="0">
        <v>4072</v>
      </c>
      <c r="AZ202" t="s" s="0">
        <v>141</v>
      </c>
      <c r="BA202" t="s" s="0">
        <v>132</v>
      </c>
      <c r="BB202" t="s" s="0">
        <v>239</v>
      </c>
      <c r="BC202" t="s" s="0">
        <v>82</v>
      </c>
      <c r="BD202" t="s" s="0">
        <v>82</v>
      </c>
      <c r="BE202" t="s" s="0">
        <v>82</v>
      </c>
      <c r="BF202" t="s" s="0">
        <v>82</v>
      </c>
      <c r="BG202" t="s" s="0">
        <v>82</v>
      </c>
      <c r="BH202" t="s" s="0">
        <v>82</v>
      </c>
      <c r="BI202" t="s" s="0">
        <v>4837</v>
      </c>
      <c r="BJ202" t="s" s="0">
        <v>4838</v>
      </c>
      <c r="BK202" t="s" s="401">
        <f>HYPERLINK("http://dx.doi.org/10.1002/ueg2.70249","http://dx.doi.org/10.1002/ueg2.70249")</f>
        <v>4839</v>
      </c>
      <c r="BL202" t="s" s="0">
        <v>82</v>
      </c>
      <c r="BM202" t="s" s="0">
        <v>82</v>
      </c>
      <c r="BN202" t="s" s="0">
        <v>272</v>
      </c>
      <c r="BO202" t="s" s="0">
        <v>456</v>
      </c>
      <c r="BP202" t="s" s="0">
        <v>456</v>
      </c>
      <c r="BQ202" t="s" s="0">
        <v>4840</v>
      </c>
      <c r="BR202" t="s" s="0">
        <v>4841</v>
      </c>
      <c r="BS202" t="s" s="0">
        <v>4842</v>
      </c>
      <c r="BT202" t="s" s="402">
        <f>HYPERLINK("https://www.webofscience.com/wos/woscc/full-record/WOS:001799596700001","View Record in Web of Science")</f>
        <v>118</v>
      </c>
      <c r="BU202" t="s" s="0">
        <v>1044</v>
      </c>
      <c r="BV202" t="s" s="0">
        <v>82</v>
      </c>
      <c r="BW202" t="s" s="0">
        <v>82</v>
      </c>
      <c r="BX202" t="s" s="0">
        <v>119</v>
      </c>
    </row>
    <row r="203">
      <c r="A203" t="s" s="0">
        <v>77</v>
      </c>
      <c r="B203" t="s" s="0">
        <v>77</v>
      </c>
      <c r="C203" t="s" s="0">
        <v>77</v>
      </c>
      <c r="D203" t="s" s="0">
        <v>77</v>
      </c>
      <c r="E203" t="s" s="0">
        <v>4843</v>
      </c>
      <c r="F203" t="s" s="0">
        <v>4844</v>
      </c>
      <c r="G203" t="s" s="0">
        <v>4845</v>
      </c>
      <c r="H203" t="s" s="0">
        <v>82</v>
      </c>
      <c r="I203" t="s" s="0">
        <v>1573</v>
      </c>
      <c r="J203" t="s" s="0">
        <v>4846</v>
      </c>
      <c r="K203" t="s" s="0">
        <v>4847</v>
      </c>
      <c r="L203" t="s" s="0">
        <v>82</v>
      </c>
      <c r="M203" t="s" s="0">
        <v>82</v>
      </c>
      <c r="N203" t="s" s="0">
        <v>82</v>
      </c>
      <c r="O203" t="s" s="0">
        <v>4848</v>
      </c>
      <c r="P203" t="s" s="0">
        <v>4849</v>
      </c>
      <c r="Q203" t="s" s="0">
        <v>88</v>
      </c>
      <c r="R203" t="s" s="0">
        <v>82</v>
      </c>
      <c r="S203" t="s" s="0">
        <v>82</v>
      </c>
      <c r="T203" t="s" s="0">
        <v>82</v>
      </c>
      <c r="U203" t="s" s="0">
        <v>82</v>
      </c>
      <c r="V203" t="s" s="0">
        <v>4850</v>
      </c>
      <c r="W203" t="s" s="0">
        <v>4851</v>
      </c>
      <c r="X203" t="s" s="0">
        <v>82</v>
      </c>
      <c r="Y203" t="s" s="0">
        <v>82</v>
      </c>
      <c r="Z203" t="s" s="0">
        <v>91</v>
      </c>
      <c r="AA203" t="s" s="0">
        <v>92</v>
      </c>
      <c r="AB203" t="s" s="0">
        <v>82</v>
      </c>
      <c r="AC203" t="s" s="0">
        <v>82</v>
      </c>
      <c r="AD203" t="s" s="0">
        <v>82</v>
      </c>
      <c r="AE203" t="s" s="0">
        <v>82</v>
      </c>
      <c r="AF203" t="s" s="0">
        <v>82</v>
      </c>
      <c r="AG203" t="s" s="0">
        <v>4852</v>
      </c>
      <c r="AH203" t="s" s="0">
        <v>4853</v>
      </c>
      <c r="AI203" t="s" s="0">
        <v>4854</v>
      </c>
      <c r="AJ203" t="s" s="0">
        <v>4855</v>
      </c>
      <c r="AK203" t="s" s="0">
        <v>82</v>
      </c>
      <c r="AL203" t="s" s="0">
        <v>329</v>
      </c>
      <c r="AM203" t="s" s="0">
        <v>308</v>
      </c>
      <c r="AN203" t="s" s="0">
        <v>308</v>
      </c>
      <c r="AO203" t="s" s="0">
        <v>244</v>
      </c>
      <c r="AP203" t="s" s="0">
        <v>244</v>
      </c>
      <c r="AQ203" t="s" s="0">
        <v>711</v>
      </c>
      <c r="AR203" t="s" s="0">
        <v>712</v>
      </c>
      <c r="AS203" t="s" s="0">
        <v>713</v>
      </c>
      <c r="AT203" t="s" s="0">
        <v>82</v>
      </c>
      <c r="AU203" t="s" s="0">
        <v>4856</v>
      </c>
      <c r="AV203" t="s" s="0">
        <v>82</v>
      </c>
      <c r="AW203" t="s" s="0">
        <v>4857</v>
      </c>
      <c r="AX203" t="s" s="0">
        <v>4858</v>
      </c>
      <c r="AY203" t="s" s="0">
        <v>4859</v>
      </c>
      <c r="AZ203" t="s" s="0">
        <v>141</v>
      </c>
      <c r="BA203" t="s" s="0">
        <v>132</v>
      </c>
      <c r="BB203" t="s" s="0">
        <v>82</v>
      </c>
      <c r="BC203" t="s" s="0">
        <v>82</v>
      </c>
      <c r="BD203" t="s" s="0">
        <v>82</v>
      </c>
      <c r="BE203" t="s" s="0">
        <v>82</v>
      </c>
      <c r="BF203" t="s" s="0">
        <v>82</v>
      </c>
      <c r="BG203" t="s" s="0">
        <v>82</v>
      </c>
      <c r="BH203" t="s" s="0">
        <v>82</v>
      </c>
      <c r="BI203" t="s" s="0">
        <v>4860</v>
      </c>
      <c r="BJ203" t="s" s="0">
        <v>4861</v>
      </c>
      <c r="BK203" t="s" s="403">
        <f>HYPERLINK("http://dx.doi.org/10.3389/fpubh.2026.1801829","http://dx.doi.org/10.3389/fpubh.2026.1801829")</f>
        <v>4862</v>
      </c>
      <c r="BL203" t="s" s="0">
        <v>82</v>
      </c>
      <c r="BM203" t="s" s="0">
        <v>82</v>
      </c>
      <c r="BN203" t="s" s="0">
        <v>176</v>
      </c>
      <c r="BO203" t="s" s="0">
        <v>4863</v>
      </c>
      <c r="BP203" t="s" s="0">
        <v>4863</v>
      </c>
      <c r="BQ203" t="s" s="0">
        <v>4864</v>
      </c>
      <c r="BR203" t="s" s="0">
        <v>4865</v>
      </c>
      <c r="BS203" t="s" s="0">
        <v>4866</v>
      </c>
      <c r="BT203" t="s" s="404">
        <f>HYPERLINK("https://www.webofscience.com/wos/woscc/full-record/WOS:001718482800001","View Record in Web of Science")</f>
        <v>118</v>
      </c>
      <c r="BU203" t="s" s="0">
        <v>187</v>
      </c>
      <c r="BV203" t="s" s="0">
        <v>82</v>
      </c>
      <c r="BW203" t="s" s="0">
        <v>82</v>
      </c>
      <c r="BX203" t="s" s="0">
        <v>119</v>
      </c>
    </row>
    <row r="204">
      <c r="A204" t="s" s="0">
        <v>77</v>
      </c>
      <c r="B204" t="s" s="0">
        <v>77</v>
      </c>
      <c r="C204" t="s" s="0">
        <v>77</v>
      </c>
      <c r="D204" t="s" s="0">
        <v>77</v>
      </c>
      <c r="E204" t="s" s="0">
        <v>4867</v>
      </c>
      <c r="F204" t="s" s="0">
        <v>4868</v>
      </c>
      <c r="G204" t="s" s="0">
        <v>4869</v>
      </c>
      <c r="H204" t="s" s="0">
        <v>82</v>
      </c>
      <c r="I204" t="s" s="0">
        <v>83</v>
      </c>
      <c r="J204" t="s" s="0">
        <v>4870</v>
      </c>
      <c r="K204" t="s" s="0">
        <v>4871</v>
      </c>
      <c r="L204" t="s" s="0">
        <v>82</v>
      </c>
      <c r="M204" t="s" s="0">
        <v>82</v>
      </c>
      <c r="N204" t="s" s="0">
        <v>82</v>
      </c>
      <c r="O204" t="s" s="0">
        <v>4872</v>
      </c>
      <c r="P204" t="s" s="0">
        <v>4873</v>
      </c>
      <c r="Q204" t="s" s="0">
        <v>88</v>
      </c>
      <c r="R204" t="s" s="0">
        <v>82</v>
      </c>
      <c r="S204" t="s" s="0">
        <v>82</v>
      </c>
      <c r="T204" t="s" s="0">
        <v>82</v>
      </c>
      <c r="U204" t="s" s="0">
        <v>82</v>
      </c>
      <c r="V204" t="s" s="0">
        <v>4874</v>
      </c>
      <c r="W204" t="s" s="0">
        <v>4875</v>
      </c>
      <c r="X204" t="s" s="0">
        <v>82</v>
      </c>
      <c r="Y204" t="s" s="0">
        <v>82</v>
      </c>
      <c r="Z204" t="s" s="0">
        <v>91</v>
      </c>
      <c r="AA204" t="s" s="0">
        <v>526</v>
      </c>
      <c r="AB204" t="s" s="0">
        <v>82</v>
      </c>
      <c r="AC204" t="s" s="0">
        <v>82</v>
      </c>
      <c r="AD204" t="s" s="0">
        <v>82</v>
      </c>
      <c r="AE204" t="s" s="0">
        <v>82</v>
      </c>
      <c r="AF204" t="s" s="0">
        <v>82</v>
      </c>
      <c r="AG204" t="s" s="0">
        <v>4876</v>
      </c>
      <c r="AH204" t="s" s="0">
        <v>4877</v>
      </c>
      <c r="AI204" t="s" s="0">
        <v>4878</v>
      </c>
      <c r="AJ204" t="s" s="0">
        <v>4879</v>
      </c>
      <c r="AK204" t="s" s="0">
        <v>82</v>
      </c>
      <c r="AL204" t="s" s="0">
        <v>811</v>
      </c>
      <c r="AM204" t="s" s="0">
        <v>78</v>
      </c>
      <c r="AN204" t="s" s="0">
        <v>78</v>
      </c>
      <c r="AO204" t="s" s="0">
        <v>229</v>
      </c>
      <c r="AP204" t="s" s="0">
        <v>229</v>
      </c>
      <c r="AQ204" t="s" s="0">
        <v>2054</v>
      </c>
      <c r="AR204" t="s" s="0">
        <v>1027</v>
      </c>
      <c r="AS204" t="s" s="0">
        <v>2055</v>
      </c>
      <c r="AT204" t="s" s="0">
        <v>4880</v>
      </c>
      <c r="AU204" t="s" s="0">
        <v>4881</v>
      </c>
      <c r="AV204" t="s" s="0">
        <v>82</v>
      </c>
      <c r="AW204" t="s" s="0">
        <v>4882</v>
      </c>
      <c r="AX204" t="s" s="0">
        <v>4883</v>
      </c>
      <c r="AY204" t="s" s="0">
        <v>82</v>
      </c>
      <c r="AZ204" t="s" s="0">
        <v>141</v>
      </c>
      <c r="BA204" t="s" s="0">
        <v>82</v>
      </c>
      <c r="BB204" t="s" s="0">
        <v>82</v>
      </c>
      <c r="BC204" t="s" s="0">
        <v>82</v>
      </c>
      <c r="BD204" t="s" s="0">
        <v>82</v>
      </c>
      <c r="BE204" t="s" s="0">
        <v>82</v>
      </c>
      <c r="BF204" t="s" s="0">
        <v>82</v>
      </c>
      <c r="BG204" t="s" s="0">
        <v>82</v>
      </c>
      <c r="BH204" t="s" s="0">
        <v>82</v>
      </c>
      <c r="BI204" t="s" s="0">
        <v>82</v>
      </c>
      <c r="BJ204" t="s" s="0">
        <v>4884</v>
      </c>
      <c r="BK204" t="s" s="405">
        <f>HYPERLINK("http://dx.doi.org/10.1093/postmj/qgag068","http://dx.doi.org/10.1093/postmj/qgag068")</f>
        <v>4885</v>
      </c>
      <c r="BL204" t="s" s="0">
        <v>82</v>
      </c>
      <c r="BM204" t="s" s="0">
        <v>237</v>
      </c>
      <c r="BN204" t="s" s="0">
        <v>308</v>
      </c>
      <c r="BO204" t="s" s="0">
        <v>182</v>
      </c>
      <c r="BP204" t="s" s="0">
        <v>183</v>
      </c>
      <c r="BQ204" t="s" s="0">
        <v>4886</v>
      </c>
      <c r="BR204" t="s" s="0">
        <v>4887</v>
      </c>
      <c r="BS204" t="s" s="0">
        <v>4888</v>
      </c>
      <c r="BT204" t="s" s="406">
        <f>HYPERLINK("https://www.webofscience.com/wos/woscc/full-record/WOS:001779804700001","View Record in Web of Science")</f>
        <v>118</v>
      </c>
      <c r="BU204" t="s" s="0">
        <v>538</v>
      </c>
      <c r="BV204" t="s" s="0">
        <v>82</v>
      </c>
      <c r="BW204" t="s" s="0">
        <v>82</v>
      </c>
      <c r="BX204" t="s" s="0">
        <v>119</v>
      </c>
    </row>
    <row r="205">
      <c r="A205" t="s" s="0">
        <v>77</v>
      </c>
      <c r="B205" t="s" s="0">
        <v>77</v>
      </c>
      <c r="C205" t="s" s="0">
        <v>77</v>
      </c>
      <c r="D205" t="s" s="0">
        <v>77</v>
      </c>
      <c r="E205" t="s" s="0">
        <v>4889</v>
      </c>
      <c r="F205" t="s" s="0">
        <v>4890</v>
      </c>
      <c r="G205" t="s" s="0">
        <v>4891</v>
      </c>
      <c r="H205" t="s" s="0">
        <v>82</v>
      </c>
      <c r="I205" t="s" s="0">
        <v>83</v>
      </c>
      <c r="J205" t="s" s="0">
        <v>4892</v>
      </c>
      <c r="K205" t="s" s="0">
        <v>4893</v>
      </c>
      <c r="L205" t="s" s="0">
        <v>4894</v>
      </c>
      <c r="M205" t="s" s="0">
        <v>4894</v>
      </c>
      <c r="N205" t="s" s="0">
        <v>4895</v>
      </c>
      <c r="O205" t="s" s="0">
        <v>4896</v>
      </c>
      <c r="P205" t="s" s="0">
        <v>4897</v>
      </c>
      <c r="Q205" t="s" s="0">
        <v>88</v>
      </c>
      <c r="R205" t="s" s="0">
        <v>82</v>
      </c>
      <c r="S205" t="s" s="0">
        <v>82</v>
      </c>
      <c r="T205" t="s" s="0">
        <v>82</v>
      </c>
      <c r="U205" t="s" s="0">
        <v>82</v>
      </c>
      <c r="V205" t="s" s="0">
        <v>4898</v>
      </c>
      <c r="W205" t="s" s="0">
        <v>4899</v>
      </c>
      <c r="X205" t="s" s="0">
        <v>82</v>
      </c>
      <c r="Y205" t="s" s="0">
        <v>82</v>
      </c>
      <c r="Z205" t="s" s="0">
        <v>91</v>
      </c>
      <c r="AA205" t="s" s="0">
        <v>92</v>
      </c>
      <c r="AB205" t="s" s="0">
        <v>82</v>
      </c>
      <c r="AC205" t="s" s="0">
        <v>82</v>
      </c>
      <c r="AD205" t="s" s="0">
        <v>82</v>
      </c>
      <c r="AE205" t="s" s="0">
        <v>82</v>
      </c>
      <c r="AF205" t="s" s="0">
        <v>82</v>
      </c>
      <c r="AG205" t="s" s="0">
        <v>4900</v>
      </c>
      <c r="AH205" t="s" s="0">
        <v>4901</v>
      </c>
      <c r="AI205" t="s" s="0">
        <v>4902</v>
      </c>
      <c r="AJ205" t="s" s="0">
        <v>82</v>
      </c>
      <c r="AK205" t="s" s="0">
        <v>82</v>
      </c>
      <c r="AL205" t="s" s="0">
        <v>332</v>
      </c>
      <c r="AM205" t="s" s="0">
        <v>229</v>
      </c>
      <c r="AN205" t="s" s="0">
        <v>229</v>
      </c>
      <c r="AO205" t="s" s="0">
        <v>229</v>
      </c>
      <c r="AP205" t="s" s="0">
        <v>264</v>
      </c>
      <c r="AQ205" t="s" s="0">
        <v>550</v>
      </c>
      <c r="AR205" t="s" s="0">
        <v>739</v>
      </c>
      <c r="AS205" t="s" s="0">
        <v>740</v>
      </c>
      <c r="AT205" t="s" s="0">
        <v>4903</v>
      </c>
      <c r="AU205" t="s" s="0">
        <v>4904</v>
      </c>
      <c r="AV205" t="s" s="0">
        <v>82</v>
      </c>
      <c r="AW205" t="s" s="0">
        <v>4905</v>
      </c>
      <c r="AX205" t="s" s="0">
        <v>4906</v>
      </c>
      <c r="AY205" t="s" s="0">
        <v>688</v>
      </c>
      <c r="AZ205" t="s" s="0">
        <v>107</v>
      </c>
      <c r="BA205" t="s" s="0">
        <v>1369</v>
      </c>
      <c r="BB205" t="s" s="0">
        <v>272</v>
      </c>
      <c r="BC205" t="s" s="0">
        <v>82</v>
      </c>
      <c r="BD205" t="s" s="0">
        <v>82</v>
      </c>
      <c r="BE205" t="s" s="0">
        <v>82</v>
      </c>
      <c r="BF205" t="s" s="0">
        <v>82</v>
      </c>
      <c r="BG205" t="s" s="0">
        <v>4907</v>
      </c>
      <c r="BH205" t="s" s="0">
        <v>4908</v>
      </c>
      <c r="BI205" t="s" s="0">
        <v>82</v>
      </c>
      <c r="BJ205" t="s" s="0">
        <v>4909</v>
      </c>
      <c r="BK205" t="s" s="407">
        <f>HYPERLINK("http://dx.doi.org/10.1007/s00586-025-09052-z","http://dx.doi.org/10.1007/s00586-025-09052-z")</f>
        <v>4910</v>
      </c>
      <c r="BL205" t="s" s="0">
        <v>82</v>
      </c>
      <c r="BM205" t="s" s="0">
        <v>1094</v>
      </c>
      <c r="BN205" t="s" s="0">
        <v>342</v>
      </c>
      <c r="BO205" t="s" s="0">
        <v>4911</v>
      </c>
      <c r="BP205" t="s" s="0">
        <v>4912</v>
      </c>
      <c r="BQ205" t="s" s="0">
        <v>4913</v>
      </c>
      <c r="BR205" t="s" s="0">
        <v>4914</v>
      </c>
      <c r="BS205" t="s" s="0">
        <v>4915</v>
      </c>
      <c r="BT205" t="s" s="408">
        <f>HYPERLINK("https://www.webofscience.com/wos/woscc/full-record/WOS:001516521200001","View Record in Web of Science")</f>
        <v>118</v>
      </c>
      <c r="BU205" t="s" s="0">
        <v>538</v>
      </c>
      <c r="BV205" t="s" s="0">
        <v>82</v>
      </c>
      <c r="BW205" t="s" s="0">
        <v>82</v>
      </c>
      <c r="BX205" t="s" s="0">
        <v>119</v>
      </c>
    </row>
    <row r="206">
      <c r="A206" t="s" s="0">
        <v>77</v>
      </c>
      <c r="B206" t="s" s="0">
        <v>77</v>
      </c>
      <c r="C206" t="s" s="0">
        <v>77</v>
      </c>
      <c r="D206" t="s" s="0">
        <v>77</v>
      </c>
      <c r="E206" t="s" s="0">
        <v>4916</v>
      </c>
      <c r="F206" t="s" s="0">
        <v>4917</v>
      </c>
      <c r="G206" t="s" s="0">
        <v>4918</v>
      </c>
      <c r="H206" t="s" s="0">
        <v>82</v>
      </c>
      <c r="I206" t="s" s="0">
        <v>595</v>
      </c>
      <c r="J206" t="s" s="0">
        <v>4919</v>
      </c>
      <c r="K206" t="s" s="0">
        <v>4920</v>
      </c>
      <c r="L206" t="s" s="0">
        <v>82</v>
      </c>
      <c r="M206" t="s" s="0">
        <v>82</v>
      </c>
      <c r="N206" t="s" s="0">
        <v>82</v>
      </c>
      <c r="O206" t="s" s="0">
        <v>4921</v>
      </c>
      <c r="P206" t="s" s="0">
        <v>4922</v>
      </c>
      <c r="Q206" t="s" s="0">
        <v>88</v>
      </c>
      <c r="R206" t="s" s="0">
        <v>82</v>
      </c>
      <c r="S206" t="s" s="0">
        <v>82</v>
      </c>
      <c r="T206" t="s" s="0">
        <v>82</v>
      </c>
      <c r="U206" t="s" s="0">
        <v>82</v>
      </c>
      <c r="V206" t="s" s="0">
        <v>4923</v>
      </c>
      <c r="W206" t="s" s="0">
        <v>4924</v>
      </c>
      <c r="X206" t="s" s="0">
        <v>82</v>
      </c>
      <c r="Y206" t="s" s="0">
        <v>82</v>
      </c>
      <c r="Z206" t="s" s="0">
        <v>91</v>
      </c>
      <c r="AA206" t="s" s="0">
        <v>92</v>
      </c>
      <c r="AB206" t="s" s="0">
        <v>82</v>
      </c>
      <c r="AC206" t="s" s="0">
        <v>82</v>
      </c>
      <c r="AD206" t="s" s="0">
        <v>82</v>
      </c>
      <c r="AE206" t="s" s="0">
        <v>82</v>
      </c>
      <c r="AF206" t="s" s="0">
        <v>82</v>
      </c>
      <c r="AG206" t="s" s="0">
        <v>4925</v>
      </c>
      <c r="AH206" t="s" s="0">
        <v>94</v>
      </c>
      <c r="AI206" t="s" s="0">
        <v>4926</v>
      </c>
      <c r="AJ206" t="s" s="0">
        <v>82</v>
      </c>
      <c r="AK206" t="s" s="0">
        <v>82</v>
      </c>
      <c r="AL206" t="s" s="0">
        <v>1068</v>
      </c>
      <c r="AM206" t="s" s="0">
        <v>77</v>
      </c>
      <c r="AN206" t="s" s="0">
        <v>77</v>
      </c>
      <c r="AO206" t="s" s="0">
        <v>229</v>
      </c>
      <c r="AP206" t="s" s="0">
        <v>229</v>
      </c>
      <c r="AQ206" t="s" s="0">
        <v>4927</v>
      </c>
      <c r="AR206" t="s" s="0">
        <v>4928</v>
      </c>
      <c r="AS206" t="s" s="0">
        <v>4929</v>
      </c>
      <c r="AT206" t="s" s="0">
        <v>4930</v>
      </c>
      <c r="AU206" t="s" s="0">
        <v>4931</v>
      </c>
      <c r="AV206" t="s" s="0">
        <v>82</v>
      </c>
      <c r="AW206" t="s" s="0">
        <v>4932</v>
      </c>
      <c r="AX206" t="s" s="0">
        <v>4933</v>
      </c>
      <c r="AY206" t="s" s="0">
        <v>3230</v>
      </c>
      <c r="AZ206" t="s" s="0">
        <v>141</v>
      </c>
      <c r="BA206" t="s" s="0">
        <v>790</v>
      </c>
      <c r="BB206" t="s" s="0">
        <v>229</v>
      </c>
      <c r="BC206" t="s" s="0">
        <v>82</v>
      </c>
      <c r="BD206" t="s" s="0">
        <v>82</v>
      </c>
      <c r="BE206" t="s" s="0">
        <v>82</v>
      </c>
      <c r="BF206" t="s" s="0">
        <v>82</v>
      </c>
      <c r="BG206" t="s" s="0">
        <v>838</v>
      </c>
      <c r="BH206" t="s" s="0">
        <v>953</v>
      </c>
      <c r="BI206" t="s" s="0">
        <v>82</v>
      </c>
      <c r="BJ206" t="s" s="0">
        <v>4934</v>
      </c>
      <c r="BK206" t="s" s="409">
        <f>HYPERLINK("http://dx.doi.org/10.4103/jioh.jioh_233_25","http://dx.doi.org/10.4103/jioh.jioh_233_25")</f>
        <v>4935</v>
      </c>
      <c r="BL206" t="s" s="0">
        <v>82</v>
      </c>
      <c r="BM206" t="s" s="0">
        <v>82</v>
      </c>
      <c r="BN206" t="s" s="0">
        <v>244</v>
      </c>
      <c r="BO206" t="s" s="0">
        <v>588</v>
      </c>
      <c r="BP206" t="s" s="0">
        <v>588</v>
      </c>
      <c r="BQ206" t="s" s="0">
        <v>4936</v>
      </c>
      <c r="BR206" t="s" s="0">
        <v>82</v>
      </c>
      <c r="BS206" t="s" s="0">
        <v>4937</v>
      </c>
      <c r="BT206" t="s" s="410">
        <f>HYPERLINK("https://www.webofscience.com/wos/woscc/full-record/WOS:001701523200003","View Record in Web of Science")</f>
        <v>118</v>
      </c>
      <c r="BU206" t="s" s="0">
        <v>538</v>
      </c>
      <c r="BV206" t="s" s="0">
        <v>82</v>
      </c>
      <c r="BW206" t="s" s="0">
        <v>82</v>
      </c>
      <c r="BX206" t="s" s="0">
        <v>119</v>
      </c>
    </row>
    <row r="207">
      <c r="A207" t="s" s="0">
        <v>229</v>
      </c>
      <c r="B207" t="s" s="0">
        <v>77</v>
      </c>
      <c r="C207" t="s" s="0">
        <v>78</v>
      </c>
      <c r="D207" t="s" s="0">
        <v>77</v>
      </c>
      <c r="E207" t="s" s="0">
        <v>4938</v>
      </c>
      <c r="F207" t="s" s="0">
        <v>4939</v>
      </c>
      <c r="G207" t="s" s="0">
        <v>4940</v>
      </c>
      <c r="H207" t="s" s="0">
        <v>82</v>
      </c>
      <c r="I207" t="s" s="0">
        <v>1573</v>
      </c>
      <c r="J207" t="s" s="0">
        <v>4941</v>
      </c>
      <c r="K207" t="s" s="0">
        <v>4942</v>
      </c>
      <c r="L207" t="s" s="0">
        <v>82</v>
      </c>
      <c r="M207" t="s" s="0">
        <v>82</v>
      </c>
      <c r="N207" t="s" s="0">
        <v>82</v>
      </c>
      <c r="O207" t="s" s="0">
        <v>4943</v>
      </c>
      <c r="P207" t="s" s="0">
        <v>4944</v>
      </c>
      <c r="Q207" t="s" s="0">
        <v>88</v>
      </c>
      <c r="R207" t="s" s="0">
        <v>82</v>
      </c>
      <c r="S207" t="s" s="0">
        <v>82</v>
      </c>
      <c r="T207" t="s" s="0">
        <v>82</v>
      </c>
      <c r="U207" t="s" s="0">
        <v>82</v>
      </c>
      <c r="V207" t="s" s="0">
        <v>4945</v>
      </c>
      <c r="W207" t="s" s="0">
        <v>4946</v>
      </c>
      <c r="X207" t="s" s="0">
        <v>82</v>
      </c>
      <c r="Y207" t="s" s="0">
        <v>82</v>
      </c>
      <c r="Z207" t="s" s="0">
        <v>91</v>
      </c>
      <c r="AA207" t="s" s="0">
        <v>92</v>
      </c>
      <c r="AB207" t="s" s="0">
        <v>82</v>
      </c>
      <c r="AC207" t="s" s="0">
        <v>82</v>
      </c>
      <c r="AD207" t="s" s="0">
        <v>82</v>
      </c>
      <c r="AE207" t="s" s="0">
        <v>82</v>
      </c>
      <c r="AF207" t="s" s="0">
        <v>82</v>
      </c>
      <c r="AG207" t="s" s="0">
        <v>4947</v>
      </c>
      <c r="AH207" t="s" s="0">
        <v>4948</v>
      </c>
      <c r="AI207" t="s" s="0">
        <v>4949</v>
      </c>
      <c r="AJ207" t="s" s="0">
        <v>4950</v>
      </c>
      <c r="AK207" t="s" s="0">
        <v>82</v>
      </c>
      <c r="AL207" t="s" s="0">
        <v>770</v>
      </c>
      <c r="AM207" t="s" s="0">
        <v>1916</v>
      </c>
      <c r="AN207" t="s" s="0">
        <v>4951</v>
      </c>
      <c r="AO207" t="s" s="0">
        <v>176</v>
      </c>
      <c r="AP207" t="s" s="0">
        <v>4952</v>
      </c>
      <c r="AQ207" t="s" s="0">
        <v>133</v>
      </c>
      <c r="AR207" t="s" s="0">
        <v>134</v>
      </c>
      <c r="AS207" t="s" s="0">
        <v>135</v>
      </c>
      <c r="AT207" t="s" s="0">
        <v>4953</v>
      </c>
      <c r="AU207" t="s" s="0">
        <v>4954</v>
      </c>
      <c r="AV207" t="s" s="0">
        <v>82</v>
      </c>
      <c r="AW207" t="s" s="0">
        <v>4955</v>
      </c>
      <c r="AX207" t="s" s="0">
        <v>4956</v>
      </c>
      <c r="AY207" t="s" s="0">
        <v>307</v>
      </c>
      <c r="AZ207" t="s" s="0">
        <v>107</v>
      </c>
      <c r="BA207" t="s" s="0">
        <v>928</v>
      </c>
      <c r="BB207" t="s" s="0">
        <v>277</v>
      </c>
      <c r="BC207" t="s" s="0">
        <v>1285</v>
      </c>
      <c r="BD207" t="s" s="0">
        <v>82</v>
      </c>
      <c r="BE207" t="s" s="0">
        <v>82</v>
      </c>
      <c r="BF207" t="s" s="0">
        <v>82</v>
      </c>
      <c r="BG207" t="s" s="0">
        <v>4957</v>
      </c>
      <c r="BH207" t="s" s="0">
        <v>4958</v>
      </c>
      <c r="BI207" t="s" s="0">
        <v>82</v>
      </c>
      <c r="BJ207" t="s" s="0">
        <v>4959</v>
      </c>
      <c r="BK207" t="s" s="411">
        <f>HYPERLINK("http://dx.doi.org/10.1111/jan.16101","http://dx.doi.org/10.1111/jan.16101")</f>
        <v>4960</v>
      </c>
      <c r="BL207" t="s" s="0">
        <v>82</v>
      </c>
      <c r="BM207" t="s" s="0">
        <v>4961</v>
      </c>
      <c r="BN207" t="s" s="0">
        <v>277</v>
      </c>
      <c r="BO207" t="s" s="0">
        <v>4962</v>
      </c>
      <c r="BP207" t="s" s="0">
        <v>4962</v>
      </c>
      <c r="BQ207" t="s" s="0">
        <v>4963</v>
      </c>
      <c r="BR207" t="s" s="0">
        <v>4964</v>
      </c>
      <c r="BS207" t="s" s="0">
        <v>4965</v>
      </c>
      <c r="BT207" t="s" s="412">
        <f>HYPERLINK("https://www.webofscience.com/wos/woscc/full-record/WOS:001163673100001","View Record in Web of Science")</f>
        <v>118</v>
      </c>
      <c r="BU207" t="s" s="0">
        <v>152</v>
      </c>
      <c r="BV207" t="s" s="0">
        <v>82</v>
      </c>
      <c r="BW207" t="s" s="0">
        <v>82</v>
      </c>
      <c r="BX207" t="s" s="0">
        <v>119</v>
      </c>
    </row>
    <row r="208">
      <c r="A208" t="s" s="0">
        <v>77</v>
      </c>
      <c r="B208" t="s" s="0">
        <v>77</v>
      </c>
      <c r="C208" t="s" s="0">
        <v>77</v>
      </c>
      <c r="D208" t="s" s="0">
        <v>77</v>
      </c>
      <c r="E208" t="s" s="0">
        <v>4966</v>
      </c>
      <c r="F208" t="s" s="0">
        <v>4967</v>
      </c>
      <c r="G208" t="s" s="0">
        <v>4968</v>
      </c>
      <c r="H208" t="s" s="0">
        <v>82</v>
      </c>
      <c r="I208" t="s" s="0">
        <v>595</v>
      </c>
      <c r="J208" t="s" s="0">
        <v>4969</v>
      </c>
      <c r="K208" t="s" s="0">
        <v>4970</v>
      </c>
      <c r="L208" t="s" s="0">
        <v>4971</v>
      </c>
      <c r="M208" t="s" s="0">
        <v>4972</v>
      </c>
      <c r="N208" t="s" s="0">
        <v>4973</v>
      </c>
      <c r="O208" t="s" s="0">
        <v>4974</v>
      </c>
      <c r="P208" t="s" s="0">
        <v>4975</v>
      </c>
      <c r="Q208" t="s" s="0">
        <v>88</v>
      </c>
      <c r="R208" t="s" s="0">
        <v>82</v>
      </c>
      <c r="S208" t="s" s="0">
        <v>82</v>
      </c>
      <c r="T208" t="s" s="0">
        <v>82</v>
      </c>
      <c r="U208" t="s" s="0">
        <v>82</v>
      </c>
      <c r="V208" t="s" s="0">
        <v>4976</v>
      </c>
      <c r="W208" t="s" s="0">
        <v>4977</v>
      </c>
      <c r="X208" t="s" s="0">
        <v>82</v>
      </c>
      <c r="Y208" t="s" s="0">
        <v>82</v>
      </c>
      <c r="Z208" t="s" s="0">
        <v>91</v>
      </c>
      <c r="AA208" t="s" s="0">
        <v>92</v>
      </c>
      <c r="AB208" t="s" s="0">
        <v>82</v>
      </c>
      <c r="AC208" t="s" s="0">
        <v>82</v>
      </c>
      <c r="AD208" t="s" s="0">
        <v>82</v>
      </c>
      <c r="AE208" t="s" s="0">
        <v>82</v>
      </c>
      <c r="AF208" t="s" s="0">
        <v>82</v>
      </c>
      <c r="AG208" t="s" s="0">
        <v>4978</v>
      </c>
      <c r="AH208" t="s" s="0">
        <v>4979</v>
      </c>
      <c r="AI208" t="s" s="0">
        <v>82</v>
      </c>
      <c r="AJ208" t="s" s="0">
        <v>82</v>
      </c>
      <c r="AK208" t="s" s="0">
        <v>82</v>
      </c>
      <c r="AL208" t="s" s="0">
        <v>1256</v>
      </c>
      <c r="AM208" t="s" s="0">
        <v>77</v>
      </c>
      <c r="AN208" t="s" s="0">
        <v>77</v>
      </c>
      <c r="AO208" t="s" s="0">
        <v>77</v>
      </c>
      <c r="AP208" t="s" s="0">
        <v>77</v>
      </c>
      <c r="AQ208" t="s" s="0">
        <v>200</v>
      </c>
      <c r="AR208" t="s" s="0">
        <v>201</v>
      </c>
      <c r="AS208" t="s" s="0">
        <v>202</v>
      </c>
      <c r="AT208" t="s" s="0">
        <v>82</v>
      </c>
      <c r="AU208" t="s" s="0">
        <v>4980</v>
      </c>
      <c r="AV208" t="s" s="0">
        <v>82</v>
      </c>
      <c r="AW208" t="s" s="0">
        <v>4981</v>
      </c>
      <c r="AX208" t="s" s="0">
        <v>4982</v>
      </c>
      <c r="AY208" t="s" s="0">
        <v>141</v>
      </c>
      <c r="AZ208" t="s" s="0">
        <v>141</v>
      </c>
      <c r="BA208" t="s" s="0">
        <v>790</v>
      </c>
      <c r="BB208" t="s" s="0">
        <v>82</v>
      </c>
      <c r="BC208" t="s" s="0">
        <v>82</v>
      </c>
      <c r="BD208" t="s" s="0">
        <v>82</v>
      </c>
      <c r="BE208" t="s" s="0">
        <v>82</v>
      </c>
      <c r="BF208" t="s" s="0">
        <v>82</v>
      </c>
      <c r="BG208" t="s" s="0">
        <v>82</v>
      </c>
      <c r="BH208" t="s" s="0">
        <v>82</v>
      </c>
      <c r="BI208" t="s" s="0">
        <v>4983</v>
      </c>
      <c r="BJ208" t="s" s="0">
        <v>4984</v>
      </c>
      <c r="BK208" t="s" s="413">
        <f>HYPERLINK("http://dx.doi.org/10.2196/93720","http://dx.doi.org/10.2196/93720")</f>
        <v>4985</v>
      </c>
      <c r="BL208" t="s" s="0">
        <v>82</v>
      </c>
      <c r="BM208" t="s" s="0">
        <v>82</v>
      </c>
      <c r="BN208" t="s" s="0">
        <v>176</v>
      </c>
      <c r="BO208" t="s" s="0">
        <v>4056</v>
      </c>
      <c r="BP208" t="s" s="0">
        <v>4056</v>
      </c>
      <c r="BQ208" t="s" s="0">
        <v>4986</v>
      </c>
      <c r="BR208" t="s" s="0">
        <v>4987</v>
      </c>
      <c r="BS208" t="s" s="0">
        <v>4988</v>
      </c>
      <c r="BT208" t="s" s="414">
        <f>HYPERLINK("https://www.webofscience.com/wos/woscc/full-record/WOS:001853583100001","View Record in Web of Science")</f>
        <v>118</v>
      </c>
      <c r="BU208" t="s" s="0">
        <v>1634</v>
      </c>
      <c r="BV208" t="s" s="0">
        <v>82</v>
      </c>
      <c r="BW208" t="s" s="0">
        <v>82</v>
      </c>
      <c r="BX208" t="s" s="0">
        <v>119</v>
      </c>
    </row>
    <row r="209"/>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 ref="BK124" r:id="rId245"/>
    <hyperlink ref="BT124" r:id="rId246"/>
    <hyperlink ref="BK125" r:id="rId247"/>
    <hyperlink ref="BT125" r:id="rId248"/>
    <hyperlink ref="BK126" r:id="rId249"/>
    <hyperlink ref="BT126" r:id="rId250"/>
    <hyperlink ref="BK127" r:id="rId251"/>
    <hyperlink ref="BT127" r:id="rId252"/>
    <hyperlink ref="BK128" r:id="rId253"/>
    <hyperlink ref="BT128" r:id="rId254"/>
    <hyperlink ref="BK129" r:id="rId255"/>
    <hyperlink ref="BT129" r:id="rId256"/>
    <hyperlink ref="BK130" r:id="rId257"/>
    <hyperlink ref="BT130" r:id="rId258"/>
    <hyperlink ref="BK131" r:id="rId259"/>
    <hyperlink ref="BT131" r:id="rId260"/>
    <hyperlink ref="BK132" r:id="rId261"/>
    <hyperlink ref="BT132" r:id="rId262"/>
    <hyperlink ref="BK133" r:id="rId263"/>
    <hyperlink ref="BT133" r:id="rId264"/>
    <hyperlink ref="BK134" r:id="rId265"/>
    <hyperlink ref="BT134" r:id="rId266"/>
    <hyperlink ref="BK135" r:id="rId267"/>
    <hyperlink ref="BT135" r:id="rId268"/>
    <hyperlink ref="BK136" r:id="rId269"/>
    <hyperlink ref="BT136" r:id="rId270"/>
    <hyperlink ref="BK137" r:id="rId271"/>
    <hyperlink ref="BT137" r:id="rId272"/>
    <hyperlink ref="BK138" r:id="rId273"/>
    <hyperlink ref="BT138" r:id="rId274"/>
    <hyperlink ref="BK139" r:id="rId275"/>
    <hyperlink ref="BT139" r:id="rId276"/>
    <hyperlink ref="BK140" r:id="rId277"/>
    <hyperlink ref="BT140" r:id="rId278"/>
    <hyperlink ref="BK141" r:id="rId279"/>
    <hyperlink ref="BT141" r:id="rId280"/>
    <hyperlink ref="BK142" r:id="rId281"/>
    <hyperlink ref="BT142" r:id="rId282"/>
    <hyperlink ref="BK143" r:id="rId283"/>
    <hyperlink ref="BT143" r:id="rId284"/>
    <hyperlink ref="BK144" r:id="rId285"/>
    <hyperlink ref="BT144" r:id="rId286"/>
    <hyperlink ref="BK145" r:id="rId287"/>
    <hyperlink ref="BT145" r:id="rId288"/>
    <hyperlink ref="BK146" r:id="rId289"/>
    <hyperlink ref="BT146" r:id="rId290"/>
    <hyperlink ref="BK147" r:id="rId291"/>
    <hyperlink ref="BT147" r:id="rId292"/>
    <hyperlink ref="BK148" r:id="rId293"/>
    <hyperlink ref="BT148" r:id="rId294"/>
    <hyperlink ref="BK149" r:id="rId295"/>
    <hyperlink ref="BT149" r:id="rId296"/>
    <hyperlink ref="BK150" r:id="rId297"/>
    <hyperlink ref="BT150" r:id="rId298"/>
    <hyperlink ref="BK151" r:id="rId299"/>
    <hyperlink ref="BT151" r:id="rId300"/>
    <hyperlink ref="BK152" r:id="rId301"/>
    <hyperlink ref="BT152" r:id="rId302"/>
    <hyperlink ref="BK153" r:id="rId303"/>
    <hyperlink ref="BT153" r:id="rId304"/>
    <hyperlink ref="BK154" r:id="rId305"/>
    <hyperlink ref="BT154" r:id="rId306"/>
    <hyperlink ref="BK155" r:id="rId307"/>
    <hyperlink ref="BT155" r:id="rId308"/>
    <hyperlink ref="BK156" r:id="rId309"/>
    <hyperlink ref="BT156" r:id="rId310"/>
    <hyperlink ref="BK157" r:id="rId311"/>
    <hyperlink ref="BT157" r:id="rId312"/>
    <hyperlink ref="BK158" r:id="rId313"/>
    <hyperlink ref="BT158" r:id="rId314"/>
    <hyperlink ref="BK159" r:id="rId315"/>
    <hyperlink ref="BT159" r:id="rId316"/>
    <hyperlink ref="BK160" r:id="rId317"/>
    <hyperlink ref="BT160" r:id="rId318"/>
    <hyperlink ref="BK161" r:id="rId319"/>
    <hyperlink ref="BT161" r:id="rId320"/>
    <hyperlink ref="BK162" r:id="rId321"/>
    <hyperlink ref="BT162" r:id="rId322"/>
    <hyperlink ref="BK163" r:id="rId323"/>
    <hyperlink ref="BT163" r:id="rId324"/>
    <hyperlink ref="BK164" r:id="rId325"/>
    <hyperlink ref="BT164" r:id="rId326"/>
    <hyperlink ref="BK165" r:id="rId327"/>
    <hyperlink ref="BT165" r:id="rId328"/>
    <hyperlink ref="BK166" r:id="rId329"/>
    <hyperlink ref="BT166" r:id="rId330"/>
    <hyperlink ref="BK167" r:id="rId331"/>
    <hyperlink ref="BT167" r:id="rId332"/>
    <hyperlink ref="BK168" r:id="rId333"/>
    <hyperlink ref="BT168" r:id="rId334"/>
    <hyperlink ref="BK169" r:id="rId335"/>
    <hyperlink ref="BT169" r:id="rId336"/>
    <hyperlink ref="BK170" r:id="rId337"/>
    <hyperlink ref="BT170" r:id="rId338"/>
    <hyperlink ref="BK171" r:id="rId339"/>
    <hyperlink ref="BT171" r:id="rId340"/>
    <hyperlink ref="BK172" r:id="rId341"/>
    <hyperlink ref="BT172" r:id="rId342"/>
    <hyperlink ref="BK173" r:id="rId343"/>
    <hyperlink ref="BT173" r:id="rId344"/>
    <hyperlink ref="BK174" r:id="rId345"/>
    <hyperlink ref="BT174" r:id="rId346"/>
    <hyperlink ref="BK175" r:id="rId347"/>
    <hyperlink ref="BT175" r:id="rId348"/>
    <hyperlink ref="BK176" r:id="rId349"/>
    <hyperlink ref="BT176" r:id="rId350"/>
    <hyperlink ref="BK177" r:id="rId351"/>
    <hyperlink ref="BT177" r:id="rId352"/>
    <hyperlink ref="BK178" r:id="rId353"/>
    <hyperlink ref="BT178" r:id="rId354"/>
    <hyperlink ref="BK179" r:id="rId355"/>
    <hyperlink ref="BT179" r:id="rId356"/>
    <hyperlink ref="BK180" r:id="rId357"/>
    <hyperlink ref="BT180" r:id="rId358"/>
    <hyperlink ref="BK181" r:id="rId359"/>
    <hyperlink ref="BT181" r:id="rId360"/>
    <hyperlink ref="BK182" r:id="rId361"/>
    <hyperlink ref="BT182" r:id="rId362"/>
    <hyperlink ref="BK183" r:id="rId363"/>
    <hyperlink ref="BT183" r:id="rId364"/>
    <hyperlink ref="BK184" r:id="rId365"/>
    <hyperlink ref="BT184" r:id="rId366"/>
    <hyperlink ref="BK185" r:id="rId367"/>
    <hyperlink ref="BT185" r:id="rId368"/>
    <hyperlink ref="BK186" r:id="rId369"/>
    <hyperlink ref="BT186" r:id="rId370"/>
    <hyperlink ref="BK187" r:id="rId371"/>
    <hyperlink ref="BT187" r:id="rId372"/>
    <hyperlink ref="BK188" r:id="rId373"/>
    <hyperlink ref="BT188" r:id="rId374"/>
    <hyperlink ref="BK189" r:id="rId375"/>
    <hyperlink ref="BT189" r:id="rId376"/>
    <hyperlink ref="BK190" r:id="rId377"/>
    <hyperlink ref="BT190" r:id="rId378"/>
    <hyperlink ref="BK191" r:id="rId379"/>
    <hyperlink ref="BT191" r:id="rId380"/>
    <hyperlink ref="BK192" r:id="rId381"/>
    <hyperlink ref="BT192" r:id="rId382"/>
    <hyperlink ref="BK193" r:id="rId383"/>
    <hyperlink ref="BT193" r:id="rId384"/>
    <hyperlink ref="BK194" r:id="rId385"/>
    <hyperlink ref="BT194" r:id="rId386"/>
    <hyperlink ref="BK195" r:id="rId387"/>
    <hyperlink ref="BT195" r:id="rId388"/>
    <hyperlink ref="BK196" r:id="rId389"/>
    <hyperlink ref="BT196" r:id="rId390"/>
    <hyperlink ref="BK197" r:id="rId391"/>
    <hyperlink ref="BT197" r:id="rId392"/>
    <hyperlink ref="BK198" r:id="rId393"/>
    <hyperlink ref="BT198" r:id="rId394"/>
    <hyperlink ref="BK199" r:id="rId395"/>
    <hyperlink ref="BT199" r:id="rId396"/>
    <hyperlink ref="BK200" r:id="rId397"/>
    <hyperlink ref="BT200" r:id="rId398"/>
    <hyperlink ref="BK201" r:id="rId399"/>
    <hyperlink ref="BT201" r:id="rId400"/>
    <hyperlink ref="BK202" r:id="rId401"/>
    <hyperlink ref="BT202" r:id="rId402"/>
    <hyperlink ref="BK203" r:id="rId403"/>
    <hyperlink ref="BT203" r:id="rId404"/>
    <hyperlink ref="BK204" r:id="rId405"/>
    <hyperlink ref="BT204" r:id="rId406"/>
    <hyperlink ref="BK205" r:id="rId407"/>
    <hyperlink ref="BT205" r:id="rId408"/>
    <hyperlink ref="BK206" r:id="rId409"/>
    <hyperlink ref="BT206" r:id="rId410"/>
    <hyperlink ref="BK207" r:id="rId411"/>
    <hyperlink ref="BT207" r:id="rId412"/>
    <hyperlink ref="BK208" r:id="rId413"/>
    <hyperlink ref="BT208" r:id="rId414"/>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2026-08-26T14:28:29Z</dcterms:created>
  <dc:creator>Apache POI</dc:creator>
</cp:coreProperties>
</file>